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HUSHANT\OneDrive\Desktop\excel Udmy\Project\"/>
    </mc:Choice>
  </mc:AlternateContent>
  <bookViews>
    <workbookView xWindow="0" yWindow="0" windowWidth="23040" windowHeight="9780" activeTab="2"/>
  </bookViews>
  <sheets>
    <sheet name="Raw_Data" sheetId="1" r:id="rId1"/>
    <sheet name="Pivot_Analysis" sheetId="2" r:id="rId2"/>
    <sheet name="Dashboard" sheetId="7" r:id="rId3"/>
  </sheets>
  <definedNames>
    <definedName name="_xlnm._FilterDatabase" localSheetId="0" hidden="1">Raw_Data!$A$1:$H$2000</definedName>
    <definedName name="Slicer_Category">#N/A</definedName>
    <definedName name="Slicer_Month">#N/A</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1" l="1"/>
  <c r="D4" i="1"/>
  <c r="H4" i="1" s="1"/>
  <c r="I4" i="1" s="1"/>
  <c r="J4" i="1" s="1"/>
  <c r="D5" i="1"/>
  <c r="H5" i="1" s="1"/>
  <c r="I5" i="1" s="1"/>
  <c r="J5" i="1" s="1"/>
  <c r="D6" i="1"/>
  <c r="H6" i="1" s="1"/>
  <c r="I6" i="1" s="1"/>
  <c r="J6" i="1" s="1"/>
  <c r="D7" i="1"/>
  <c r="D8" i="1"/>
  <c r="D9" i="1"/>
  <c r="D10" i="1"/>
  <c r="D11" i="1"/>
  <c r="D12" i="1"/>
  <c r="D13" i="1"/>
  <c r="D14" i="1"/>
  <c r="D15" i="1"/>
  <c r="D16" i="1"/>
  <c r="D17" i="1"/>
  <c r="H17" i="1" s="1"/>
  <c r="I17" i="1" s="1"/>
  <c r="J17" i="1" s="1"/>
  <c r="D18" i="1"/>
  <c r="H18" i="1" s="1"/>
  <c r="I18" i="1" s="1"/>
  <c r="J18" i="1" s="1"/>
  <c r="D19" i="1"/>
  <c r="H19" i="1" s="1"/>
  <c r="I19" i="1" s="1"/>
  <c r="J19" i="1" s="1"/>
  <c r="D20" i="1"/>
  <c r="H20" i="1" s="1"/>
  <c r="I20" i="1" s="1"/>
  <c r="J20" i="1" s="1"/>
  <c r="D21" i="1"/>
  <c r="H21" i="1" s="1"/>
  <c r="I21" i="1" s="1"/>
  <c r="J21" i="1" s="1"/>
  <c r="D22" i="1"/>
  <c r="H22" i="1" s="1"/>
  <c r="I22" i="1" s="1"/>
  <c r="J22" i="1" s="1"/>
  <c r="D23" i="1"/>
  <c r="D24" i="1"/>
  <c r="D25" i="1"/>
  <c r="D26" i="1"/>
  <c r="D27" i="1"/>
  <c r="D28" i="1"/>
  <c r="D29" i="1"/>
  <c r="H29" i="1" s="1"/>
  <c r="I29" i="1" s="1"/>
  <c r="J29" i="1" s="1"/>
  <c r="D30" i="1"/>
  <c r="D31" i="1"/>
  <c r="D32" i="1"/>
  <c r="D33" i="1"/>
  <c r="D34" i="1"/>
  <c r="D35" i="1"/>
  <c r="D36" i="1"/>
  <c r="D37" i="1"/>
  <c r="D38" i="1"/>
  <c r="D39" i="1"/>
  <c r="D40" i="1"/>
  <c r="H40" i="1" s="1"/>
  <c r="I40" i="1" s="1"/>
  <c r="J40" i="1" s="1"/>
  <c r="D41" i="1"/>
  <c r="D42" i="1"/>
  <c r="D43" i="1"/>
  <c r="H43" i="1" s="1"/>
  <c r="I43" i="1" s="1"/>
  <c r="J43" i="1" s="1"/>
  <c r="D44" i="1"/>
  <c r="H44" i="1" s="1"/>
  <c r="I44" i="1" s="1"/>
  <c r="J44" i="1" s="1"/>
  <c r="D45" i="1"/>
  <c r="D46" i="1"/>
  <c r="D47" i="1"/>
  <c r="D48" i="1"/>
  <c r="D49" i="1"/>
  <c r="D50" i="1"/>
  <c r="D51" i="1"/>
  <c r="H51" i="1" s="1"/>
  <c r="I51" i="1" s="1"/>
  <c r="J51" i="1" s="1"/>
  <c r="D52" i="1"/>
  <c r="H52" i="1" s="1"/>
  <c r="I52" i="1" s="1"/>
  <c r="J52" i="1" s="1"/>
  <c r="D53" i="1"/>
  <c r="H53" i="1" s="1"/>
  <c r="I53" i="1" s="1"/>
  <c r="J53" i="1" s="1"/>
  <c r="D54" i="1"/>
  <c r="D55" i="1"/>
  <c r="D56" i="1"/>
  <c r="D57" i="1"/>
  <c r="D58" i="1"/>
  <c r="D59" i="1"/>
  <c r="D60" i="1"/>
  <c r="D61" i="1"/>
  <c r="D62" i="1"/>
  <c r="D63" i="1"/>
  <c r="D64" i="1"/>
  <c r="D65" i="1"/>
  <c r="H65" i="1" s="1"/>
  <c r="I65" i="1" s="1"/>
  <c r="J65" i="1" s="1"/>
  <c r="D66" i="1"/>
  <c r="H66" i="1" s="1"/>
  <c r="I66" i="1" s="1"/>
  <c r="J66" i="1" s="1"/>
  <c r="D67" i="1"/>
  <c r="H67" i="1" s="1"/>
  <c r="I67" i="1" s="1"/>
  <c r="J67" i="1" s="1"/>
  <c r="D68" i="1"/>
  <c r="H68" i="1" s="1"/>
  <c r="I68" i="1" s="1"/>
  <c r="J68" i="1" s="1"/>
  <c r="D69" i="1"/>
  <c r="D70" i="1"/>
  <c r="D71" i="1"/>
  <c r="D72" i="1"/>
  <c r="D73" i="1"/>
  <c r="D74" i="1"/>
  <c r="D75" i="1"/>
  <c r="D76" i="1"/>
  <c r="H76" i="1" s="1"/>
  <c r="I76" i="1" s="1"/>
  <c r="J76" i="1" s="1"/>
  <c r="D77" i="1"/>
  <c r="D78" i="1"/>
  <c r="H78" i="1" s="1"/>
  <c r="I78" i="1" s="1"/>
  <c r="J78" i="1" s="1"/>
  <c r="D79" i="1"/>
  <c r="D80" i="1"/>
  <c r="D81" i="1"/>
  <c r="D82" i="1"/>
  <c r="D83" i="1"/>
  <c r="D84" i="1"/>
  <c r="D85" i="1"/>
  <c r="D86" i="1"/>
  <c r="D87" i="1"/>
  <c r="D88" i="1"/>
  <c r="H88" i="1" s="1"/>
  <c r="I88" i="1" s="1"/>
  <c r="J88" i="1" s="1"/>
  <c r="D89" i="1"/>
  <c r="H89" i="1" s="1"/>
  <c r="I89" i="1" s="1"/>
  <c r="J89" i="1" s="1"/>
  <c r="D90" i="1"/>
  <c r="H90" i="1" s="1"/>
  <c r="I90" i="1" s="1"/>
  <c r="J90" i="1" s="1"/>
  <c r="D91" i="1"/>
  <c r="H91" i="1" s="1"/>
  <c r="I91" i="1" s="1"/>
  <c r="J91" i="1" s="1"/>
  <c r="D92" i="1"/>
  <c r="H92" i="1" s="1"/>
  <c r="I92" i="1" s="1"/>
  <c r="J92" i="1" s="1"/>
  <c r="D93" i="1"/>
  <c r="H93" i="1" s="1"/>
  <c r="I93" i="1" s="1"/>
  <c r="J93" i="1" s="1"/>
  <c r="D94" i="1"/>
  <c r="H94" i="1" s="1"/>
  <c r="I94" i="1" s="1"/>
  <c r="J94" i="1" s="1"/>
  <c r="D95" i="1"/>
  <c r="D96" i="1"/>
  <c r="D97" i="1"/>
  <c r="D98" i="1"/>
  <c r="D99" i="1"/>
  <c r="D100" i="1"/>
  <c r="D101" i="1"/>
  <c r="H101" i="1" s="1"/>
  <c r="I101" i="1" s="1"/>
  <c r="J101" i="1" s="1"/>
  <c r="D102" i="1"/>
  <c r="D103" i="1"/>
  <c r="D104" i="1"/>
  <c r="D105" i="1"/>
  <c r="D106" i="1"/>
  <c r="H106" i="1" s="1"/>
  <c r="I106" i="1" s="1"/>
  <c r="J106" i="1" s="1"/>
  <c r="D107" i="1"/>
  <c r="H107" i="1" s="1"/>
  <c r="D108" i="1"/>
  <c r="D109" i="1"/>
  <c r="D110" i="1"/>
  <c r="D111" i="1"/>
  <c r="D112" i="1"/>
  <c r="H112" i="1" s="1"/>
  <c r="I112" i="1" s="1"/>
  <c r="J112" i="1" s="1"/>
  <c r="D113" i="1"/>
  <c r="D114" i="1"/>
  <c r="D115" i="1"/>
  <c r="H115" i="1" s="1"/>
  <c r="I115" i="1" s="1"/>
  <c r="J115" i="1" s="1"/>
  <c r="D116" i="1"/>
  <c r="D117" i="1"/>
  <c r="D118" i="1"/>
  <c r="H118" i="1" s="1"/>
  <c r="D119" i="1"/>
  <c r="D120" i="1"/>
  <c r="D121" i="1"/>
  <c r="D122" i="1"/>
  <c r="D123" i="1"/>
  <c r="D124" i="1"/>
  <c r="D125" i="1"/>
  <c r="D126" i="1"/>
  <c r="D127" i="1"/>
  <c r="D128" i="1"/>
  <c r="D129" i="1"/>
  <c r="D130" i="1"/>
  <c r="D131" i="1"/>
  <c r="D132" i="1"/>
  <c r="D133" i="1"/>
  <c r="D134" i="1"/>
  <c r="D135" i="1"/>
  <c r="D136" i="1"/>
  <c r="D137" i="1"/>
  <c r="H137" i="1" s="1"/>
  <c r="I137" i="1" s="1"/>
  <c r="J137" i="1" s="1"/>
  <c r="D138" i="1"/>
  <c r="H138" i="1" s="1"/>
  <c r="I138" i="1" s="1"/>
  <c r="J138" i="1" s="1"/>
  <c r="D139" i="1"/>
  <c r="H139" i="1" s="1"/>
  <c r="I139" i="1" s="1"/>
  <c r="J139" i="1" s="1"/>
  <c r="D140" i="1"/>
  <c r="H140" i="1" s="1"/>
  <c r="I140" i="1" s="1"/>
  <c r="J140" i="1" s="1"/>
  <c r="D141" i="1"/>
  <c r="D142" i="1"/>
  <c r="H142" i="1" s="1"/>
  <c r="D143" i="1"/>
  <c r="D144" i="1"/>
  <c r="D145" i="1"/>
  <c r="D146" i="1"/>
  <c r="H146" i="1" s="1"/>
  <c r="I146" i="1" s="1"/>
  <c r="J146" i="1" s="1"/>
  <c r="D147" i="1"/>
  <c r="D148" i="1"/>
  <c r="D149" i="1"/>
  <c r="D150" i="1"/>
  <c r="D151" i="1"/>
  <c r="D152" i="1"/>
  <c r="H152" i="1" s="1"/>
  <c r="I152" i="1" s="1"/>
  <c r="J152" i="1" s="1"/>
  <c r="D153" i="1"/>
  <c r="H153" i="1" s="1"/>
  <c r="I153" i="1" s="1"/>
  <c r="J153" i="1" s="1"/>
  <c r="D154" i="1"/>
  <c r="H154" i="1" s="1"/>
  <c r="I154" i="1" s="1"/>
  <c r="J154" i="1" s="1"/>
  <c r="D155" i="1"/>
  <c r="D156" i="1"/>
  <c r="D157" i="1"/>
  <c r="H157" i="1" s="1"/>
  <c r="D158" i="1"/>
  <c r="D159" i="1"/>
  <c r="D160" i="1"/>
  <c r="H160" i="1" s="1"/>
  <c r="I160" i="1" s="1"/>
  <c r="J160" i="1" s="1"/>
  <c r="D161" i="1"/>
  <c r="H161" i="1" s="1"/>
  <c r="I161" i="1" s="1"/>
  <c r="J161" i="1" s="1"/>
  <c r="D162" i="1"/>
  <c r="H162" i="1" s="1"/>
  <c r="I162" i="1" s="1"/>
  <c r="J162" i="1" s="1"/>
  <c r="D163" i="1"/>
  <c r="H163" i="1" s="1"/>
  <c r="I163" i="1" s="1"/>
  <c r="J163" i="1" s="1"/>
  <c r="D164" i="1"/>
  <c r="H164" i="1" s="1"/>
  <c r="I164" i="1" s="1"/>
  <c r="J164" i="1" s="1"/>
  <c r="D165" i="1"/>
  <c r="H165" i="1" s="1"/>
  <c r="I165" i="1" s="1"/>
  <c r="J165" i="1" s="1"/>
  <c r="D166" i="1"/>
  <c r="D167" i="1"/>
  <c r="D168" i="1"/>
  <c r="D169" i="1"/>
  <c r="D170" i="1"/>
  <c r="D171" i="1"/>
  <c r="D172" i="1"/>
  <c r="D173" i="1"/>
  <c r="D174" i="1"/>
  <c r="H174" i="1" s="1"/>
  <c r="I174" i="1" s="1"/>
  <c r="J174" i="1" s="1"/>
  <c r="D175" i="1"/>
  <c r="D176" i="1"/>
  <c r="H176" i="1" s="1"/>
  <c r="I176" i="1" s="1"/>
  <c r="J176" i="1" s="1"/>
  <c r="D177" i="1"/>
  <c r="D178" i="1"/>
  <c r="D179" i="1"/>
  <c r="H179" i="1" s="1"/>
  <c r="I179" i="1" s="1"/>
  <c r="J179" i="1" s="1"/>
  <c r="D180" i="1"/>
  <c r="D181" i="1"/>
  <c r="D182" i="1"/>
  <c r="D183" i="1"/>
  <c r="D184" i="1"/>
  <c r="D185" i="1"/>
  <c r="D186" i="1"/>
  <c r="D187" i="1"/>
  <c r="D188" i="1"/>
  <c r="D189" i="1"/>
  <c r="H189" i="1" s="1"/>
  <c r="I189" i="1" s="1"/>
  <c r="J189" i="1" s="1"/>
  <c r="D190" i="1"/>
  <c r="H190" i="1" s="1"/>
  <c r="I190" i="1" s="1"/>
  <c r="J190" i="1" s="1"/>
  <c r="D191" i="1"/>
  <c r="D192" i="1"/>
  <c r="D193" i="1"/>
  <c r="D194" i="1"/>
  <c r="D195" i="1"/>
  <c r="D196" i="1"/>
  <c r="H196" i="1" s="1"/>
  <c r="I196" i="1" s="1"/>
  <c r="J196" i="1" s="1"/>
  <c r="D197" i="1"/>
  <c r="H197" i="1" s="1"/>
  <c r="I197" i="1" s="1"/>
  <c r="J197" i="1" s="1"/>
  <c r="D198" i="1"/>
  <c r="H198" i="1" s="1"/>
  <c r="I198" i="1" s="1"/>
  <c r="J198" i="1" s="1"/>
  <c r="D199" i="1"/>
  <c r="D200" i="1"/>
  <c r="D201" i="1"/>
  <c r="D202" i="1"/>
  <c r="H202" i="1" s="1"/>
  <c r="D203" i="1"/>
  <c r="D204" i="1"/>
  <c r="H204" i="1" s="1"/>
  <c r="D205" i="1"/>
  <c r="D206" i="1"/>
  <c r="D207" i="1"/>
  <c r="D208" i="1"/>
  <c r="H208" i="1" s="1"/>
  <c r="I208" i="1" s="1"/>
  <c r="J208" i="1" s="1"/>
  <c r="D209" i="1"/>
  <c r="H209" i="1" s="1"/>
  <c r="I209" i="1" s="1"/>
  <c r="J209" i="1" s="1"/>
  <c r="D210" i="1"/>
  <c r="H210" i="1" s="1"/>
  <c r="I210" i="1" s="1"/>
  <c r="J210" i="1" s="1"/>
  <c r="D211" i="1"/>
  <c r="D212" i="1"/>
  <c r="H212" i="1" s="1"/>
  <c r="I212" i="1" s="1"/>
  <c r="J212" i="1" s="1"/>
  <c r="D213" i="1"/>
  <c r="D214" i="1"/>
  <c r="H214" i="1" s="1"/>
  <c r="D215" i="1"/>
  <c r="D216" i="1"/>
  <c r="D217" i="1"/>
  <c r="D218" i="1"/>
  <c r="D219" i="1"/>
  <c r="D220" i="1"/>
  <c r="D221" i="1"/>
  <c r="D222" i="1"/>
  <c r="D223" i="1"/>
  <c r="H223" i="1" s="1"/>
  <c r="I223" i="1" s="1"/>
  <c r="J223" i="1" s="1"/>
  <c r="D224" i="1"/>
  <c r="H224" i="1" s="1"/>
  <c r="I224" i="1" s="1"/>
  <c r="J224" i="1" s="1"/>
  <c r="D225" i="1"/>
  <c r="D226" i="1"/>
  <c r="D227" i="1"/>
  <c r="D228" i="1"/>
  <c r="D229" i="1"/>
  <c r="D230" i="1"/>
  <c r="D231" i="1"/>
  <c r="D232" i="1"/>
  <c r="H232" i="1" s="1"/>
  <c r="I232" i="1" s="1"/>
  <c r="J232" i="1" s="1"/>
  <c r="D233" i="1"/>
  <c r="H233" i="1" s="1"/>
  <c r="I233" i="1" s="1"/>
  <c r="J233" i="1" s="1"/>
  <c r="D234" i="1"/>
  <c r="H234" i="1" s="1"/>
  <c r="I234" i="1" s="1"/>
  <c r="J234" i="1" s="1"/>
  <c r="D235" i="1"/>
  <c r="H235" i="1" s="1"/>
  <c r="I235" i="1" s="1"/>
  <c r="J235" i="1" s="1"/>
  <c r="D236" i="1"/>
  <c r="D237" i="1"/>
  <c r="D238" i="1"/>
  <c r="D239" i="1"/>
  <c r="D240" i="1"/>
  <c r="D241" i="1"/>
  <c r="D242" i="1"/>
  <c r="D243" i="1"/>
  <c r="D244" i="1"/>
  <c r="D245" i="1"/>
  <c r="H245" i="1" s="1"/>
  <c r="I245" i="1" s="1"/>
  <c r="J245" i="1" s="1"/>
  <c r="D246" i="1"/>
  <c r="H246" i="1" s="1"/>
  <c r="I246" i="1" s="1"/>
  <c r="J246" i="1" s="1"/>
  <c r="D247" i="1"/>
  <c r="H247" i="1" s="1"/>
  <c r="I247" i="1" s="1"/>
  <c r="J247" i="1" s="1"/>
  <c r="D248" i="1"/>
  <c r="H248" i="1" s="1"/>
  <c r="I248" i="1" s="1"/>
  <c r="J248" i="1" s="1"/>
  <c r="D249" i="1"/>
  <c r="H249" i="1" s="1"/>
  <c r="I249" i="1" s="1"/>
  <c r="J249" i="1" s="1"/>
  <c r="D250" i="1"/>
  <c r="H250" i="1" s="1"/>
  <c r="I250" i="1" s="1"/>
  <c r="J250" i="1" s="1"/>
  <c r="D251" i="1"/>
  <c r="D252" i="1"/>
  <c r="D253" i="1"/>
  <c r="D254" i="1"/>
  <c r="D255" i="1"/>
  <c r="D256" i="1"/>
  <c r="D257" i="1"/>
  <c r="D258" i="1"/>
  <c r="D259" i="1"/>
  <c r="H259" i="1" s="1"/>
  <c r="I259" i="1" s="1"/>
  <c r="J259" i="1" s="1"/>
  <c r="D260" i="1"/>
  <c r="H260" i="1" s="1"/>
  <c r="I260" i="1" s="1"/>
  <c r="J260" i="1" s="1"/>
  <c r="D261" i="1"/>
  <c r="H261" i="1" s="1"/>
  <c r="I261" i="1" s="1"/>
  <c r="J261" i="1" s="1"/>
  <c r="D262" i="1"/>
  <c r="D263" i="1"/>
  <c r="D264" i="1"/>
  <c r="H264" i="1" s="1"/>
  <c r="D265" i="1"/>
  <c r="H265" i="1" s="1"/>
  <c r="D266" i="1"/>
  <c r="D267" i="1"/>
  <c r="D268" i="1"/>
  <c r="H268" i="1" s="1"/>
  <c r="I268" i="1" s="1"/>
  <c r="J268" i="1" s="1"/>
  <c r="D269" i="1"/>
  <c r="H269" i="1" s="1"/>
  <c r="I269" i="1" s="1"/>
  <c r="J269" i="1" s="1"/>
  <c r="D270" i="1"/>
  <c r="D271" i="1"/>
  <c r="D272" i="1"/>
  <c r="D273" i="1"/>
  <c r="D274" i="1"/>
  <c r="H274" i="1" s="1"/>
  <c r="D275" i="1"/>
  <c r="D276" i="1"/>
  <c r="D277" i="1"/>
  <c r="D278" i="1"/>
  <c r="D279" i="1"/>
  <c r="D280" i="1"/>
  <c r="H280" i="1" s="1"/>
  <c r="I280" i="1" s="1"/>
  <c r="J280" i="1" s="1"/>
  <c r="D281" i="1"/>
  <c r="H281" i="1" s="1"/>
  <c r="I281" i="1" s="1"/>
  <c r="J281" i="1" s="1"/>
  <c r="D282" i="1"/>
  <c r="D283" i="1"/>
  <c r="D284" i="1"/>
  <c r="D285" i="1"/>
  <c r="D286" i="1"/>
  <c r="D287" i="1"/>
  <c r="D288" i="1"/>
  <c r="H288" i="1" s="1"/>
  <c r="D289" i="1"/>
  <c r="D290" i="1"/>
  <c r="D291" i="1"/>
  <c r="D292" i="1"/>
  <c r="H292" i="1" s="1"/>
  <c r="I292" i="1" s="1"/>
  <c r="J292" i="1" s="1"/>
  <c r="D293" i="1"/>
  <c r="H293" i="1" s="1"/>
  <c r="I293" i="1" s="1"/>
  <c r="J293" i="1" s="1"/>
  <c r="D294" i="1"/>
  <c r="H294" i="1" s="1"/>
  <c r="I294" i="1" s="1"/>
  <c r="J294" i="1" s="1"/>
  <c r="D295" i="1"/>
  <c r="H295" i="1" s="1"/>
  <c r="I295" i="1" s="1"/>
  <c r="J295" i="1" s="1"/>
  <c r="D296" i="1"/>
  <c r="H296" i="1" s="1"/>
  <c r="I296" i="1" s="1"/>
  <c r="J296" i="1" s="1"/>
  <c r="D297" i="1"/>
  <c r="H297" i="1" s="1"/>
  <c r="I297" i="1" s="1"/>
  <c r="J297" i="1" s="1"/>
  <c r="D298" i="1"/>
  <c r="H298" i="1" s="1"/>
  <c r="I298" i="1" s="1"/>
  <c r="J298" i="1" s="1"/>
  <c r="D299" i="1"/>
  <c r="D300" i="1"/>
  <c r="D301" i="1"/>
  <c r="H301" i="1" s="1"/>
  <c r="D302" i="1"/>
  <c r="H302" i="1" s="1"/>
  <c r="D303" i="1"/>
  <c r="D304" i="1"/>
  <c r="D305" i="1"/>
  <c r="D306" i="1"/>
  <c r="D307" i="1"/>
  <c r="D308" i="1"/>
  <c r="D309" i="1"/>
  <c r="D310" i="1"/>
  <c r="D311" i="1"/>
  <c r="D312" i="1"/>
  <c r="D313" i="1"/>
  <c r="D314" i="1"/>
  <c r="D315" i="1"/>
  <c r="D316" i="1"/>
  <c r="D317" i="1"/>
  <c r="H317" i="1" s="1"/>
  <c r="I317" i="1" s="1"/>
  <c r="J317" i="1" s="1"/>
  <c r="D318" i="1"/>
  <c r="H318" i="1" s="1"/>
  <c r="I318" i="1" s="1"/>
  <c r="J318" i="1" s="1"/>
  <c r="D319" i="1"/>
  <c r="H319" i="1" s="1"/>
  <c r="I319" i="1" s="1"/>
  <c r="J319" i="1" s="1"/>
  <c r="D320" i="1"/>
  <c r="H320" i="1" s="1"/>
  <c r="I320" i="1" s="1"/>
  <c r="J320" i="1" s="1"/>
  <c r="D321" i="1"/>
  <c r="H321" i="1" s="1"/>
  <c r="I321" i="1" s="1"/>
  <c r="J321" i="1" s="1"/>
  <c r="D322" i="1"/>
  <c r="D323" i="1"/>
  <c r="H323" i="1" s="1"/>
  <c r="I323" i="1" s="1"/>
  <c r="J323" i="1" s="1"/>
  <c r="D324" i="1"/>
  <c r="H324" i="1" s="1"/>
  <c r="D325" i="1"/>
  <c r="D326" i="1"/>
  <c r="D327" i="1"/>
  <c r="D328" i="1"/>
  <c r="D329" i="1"/>
  <c r="D330" i="1"/>
  <c r="D331" i="1"/>
  <c r="D332" i="1"/>
  <c r="D333" i="1"/>
  <c r="D334" i="1"/>
  <c r="D335" i="1"/>
  <c r="D336" i="1"/>
  <c r="D337" i="1"/>
  <c r="D338" i="1"/>
  <c r="D339" i="1"/>
  <c r="H339" i="1" s="1"/>
  <c r="I339" i="1" s="1"/>
  <c r="J339" i="1" s="1"/>
  <c r="D340" i="1"/>
  <c r="D341" i="1"/>
  <c r="D342" i="1"/>
  <c r="H342" i="1" s="1"/>
  <c r="I342" i="1" s="1"/>
  <c r="J342" i="1" s="1"/>
  <c r="D343" i="1"/>
  <c r="D344" i="1"/>
  <c r="D345" i="1"/>
  <c r="H345" i="1" s="1"/>
  <c r="I345" i="1" s="1"/>
  <c r="J345" i="1" s="1"/>
  <c r="D346" i="1"/>
  <c r="D347" i="1"/>
  <c r="D348" i="1"/>
  <c r="D349" i="1"/>
  <c r="D350" i="1"/>
  <c r="D351" i="1"/>
  <c r="D352" i="1"/>
  <c r="H352" i="1" s="1"/>
  <c r="I352" i="1" s="1"/>
  <c r="J352" i="1" s="1"/>
  <c r="D353" i="1"/>
  <c r="H353" i="1" s="1"/>
  <c r="I353" i="1" s="1"/>
  <c r="J353" i="1" s="1"/>
  <c r="D354" i="1"/>
  <c r="H354" i="1" s="1"/>
  <c r="I354" i="1" s="1"/>
  <c r="J354" i="1" s="1"/>
  <c r="D355" i="1"/>
  <c r="H355" i="1" s="1"/>
  <c r="I355" i="1" s="1"/>
  <c r="J355" i="1" s="1"/>
  <c r="D356" i="1"/>
  <c r="H356" i="1" s="1"/>
  <c r="I356" i="1" s="1"/>
  <c r="J356" i="1" s="1"/>
  <c r="D357" i="1"/>
  <c r="D358" i="1"/>
  <c r="D359" i="1"/>
  <c r="D360" i="1"/>
  <c r="D361" i="1"/>
  <c r="D362" i="1"/>
  <c r="D363" i="1"/>
  <c r="D364" i="1"/>
  <c r="H364" i="1" s="1"/>
  <c r="I364" i="1" s="1"/>
  <c r="J364" i="1" s="1"/>
  <c r="D365" i="1"/>
  <c r="H365" i="1" s="1"/>
  <c r="I365" i="1" s="1"/>
  <c r="J365" i="1" s="1"/>
  <c r="D366" i="1"/>
  <c r="D367" i="1"/>
  <c r="D368" i="1"/>
  <c r="D369" i="1"/>
  <c r="D370" i="1"/>
  <c r="D371" i="1"/>
  <c r="H371" i="1" s="1"/>
  <c r="D372" i="1"/>
  <c r="D373" i="1"/>
  <c r="D374" i="1"/>
  <c r="D375" i="1"/>
  <c r="D376" i="1"/>
  <c r="D377" i="1"/>
  <c r="D378" i="1"/>
  <c r="H378" i="1" s="1"/>
  <c r="I378" i="1" s="1"/>
  <c r="J378" i="1" s="1"/>
  <c r="D379" i="1"/>
  <c r="H379" i="1" s="1"/>
  <c r="I379" i="1" s="1"/>
  <c r="J379" i="1" s="1"/>
  <c r="D380" i="1"/>
  <c r="H380" i="1" s="1"/>
  <c r="I380" i="1" s="1"/>
  <c r="J380" i="1" s="1"/>
  <c r="D381" i="1"/>
  <c r="H381" i="1" s="1"/>
  <c r="I381" i="1" s="1"/>
  <c r="J381" i="1" s="1"/>
  <c r="D382" i="1"/>
  <c r="H382" i="1" s="1"/>
  <c r="I382" i="1" s="1"/>
  <c r="J382" i="1" s="1"/>
  <c r="D383" i="1"/>
  <c r="H383" i="1" s="1"/>
  <c r="I383" i="1" s="1"/>
  <c r="J383" i="1" s="1"/>
  <c r="D384" i="1"/>
  <c r="H384" i="1" s="1"/>
  <c r="D385" i="1"/>
  <c r="H385" i="1" s="1"/>
  <c r="D386" i="1"/>
  <c r="D387" i="1"/>
  <c r="D388" i="1"/>
  <c r="D389" i="1"/>
  <c r="D390" i="1"/>
  <c r="D391" i="1"/>
  <c r="D392" i="1"/>
  <c r="D393" i="1"/>
  <c r="D394" i="1"/>
  <c r="D395" i="1"/>
  <c r="H395" i="1" s="1"/>
  <c r="I395" i="1" s="1"/>
  <c r="J395" i="1" s="1"/>
  <c r="D396" i="1"/>
  <c r="D397" i="1"/>
  <c r="D398" i="1"/>
  <c r="D399" i="1"/>
  <c r="D400" i="1"/>
  <c r="H400" i="1" s="1"/>
  <c r="I400" i="1" s="1"/>
  <c r="J400" i="1" s="1"/>
  <c r="D401" i="1"/>
  <c r="D402" i="1"/>
  <c r="D403" i="1"/>
  <c r="H403" i="1" s="1"/>
  <c r="I403" i="1" s="1"/>
  <c r="J403" i="1" s="1"/>
  <c r="D404" i="1"/>
  <c r="H404" i="1" s="1"/>
  <c r="I404" i="1" s="1"/>
  <c r="J404" i="1" s="1"/>
  <c r="D405" i="1"/>
  <c r="H405" i="1" s="1"/>
  <c r="I405" i="1" s="1"/>
  <c r="J405" i="1" s="1"/>
  <c r="D406" i="1"/>
  <c r="D407" i="1"/>
  <c r="D408" i="1"/>
  <c r="D409" i="1"/>
  <c r="D410" i="1"/>
  <c r="D411" i="1"/>
  <c r="D412" i="1"/>
  <c r="D413" i="1"/>
  <c r="H413" i="1" s="1"/>
  <c r="I413" i="1" s="1"/>
  <c r="J413" i="1" s="1"/>
  <c r="D414" i="1"/>
  <c r="H414" i="1" s="1"/>
  <c r="I414" i="1" s="1"/>
  <c r="J414" i="1" s="1"/>
  <c r="D415" i="1"/>
  <c r="D416" i="1"/>
  <c r="D417" i="1"/>
  <c r="D418" i="1"/>
  <c r="D419" i="1"/>
  <c r="D420" i="1"/>
  <c r="D421" i="1"/>
  <c r="D422" i="1"/>
  <c r="D423" i="1"/>
  <c r="D424" i="1"/>
  <c r="H424" i="1" s="1"/>
  <c r="I424" i="1" s="1"/>
  <c r="J424" i="1" s="1"/>
  <c r="D425" i="1"/>
  <c r="H425" i="1" s="1"/>
  <c r="I425" i="1" s="1"/>
  <c r="J425" i="1" s="1"/>
  <c r="D426" i="1"/>
  <c r="D427" i="1"/>
  <c r="D428" i="1"/>
  <c r="D429" i="1"/>
  <c r="D430" i="1"/>
  <c r="H430" i="1" s="1"/>
  <c r="D431" i="1"/>
  <c r="H431" i="1" s="1"/>
  <c r="D432" i="1"/>
  <c r="D433" i="1"/>
  <c r="D434" i="1"/>
  <c r="D435" i="1"/>
  <c r="D436" i="1"/>
  <c r="H436" i="1" s="1"/>
  <c r="I436" i="1" s="1"/>
  <c r="J436" i="1" s="1"/>
  <c r="D437" i="1"/>
  <c r="H437" i="1" s="1"/>
  <c r="I437" i="1" s="1"/>
  <c r="J437" i="1" s="1"/>
  <c r="D438" i="1"/>
  <c r="H438" i="1" s="1"/>
  <c r="I438" i="1" s="1"/>
  <c r="J438" i="1" s="1"/>
  <c r="D439" i="1"/>
  <c r="H439" i="1" s="1"/>
  <c r="I439" i="1" s="1"/>
  <c r="J439" i="1" s="1"/>
  <c r="D440" i="1"/>
  <c r="H440" i="1" s="1"/>
  <c r="I440" i="1" s="1"/>
  <c r="J440" i="1" s="1"/>
  <c r="D441" i="1"/>
  <c r="H441" i="1" s="1"/>
  <c r="I441" i="1" s="1"/>
  <c r="J441" i="1" s="1"/>
  <c r="D442" i="1"/>
  <c r="H442" i="1" s="1"/>
  <c r="I442" i="1" s="1"/>
  <c r="J442" i="1" s="1"/>
  <c r="D443" i="1"/>
  <c r="D444" i="1"/>
  <c r="D445" i="1"/>
  <c r="D446" i="1"/>
  <c r="D447" i="1"/>
  <c r="D448" i="1"/>
  <c r="H448" i="1" s="1"/>
  <c r="I448" i="1" s="1"/>
  <c r="J448" i="1" s="1"/>
  <c r="D449" i="1"/>
  <c r="H449" i="1" s="1"/>
  <c r="I449" i="1" s="1"/>
  <c r="J449" i="1" s="1"/>
  <c r="D450" i="1"/>
  <c r="D451" i="1"/>
  <c r="D452" i="1"/>
  <c r="H452" i="1" s="1"/>
  <c r="I452" i="1" s="1"/>
  <c r="J452" i="1" s="1"/>
  <c r="D453" i="1"/>
  <c r="D454" i="1"/>
  <c r="H454" i="1" s="1"/>
  <c r="D455" i="1"/>
  <c r="H455" i="1" s="1"/>
  <c r="I455" i="1" s="1"/>
  <c r="J455" i="1" s="1"/>
  <c r="D456" i="1"/>
  <c r="H456" i="1" s="1"/>
  <c r="I456" i="1" s="1"/>
  <c r="J456" i="1" s="1"/>
  <c r="D457" i="1"/>
  <c r="D458" i="1"/>
  <c r="D459" i="1"/>
  <c r="D460" i="1"/>
  <c r="D461" i="1"/>
  <c r="H461" i="1" s="1"/>
  <c r="I461" i="1" s="1"/>
  <c r="J461" i="1" s="1"/>
  <c r="D462" i="1"/>
  <c r="D463" i="1"/>
  <c r="D464" i="1"/>
  <c r="H464" i="1" s="1"/>
  <c r="I464" i="1" s="1"/>
  <c r="J464" i="1" s="1"/>
  <c r="D465" i="1"/>
  <c r="H465" i="1" s="1"/>
  <c r="I465" i="1" s="1"/>
  <c r="J465" i="1" s="1"/>
  <c r="D466" i="1"/>
  <c r="H466" i="1" s="1"/>
  <c r="I466" i="1" s="1"/>
  <c r="J466" i="1" s="1"/>
  <c r="D467" i="1"/>
  <c r="D468" i="1"/>
  <c r="D469" i="1"/>
  <c r="D470" i="1"/>
  <c r="D471" i="1"/>
  <c r="D472" i="1"/>
  <c r="D473" i="1"/>
  <c r="D474" i="1"/>
  <c r="D475" i="1"/>
  <c r="D476" i="1"/>
  <c r="D477" i="1"/>
  <c r="D478" i="1"/>
  <c r="D479" i="1"/>
  <c r="D480" i="1"/>
  <c r="D481" i="1"/>
  <c r="D482" i="1"/>
  <c r="D483" i="1"/>
  <c r="D484" i="1"/>
  <c r="H484" i="1" s="1"/>
  <c r="I484" i="1" s="1"/>
  <c r="J484" i="1" s="1"/>
  <c r="D485" i="1"/>
  <c r="H485" i="1" s="1"/>
  <c r="I485" i="1" s="1"/>
  <c r="J485" i="1" s="1"/>
  <c r="D486" i="1"/>
  <c r="H486" i="1" s="1"/>
  <c r="I486" i="1" s="1"/>
  <c r="J486" i="1" s="1"/>
  <c r="D487" i="1"/>
  <c r="D488" i="1"/>
  <c r="D489" i="1"/>
  <c r="H489" i="1" s="1"/>
  <c r="I489" i="1" s="1"/>
  <c r="J489" i="1" s="1"/>
  <c r="D490" i="1"/>
  <c r="H490" i="1" s="1"/>
  <c r="D491" i="1"/>
  <c r="D492" i="1"/>
  <c r="D493" i="1"/>
  <c r="D494" i="1"/>
  <c r="D495" i="1"/>
  <c r="D496" i="1"/>
  <c r="D497" i="1"/>
  <c r="H497" i="1" s="1"/>
  <c r="I497" i="1" s="1"/>
  <c r="J497" i="1" s="1"/>
  <c r="D498" i="1"/>
  <c r="H498" i="1" s="1"/>
  <c r="I498" i="1" s="1"/>
  <c r="J498" i="1" s="1"/>
  <c r="D499" i="1"/>
  <c r="H499" i="1" s="1"/>
  <c r="I499" i="1" s="1"/>
  <c r="J499" i="1" s="1"/>
  <c r="D500" i="1"/>
  <c r="H500" i="1" s="1"/>
  <c r="I500" i="1" s="1"/>
  <c r="J500" i="1" s="1"/>
  <c r="D501" i="1"/>
  <c r="D502" i="1"/>
  <c r="D503" i="1"/>
  <c r="D504" i="1"/>
  <c r="D505" i="1"/>
  <c r="D506" i="1"/>
  <c r="D507" i="1"/>
  <c r="D508" i="1"/>
  <c r="H508" i="1" s="1"/>
  <c r="I508" i="1" s="1"/>
  <c r="J508" i="1" s="1"/>
  <c r="D509" i="1"/>
  <c r="H509" i="1" s="1"/>
  <c r="I509" i="1" s="1"/>
  <c r="J509" i="1" s="1"/>
  <c r="D510" i="1"/>
  <c r="D511" i="1"/>
  <c r="H511" i="1" s="1"/>
  <c r="I511" i="1" s="1"/>
  <c r="J511" i="1" s="1"/>
  <c r="D512" i="1"/>
  <c r="H512" i="1" s="1"/>
  <c r="I512" i="1" s="1"/>
  <c r="J512" i="1" s="1"/>
  <c r="D513" i="1"/>
  <c r="D514" i="1"/>
  <c r="D515" i="1"/>
  <c r="H515" i="1" s="1"/>
  <c r="I515" i="1" s="1"/>
  <c r="J515" i="1" s="1"/>
  <c r="D516" i="1"/>
  <c r="D517" i="1"/>
  <c r="D518" i="1"/>
  <c r="D519" i="1"/>
  <c r="D520" i="1"/>
  <c r="H520" i="1" s="1"/>
  <c r="I520" i="1" s="1"/>
  <c r="J520" i="1" s="1"/>
  <c r="D521" i="1"/>
  <c r="H521" i="1" s="1"/>
  <c r="I521" i="1" s="1"/>
  <c r="J521" i="1" s="1"/>
  <c r="D522" i="1"/>
  <c r="H522" i="1" s="1"/>
  <c r="I522" i="1" s="1"/>
  <c r="J522" i="1" s="1"/>
  <c r="D523" i="1"/>
  <c r="H523" i="1" s="1"/>
  <c r="I523" i="1" s="1"/>
  <c r="J523" i="1" s="1"/>
  <c r="D524" i="1"/>
  <c r="H524" i="1" s="1"/>
  <c r="I524" i="1" s="1"/>
  <c r="J524" i="1" s="1"/>
  <c r="D525" i="1"/>
  <c r="H525" i="1" s="1"/>
  <c r="I525" i="1" s="1"/>
  <c r="J525" i="1" s="1"/>
  <c r="D526" i="1"/>
  <c r="H526" i="1" s="1"/>
  <c r="I526" i="1" s="1"/>
  <c r="J526" i="1" s="1"/>
  <c r="D527" i="1"/>
  <c r="D528" i="1"/>
  <c r="H528" i="1" s="1"/>
  <c r="D529" i="1"/>
  <c r="D530" i="1"/>
  <c r="D531" i="1"/>
  <c r="D532" i="1"/>
  <c r="D533" i="1"/>
  <c r="D534" i="1"/>
  <c r="D535" i="1"/>
  <c r="D536" i="1"/>
  <c r="D537" i="1"/>
  <c r="D538" i="1"/>
  <c r="D539" i="1"/>
  <c r="H539" i="1" s="1"/>
  <c r="D540" i="1"/>
  <c r="H540" i="1" s="1"/>
  <c r="D541" i="1"/>
  <c r="H541" i="1" s="1"/>
  <c r="D542" i="1"/>
  <c r="D543" i="1"/>
  <c r="D544" i="1"/>
  <c r="H544" i="1" s="1"/>
  <c r="I544" i="1" s="1"/>
  <c r="J544" i="1" s="1"/>
  <c r="D545" i="1"/>
  <c r="D546" i="1"/>
  <c r="D547" i="1"/>
  <c r="H547" i="1" s="1"/>
  <c r="I547" i="1" s="1"/>
  <c r="J547" i="1" s="1"/>
  <c r="D548" i="1"/>
  <c r="D549" i="1"/>
  <c r="D550" i="1"/>
  <c r="H550" i="1" s="1"/>
  <c r="I550" i="1" s="1"/>
  <c r="J550" i="1" s="1"/>
  <c r="D551" i="1"/>
  <c r="H551" i="1" s="1"/>
  <c r="D552" i="1"/>
  <c r="D553" i="1"/>
  <c r="D554" i="1"/>
  <c r="D555" i="1"/>
  <c r="D556" i="1"/>
  <c r="D557" i="1"/>
  <c r="H557" i="1" s="1"/>
  <c r="I557" i="1" s="1"/>
  <c r="J557" i="1" s="1"/>
  <c r="D558" i="1"/>
  <c r="H558" i="1" s="1"/>
  <c r="I558" i="1" s="1"/>
  <c r="J558" i="1" s="1"/>
  <c r="D559" i="1"/>
  <c r="D560" i="1"/>
  <c r="D561" i="1"/>
  <c r="D562" i="1"/>
  <c r="D563" i="1"/>
  <c r="D564" i="1"/>
  <c r="D565" i="1"/>
  <c r="D566" i="1"/>
  <c r="D567" i="1"/>
  <c r="D568" i="1"/>
  <c r="H568" i="1" s="1"/>
  <c r="I568" i="1" s="1"/>
  <c r="J568" i="1" s="1"/>
  <c r="D569" i="1"/>
  <c r="H569" i="1" s="1"/>
  <c r="I569" i="1" s="1"/>
  <c r="J569" i="1" s="1"/>
  <c r="D570" i="1"/>
  <c r="H570" i="1" s="1"/>
  <c r="I570" i="1" s="1"/>
  <c r="J570" i="1" s="1"/>
  <c r="D571" i="1"/>
  <c r="H571" i="1" s="1"/>
  <c r="I571" i="1" s="1"/>
  <c r="J571" i="1" s="1"/>
  <c r="D572" i="1"/>
  <c r="D573" i="1"/>
  <c r="D574" i="1"/>
  <c r="D575" i="1"/>
  <c r="D576" i="1"/>
  <c r="D577" i="1"/>
  <c r="D578" i="1"/>
  <c r="D579" i="1"/>
  <c r="D580" i="1"/>
  <c r="H580" i="1" s="1"/>
  <c r="I580" i="1" s="1"/>
  <c r="J580" i="1" s="1"/>
  <c r="D581" i="1"/>
  <c r="H581" i="1" s="1"/>
  <c r="I581" i="1" s="1"/>
  <c r="J581" i="1" s="1"/>
  <c r="D582" i="1"/>
  <c r="D583" i="1"/>
  <c r="D584" i="1"/>
  <c r="H584" i="1" s="1"/>
  <c r="I584" i="1" s="1"/>
  <c r="J584" i="1" s="1"/>
  <c r="D585" i="1"/>
  <c r="H585" i="1" s="1"/>
  <c r="I585" i="1" s="1"/>
  <c r="J585" i="1" s="1"/>
  <c r="D586" i="1"/>
  <c r="H586" i="1" s="1"/>
  <c r="I586" i="1" s="1"/>
  <c r="J586" i="1" s="1"/>
  <c r="D587" i="1"/>
  <c r="D588" i="1"/>
  <c r="D589" i="1"/>
  <c r="D590" i="1"/>
  <c r="D591" i="1"/>
  <c r="D592" i="1"/>
  <c r="H592" i="1" s="1"/>
  <c r="I592" i="1" s="1"/>
  <c r="J592" i="1" s="1"/>
  <c r="D593" i="1"/>
  <c r="H593" i="1" s="1"/>
  <c r="I593" i="1" s="1"/>
  <c r="J593" i="1" s="1"/>
  <c r="D594" i="1"/>
  <c r="H594" i="1" s="1"/>
  <c r="I594" i="1" s="1"/>
  <c r="J594" i="1" s="1"/>
  <c r="D595" i="1"/>
  <c r="H595" i="1" s="1"/>
  <c r="I595" i="1" s="1"/>
  <c r="J595" i="1" s="1"/>
  <c r="D596" i="1"/>
  <c r="D597" i="1"/>
  <c r="D598" i="1"/>
  <c r="D599" i="1"/>
  <c r="D600" i="1"/>
  <c r="D601" i="1"/>
  <c r="D602" i="1"/>
  <c r="D603" i="1"/>
  <c r="D604" i="1"/>
  <c r="D605" i="1"/>
  <c r="H605" i="1" s="1"/>
  <c r="I605" i="1" s="1"/>
  <c r="J605" i="1" s="1"/>
  <c r="D606" i="1"/>
  <c r="H606" i="1" s="1"/>
  <c r="I606" i="1" s="1"/>
  <c r="J606" i="1" s="1"/>
  <c r="D607" i="1"/>
  <c r="H607" i="1" s="1"/>
  <c r="I607" i="1" s="1"/>
  <c r="J607" i="1" s="1"/>
  <c r="D608" i="1"/>
  <c r="H608" i="1" s="1"/>
  <c r="I608" i="1" s="1"/>
  <c r="J608" i="1" s="1"/>
  <c r="D609" i="1"/>
  <c r="H609" i="1" s="1"/>
  <c r="I609" i="1" s="1"/>
  <c r="J609" i="1" s="1"/>
  <c r="D610" i="1"/>
  <c r="D611" i="1"/>
  <c r="D612" i="1"/>
  <c r="D613" i="1"/>
  <c r="D614" i="1"/>
  <c r="D615" i="1"/>
  <c r="D616" i="1"/>
  <c r="D617" i="1"/>
  <c r="D618" i="1"/>
  <c r="D619" i="1"/>
  <c r="D620" i="1"/>
  <c r="D621" i="1"/>
  <c r="D622" i="1"/>
  <c r="D623" i="1"/>
  <c r="D624" i="1"/>
  <c r="D625" i="1"/>
  <c r="D626" i="1"/>
  <c r="D627" i="1"/>
  <c r="D628" i="1"/>
  <c r="H628" i="1" s="1"/>
  <c r="I628" i="1" s="1"/>
  <c r="J628" i="1" s="1"/>
  <c r="D629" i="1"/>
  <c r="H629" i="1" s="1"/>
  <c r="I629" i="1" s="1"/>
  <c r="J629" i="1" s="1"/>
  <c r="D630" i="1"/>
  <c r="H630" i="1" s="1"/>
  <c r="I630" i="1" s="1"/>
  <c r="J630" i="1" s="1"/>
  <c r="D631" i="1"/>
  <c r="D632" i="1"/>
  <c r="D633" i="1"/>
  <c r="H633" i="1" s="1"/>
  <c r="I633" i="1" s="1"/>
  <c r="J633" i="1" s="1"/>
  <c r="D634" i="1"/>
  <c r="H634" i="1" s="1"/>
  <c r="D635" i="1"/>
  <c r="D636" i="1"/>
  <c r="D637" i="1"/>
  <c r="D638" i="1"/>
  <c r="D639" i="1"/>
  <c r="D640" i="1"/>
  <c r="D641" i="1"/>
  <c r="H641" i="1" s="1"/>
  <c r="I641" i="1" s="1"/>
  <c r="J641" i="1" s="1"/>
  <c r="D642" i="1"/>
  <c r="H642" i="1" s="1"/>
  <c r="I642" i="1" s="1"/>
  <c r="J642" i="1" s="1"/>
  <c r="D643" i="1"/>
  <c r="H643" i="1" s="1"/>
  <c r="I643" i="1" s="1"/>
  <c r="J643" i="1" s="1"/>
  <c r="D644" i="1"/>
  <c r="D645" i="1"/>
  <c r="D646" i="1"/>
  <c r="D647" i="1"/>
  <c r="D648" i="1"/>
  <c r="D649" i="1"/>
  <c r="D650" i="1"/>
  <c r="H650" i="1" s="1"/>
  <c r="D651" i="1"/>
  <c r="H651" i="1" s="1"/>
  <c r="I651" i="1" s="1"/>
  <c r="J651" i="1" s="1"/>
  <c r="D652" i="1"/>
  <c r="D653" i="1"/>
  <c r="H653" i="1" s="1"/>
  <c r="I653" i="1" s="1"/>
  <c r="J653" i="1" s="1"/>
  <c r="D654" i="1"/>
  <c r="H654" i="1" s="1"/>
  <c r="I654" i="1" s="1"/>
  <c r="J654" i="1" s="1"/>
  <c r="D655" i="1"/>
  <c r="H655" i="1" s="1"/>
  <c r="I655" i="1" s="1"/>
  <c r="J655" i="1" s="1"/>
  <c r="D656" i="1"/>
  <c r="D657" i="1"/>
  <c r="D658" i="1"/>
  <c r="D659" i="1"/>
  <c r="D660" i="1"/>
  <c r="D661" i="1"/>
  <c r="H661" i="1" s="1"/>
  <c r="D662" i="1"/>
  <c r="D663" i="1"/>
  <c r="D664" i="1"/>
  <c r="H664" i="1" s="1"/>
  <c r="I664" i="1" s="1"/>
  <c r="J664" i="1" s="1"/>
  <c r="D665" i="1"/>
  <c r="H665" i="1" s="1"/>
  <c r="I665" i="1" s="1"/>
  <c r="J665" i="1" s="1"/>
  <c r="D666" i="1"/>
  <c r="H666" i="1" s="1"/>
  <c r="I666" i="1" s="1"/>
  <c r="J666" i="1" s="1"/>
  <c r="D667" i="1"/>
  <c r="H667" i="1" s="1"/>
  <c r="I667" i="1" s="1"/>
  <c r="J667" i="1" s="1"/>
  <c r="D668" i="1"/>
  <c r="D669" i="1"/>
  <c r="H669" i="1" s="1"/>
  <c r="I669" i="1" s="1"/>
  <c r="J669" i="1" s="1"/>
  <c r="D670" i="1"/>
  <c r="H670" i="1" s="1"/>
  <c r="I670" i="1" s="1"/>
  <c r="J670" i="1" s="1"/>
  <c r="D671" i="1"/>
  <c r="D672" i="1"/>
  <c r="D673" i="1"/>
  <c r="D674" i="1"/>
  <c r="H674" i="1" s="1"/>
  <c r="I674" i="1" s="1"/>
  <c r="J674" i="1" s="1"/>
  <c r="D675" i="1"/>
  <c r="D676" i="1"/>
  <c r="D677" i="1"/>
  <c r="H677" i="1" s="1"/>
  <c r="I677" i="1" s="1"/>
  <c r="J677" i="1" s="1"/>
  <c r="D678" i="1"/>
  <c r="D679" i="1"/>
  <c r="D680" i="1"/>
  <c r="D681" i="1"/>
  <c r="D682" i="1"/>
  <c r="D683" i="1"/>
  <c r="D684" i="1"/>
  <c r="D685" i="1"/>
  <c r="D686" i="1"/>
  <c r="D687" i="1"/>
  <c r="D688" i="1"/>
  <c r="H688" i="1" s="1"/>
  <c r="I688" i="1" s="1"/>
  <c r="J688" i="1" s="1"/>
  <c r="D689" i="1"/>
  <c r="D690" i="1"/>
  <c r="D691" i="1"/>
  <c r="H691" i="1" s="1"/>
  <c r="I691" i="1" s="1"/>
  <c r="J691" i="1" s="1"/>
  <c r="D692" i="1"/>
  <c r="H692" i="1" s="1"/>
  <c r="I692" i="1" s="1"/>
  <c r="J692" i="1" s="1"/>
  <c r="D693" i="1"/>
  <c r="H693" i="1" s="1"/>
  <c r="I693" i="1" s="1"/>
  <c r="J693" i="1" s="1"/>
  <c r="D694" i="1"/>
  <c r="H694" i="1" s="1"/>
  <c r="I694" i="1" s="1"/>
  <c r="J694" i="1" s="1"/>
  <c r="D695" i="1"/>
  <c r="D696" i="1"/>
  <c r="D697" i="1"/>
  <c r="D698" i="1"/>
  <c r="H698" i="1" s="1"/>
  <c r="D699" i="1"/>
  <c r="D700" i="1"/>
  <c r="D701" i="1"/>
  <c r="H701" i="1" s="1"/>
  <c r="I701" i="1" s="1"/>
  <c r="J701" i="1" s="1"/>
  <c r="D702" i="1"/>
  <c r="H702" i="1" s="1"/>
  <c r="I702" i="1" s="1"/>
  <c r="J702" i="1" s="1"/>
  <c r="D703" i="1"/>
  <c r="H703" i="1" s="1"/>
  <c r="I703" i="1" s="1"/>
  <c r="J703" i="1" s="1"/>
  <c r="D704" i="1"/>
  <c r="H704" i="1" s="1"/>
  <c r="I704" i="1" s="1"/>
  <c r="J704" i="1" s="1"/>
  <c r="D705" i="1"/>
  <c r="H705" i="1" s="1"/>
  <c r="I705" i="1" s="1"/>
  <c r="J705" i="1" s="1"/>
  <c r="D706" i="1"/>
  <c r="D707" i="1"/>
  <c r="D708" i="1"/>
  <c r="D709" i="1"/>
  <c r="D710" i="1"/>
  <c r="D711" i="1"/>
  <c r="D712" i="1"/>
  <c r="H712" i="1" s="1"/>
  <c r="I712" i="1" s="1"/>
  <c r="J712" i="1" s="1"/>
  <c r="D713" i="1"/>
  <c r="H713" i="1" s="1"/>
  <c r="I713" i="1" s="1"/>
  <c r="J713" i="1" s="1"/>
  <c r="D714" i="1"/>
  <c r="H714" i="1" s="1"/>
  <c r="I714" i="1" s="1"/>
  <c r="J714" i="1" s="1"/>
  <c r="D715" i="1"/>
  <c r="H715" i="1" s="1"/>
  <c r="I715" i="1" s="1"/>
  <c r="J715" i="1" s="1"/>
  <c r="D716" i="1"/>
  <c r="D717" i="1"/>
  <c r="H717" i="1" s="1"/>
  <c r="I717" i="1" s="1"/>
  <c r="J717" i="1" s="1"/>
  <c r="D718" i="1"/>
  <c r="D719" i="1"/>
  <c r="D720" i="1"/>
  <c r="D721" i="1"/>
  <c r="D722" i="1"/>
  <c r="D723" i="1"/>
  <c r="D724" i="1"/>
  <c r="D725" i="1"/>
  <c r="H725" i="1" s="1"/>
  <c r="I725" i="1" s="1"/>
  <c r="J725" i="1" s="1"/>
  <c r="D726" i="1"/>
  <c r="H726" i="1" s="1"/>
  <c r="I726" i="1" s="1"/>
  <c r="J726" i="1" s="1"/>
  <c r="D727" i="1"/>
  <c r="H727" i="1" s="1"/>
  <c r="I727" i="1" s="1"/>
  <c r="J727" i="1" s="1"/>
  <c r="D728" i="1"/>
  <c r="H728" i="1" s="1"/>
  <c r="I728" i="1" s="1"/>
  <c r="J728" i="1" s="1"/>
  <c r="D729" i="1"/>
  <c r="H729" i="1" s="1"/>
  <c r="I729" i="1" s="1"/>
  <c r="J729" i="1" s="1"/>
  <c r="D730" i="1"/>
  <c r="H730" i="1" s="1"/>
  <c r="I730" i="1" s="1"/>
  <c r="J730" i="1" s="1"/>
  <c r="D731" i="1"/>
  <c r="D732" i="1"/>
  <c r="D733" i="1"/>
  <c r="D734" i="1"/>
  <c r="D735" i="1"/>
  <c r="D736" i="1"/>
  <c r="H736" i="1" s="1"/>
  <c r="I736" i="1" s="1"/>
  <c r="J736" i="1" s="1"/>
  <c r="D737" i="1"/>
  <c r="H737" i="1" s="1"/>
  <c r="I737" i="1" s="1"/>
  <c r="J737" i="1" s="1"/>
  <c r="D738" i="1"/>
  <c r="D739" i="1"/>
  <c r="H739" i="1" s="1"/>
  <c r="I739" i="1" s="1"/>
  <c r="J739" i="1" s="1"/>
  <c r="D740" i="1"/>
  <c r="D741" i="1"/>
  <c r="D742" i="1"/>
  <c r="D743" i="1"/>
  <c r="D744" i="1"/>
  <c r="D745" i="1"/>
  <c r="D746" i="1"/>
  <c r="D747" i="1"/>
  <c r="D748" i="1"/>
  <c r="D749" i="1"/>
  <c r="H749" i="1" s="1"/>
  <c r="I749" i="1" s="1"/>
  <c r="J749" i="1" s="1"/>
  <c r="D750" i="1"/>
  <c r="H750" i="1" s="1"/>
  <c r="I750" i="1" s="1"/>
  <c r="J750" i="1" s="1"/>
  <c r="D751" i="1"/>
  <c r="H751" i="1" s="1"/>
  <c r="I751" i="1" s="1"/>
  <c r="J751" i="1" s="1"/>
  <c r="D752" i="1"/>
  <c r="H752" i="1" s="1"/>
  <c r="I752" i="1" s="1"/>
  <c r="J752" i="1" s="1"/>
  <c r="D753" i="1"/>
  <c r="H753" i="1" s="1"/>
  <c r="I753" i="1" s="1"/>
  <c r="J753" i="1" s="1"/>
  <c r="D754" i="1"/>
  <c r="H754" i="1" s="1"/>
  <c r="D755" i="1"/>
  <c r="D756" i="1"/>
  <c r="D757" i="1"/>
  <c r="D758" i="1"/>
  <c r="H758" i="1" s="1"/>
  <c r="I758" i="1" s="1"/>
  <c r="J758" i="1" s="1"/>
  <c r="D759" i="1"/>
  <c r="H759" i="1" s="1"/>
  <c r="I759" i="1" s="1"/>
  <c r="J759" i="1" s="1"/>
  <c r="D760" i="1"/>
  <c r="H760" i="1" s="1"/>
  <c r="I760" i="1" s="1"/>
  <c r="J760" i="1" s="1"/>
  <c r="D761" i="1"/>
  <c r="D762" i="1"/>
  <c r="D763" i="1"/>
  <c r="D764" i="1"/>
  <c r="D765" i="1"/>
  <c r="D766" i="1"/>
  <c r="D767" i="1"/>
  <c r="D768" i="1"/>
  <c r="D769" i="1"/>
  <c r="D770" i="1"/>
  <c r="H770" i="1" s="1"/>
  <c r="D771" i="1"/>
  <c r="D772" i="1"/>
  <c r="D773" i="1"/>
  <c r="D774" i="1"/>
  <c r="H774" i="1" s="1"/>
  <c r="I774" i="1" s="1"/>
  <c r="J774" i="1" s="1"/>
  <c r="D775" i="1"/>
  <c r="D776" i="1"/>
  <c r="H776" i="1" s="1"/>
  <c r="I776" i="1" s="1"/>
  <c r="J776" i="1" s="1"/>
  <c r="D777" i="1"/>
  <c r="H777" i="1" s="1"/>
  <c r="I777" i="1" s="1"/>
  <c r="J777" i="1" s="1"/>
  <c r="D778" i="1"/>
  <c r="H778" i="1" s="1"/>
  <c r="I778" i="1" s="1"/>
  <c r="J778" i="1" s="1"/>
  <c r="D779" i="1"/>
  <c r="D780" i="1"/>
  <c r="D781" i="1"/>
  <c r="H781" i="1" s="1"/>
  <c r="D782" i="1"/>
  <c r="H782" i="1" s="1"/>
  <c r="D783" i="1"/>
  <c r="D784" i="1"/>
  <c r="H784" i="1" s="1"/>
  <c r="I784" i="1" s="1"/>
  <c r="J784" i="1" s="1"/>
  <c r="D785" i="1"/>
  <c r="H785" i="1" s="1"/>
  <c r="I785" i="1" s="1"/>
  <c r="J785" i="1" s="1"/>
  <c r="D786" i="1"/>
  <c r="H786" i="1" s="1"/>
  <c r="I786" i="1" s="1"/>
  <c r="J786" i="1" s="1"/>
  <c r="D787" i="1"/>
  <c r="H787" i="1" s="1"/>
  <c r="I787" i="1" s="1"/>
  <c r="J787" i="1" s="1"/>
  <c r="D788" i="1"/>
  <c r="D789" i="1"/>
  <c r="H789" i="1" s="1"/>
  <c r="I789" i="1" s="1"/>
  <c r="J789" i="1" s="1"/>
  <c r="D790" i="1"/>
  <c r="H790" i="1" s="1"/>
  <c r="I790" i="1" s="1"/>
  <c r="J790" i="1" s="1"/>
  <c r="D791" i="1"/>
  <c r="D792" i="1"/>
  <c r="D793" i="1"/>
  <c r="D794" i="1"/>
  <c r="D795" i="1"/>
  <c r="D796" i="1"/>
  <c r="H796" i="1" s="1"/>
  <c r="I796" i="1" s="1"/>
  <c r="J796" i="1" s="1"/>
  <c r="D797" i="1"/>
  <c r="H797" i="1" s="1"/>
  <c r="I797" i="1" s="1"/>
  <c r="J797" i="1" s="1"/>
  <c r="D798" i="1"/>
  <c r="H798" i="1" s="1"/>
  <c r="I798" i="1" s="1"/>
  <c r="J798" i="1" s="1"/>
  <c r="D799" i="1"/>
  <c r="H799" i="1" s="1"/>
  <c r="I799" i="1" s="1"/>
  <c r="J799" i="1" s="1"/>
  <c r="D800" i="1"/>
  <c r="D801" i="1"/>
  <c r="D802" i="1"/>
  <c r="D803" i="1"/>
  <c r="D804" i="1"/>
  <c r="D805" i="1"/>
  <c r="D806" i="1"/>
  <c r="D807" i="1"/>
  <c r="D808" i="1"/>
  <c r="D809" i="1"/>
  <c r="D810" i="1"/>
  <c r="H810" i="1" s="1"/>
  <c r="I810" i="1" s="1"/>
  <c r="J810" i="1" s="1"/>
  <c r="D811" i="1"/>
  <c r="H811" i="1" s="1"/>
  <c r="I811" i="1" s="1"/>
  <c r="J811" i="1" s="1"/>
  <c r="D812" i="1"/>
  <c r="H812" i="1" s="1"/>
  <c r="I812" i="1" s="1"/>
  <c r="J812" i="1" s="1"/>
  <c r="D813" i="1"/>
  <c r="H813" i="1" s="1"/>
  <c r="I813" i="1" s="1"/>
  <c r="J813" i="1" s="1"/>
  <c r="D814" i="1"/>
  <c r="H814" i="1" s="1"/>
  <c r="I814" i="1" s="1"/>
  <c r="J814" i="1" s="1"/>
  <c r="D815" i="1"/>
  <c r="D816" i="1"/>
  <c r="D817" i="1"/>
  <c r="D818" i="1"/>
  <c r="D819" i="1"/>
  <c r="D820" i="1"/>
  <c r="D821" i="1"/>
  <c r="H821" i="1" s="1"/>
  <c r="I821" i="1" s="1"/>
  <c r="J821" i="1" s="1"/>
  <c r="D822" i="1"/>
  <c r="D823" i="1"/>
  <c r="D824" i="1"/>
  <c r="D825" i="1"/>
  <c r="D826" i="1"/>
  <c r="D827" i="1"/>
  <c r="D828" i="1"/>
  <c r="D829" i="1"/>
  <c r="D830" i="1"/>
  <c r="D831" i="1"/>
  <c r="D832" i="1"/>
  <c r="H832" i="1" s="1"/>
  <c r="I832" i="1" s="1"/>
  <c r="J832" i="1" s="1"/>
  <c r="D833" i="1"/>
  <c r="H833" i="1" s="1"/>
  <c r="I833" i="1" s="1"/>
  <c r="J833" i="1" s="1"/>
  <c r="D834" i="1"/>
  <c r="H834" i="1" s="1"/>
  <c r="I834" i="1" s="1"/>
  <c r="J834" i="1" s="1"/>
  <c r="D835" i="1"/>
  <c r="H835" i="1" s="1"/>
  <c r="I835" i="1" s="1"/>
  <c r="J835" i="1" s="1"/>
  <c r="D836" i="1"/>
  <c r="H836" i="1" s="1"/>
  <c r="I836" i="1" s="1"/>
  <c r="J836" i="1" s="1"/>
  <c r="D837" i="1"/>
  <c r="H837" i="1" s="1"/>
  <c r="I837" i="1" s="1"/>
  <c r="J837" i="1" s="1"/>
  <c r="D838" i="1"/>
  <c r="H838" i="1" s="1"/>
  <c r="I838" i="1" s="1"/>
  <c r="J838" i="1" s="1"/>
  <c r="D839" i="1"/>
  <c r="H839" i="1" s="1"/>
  <c r="D840" i="1"/>
  <c r="H840" i="1" s="1"/>
  <c r="D841" i="1"/>
  <c r="D842" i="1"/>
  <c r="D843" i="1"/>
  <c r="D844" i="1"/>
  <c r="D845" i="1"/>
  <c r="D846" i="1"/>
  <c r="H846" i="1" s="1"/>
  <c r="I846" i="1" s="1"/>
  <c r="J846" i="1" s="1"/>
  <c r="D847" i="1"/>
  <c r="D848" i="1"/>
  <c r="H848" i="1" s="1"/>
  <c r="D849" i="1"/>
  <c r="H849" i="1" s="1"/>
  <c r="I849" i="1" s="1"/>
  <c r="J849" i="1" s="1"/>
  <c r="D850" i="1"/>
  <c r="H850" i="1" s="1"/>
  <c r="I850" i="1" s="1"/>
  <c r="J850" i="1" s="1"/>
  <c r="D851" i="1"/>
  <c r="D852" i="1"/>
  <c r="D853" i="1"/>
  <c r="D854" i="1"/>
  <c r="D855" i="1"/>
  <c r="D856" i="1"/>
  <c r="H856" i="1" s="1"/>
  <c r="I856" i="1" s="1"/>
  <c r="J856" i="1" s="1"/>
  <c r="D857" i="1"/>
  <c r="H857" i="1" s="1"/>
  <c r="I857" i="1" s="1"/>
  <c r="J857" i="1" s="1"/>
  <c r="D858" i="1"/>
  <c r="D859" i="1"/>
  <c r="D860" i="1"/>
  <c r="H860" i="1" s="1"/>
  <c r="I860" i="1" s="1"/>
  <c r="J860" i="1" s="1"/>
  <c r="D861" i="1"/>
  <c r="D862" i="1"/>
  <c r="D863" i="1"/>
  <c r="D864" i="1"/>
  <c r="D865" i="1"/>
  <c r="D866" i="1"/>
  <c r="D867" i="1"/>
  <c r="D868" i="1"/>
  <c r="D869" i="1"/>
  <c r="H869" i="1" s="1"/>
  <c r="I869" i="1" s="1"/>
  <c r="J869" i="1" s="1"/>
  <c r="D870" i="1"/>
  <c r="H870" i="1" s="1"/>
  <c r="I870" i="1" s="1"/>
  <c r="J870" i="1" s="1"/>
  <c r="D871" i="1"/>
  <c r="H871" i="1" s="1"/>
  <c r="I871" i="1" s="1"/>
  <c r="J871" i="1" s="1"/>
  <c r="D872" i="1"/>
  <c r="H872" i="1" s="1"/>
  <c r="I872" i="1" s="1"/>
  <c r="J872" i="1" s="1"/>
  <c r="D873" i="1"/>
  <c r="H873" i="1" s="1"/>
  <c r="I873" i="1" s="1"/>
  <c r="J873" i="1" s="1"/>
  <c r="D874" i="1"/>
  <c r="D875" i="1"/>
  <c r="D876" i="1"/>
  <c r="D877" i="1"/>
  <c r="D878" i="1"/>
  <c r="D879" i="1"/>
  <c r="H879" i="1" s="1"/>
  <c r="D880" i="1"/>
  <c r="H880" i="1" s="1"/>
  <c r="D881" i="1"/>
  <c r="H881" i="1" s="1"/>
  <c r="I881" i="1" s="1"/>
  <c r="J881" i="1" s="1"/>
  <c r="D882" i="1"/>
  <c r="H882" i="1" s="1"/>
  <c r="I882" i="1" s="1"/>
  <c r="J882" i="1" s="1"/>
  <c r="D883" i="1"/>
  <c r="H883" i="1" s="1"/>
  <c r="I883" i="1" s="1"/>
  <c r="J883" i="1" s="1"/>
  <c r="D884" i="1"/>
  <c r="D885" i="1"/>
  <c r="D886" i="1"/>
  <c r="D887" i="1"/>
  <c r="H887" i="1" s="1"/>
  <c r="D888" i="1"/>
  <c r="D889" i="1"/>
  <c r="D890" i="1"/>
  <c r="D891" i="1"/>
  <c r="D892" i="1"/>
  <c r="H892" i="1" s="1"/>
  <c r="D893" i="1"/>
  <c r="H893" i="1" s="1"/>
  <c r="I893" i="1" s="1"/>
  <c r="J893" i="1" s="1"/>
  <c r="D894" i="1"/>
  <c r="D895" i="1"/>
  <c r="D896" i="1"/>
  <c r="H896" i="1" s="1"/>
  <c r="I896" i="1" s="1"/>
  <c r="J896" i="1" s="1"/>
  <c r="D897" i="1"/>
  <c r="H897" i="1" s="1"/>
  <c r="I897" i="1" s="1"/>
  <c r="J897" i="1" s="1"/>
  <c r="D898" i="1"/>
  <c r="H898" i="1" s="1"/>
  <c r="I898" i="1" s="1"/>
  <c r="J898" i="1" s="1"/>
  <c r="D899" i="1"/>
  <c r="D900" i="1"/>
  <c r="D901" i="1"/>
  <c r="D902" i="1"/>
  <c r="D903" i="1"/>
  <c r="D904" i="1"/>
  <c r="D905" i="1"/>
  <c r="D906" i="1"/>
  <c r="D907" i="1"/>
  <c r="D908" i="1"/>
  <c r="D909" i="1"/>
  <c r="D910" i="1"/>
  <c r="H910" i="1" s="1"/>
  <c r="D911" i="1"/>
  <c r="D912" i="1"/>
  <c r="D913" i="1"/>
  <c r="D914" i="1"/>
  <c r="D915" i="1"/>
  <c r="D916" i="1"/>
  <c r="H916" i="1" s="1"/>
  <c r="I916" i="1" s="1"/>
  <c r="J916" i="1" s="1"/>
  <c r="D917" i="1"/>
  <c r="H917" i="1" s="1"/>
  <c r="I917" i="1" s="1"/>
  <c r="J917" i="1" s="1"/>
  <c r="D918" i="1"/>
  <c r="H918" i="1" s="1"/>
  <c r="I918" i="1" s="1"/>
  <c r="J918" i="1" s="1"/>
  <c r="D919" i="1"/>
  <c r="D920" i="1"/>
  <c r="D921" i="1"/>
  <c r="H921" i="1" s="1"/>
  <c r="I921" i="1" s="1"/>
  <c r="J921" i="1" s="1"/>
  <c r="D922" i="1"/>
  <c r="H922" i="1" s="1"/>
  <c r="I922" i="1" s="1"/>
  <c r="J922" i="1" s="1"/>
  <c r="D923" i="1"/>
  <c r="D924" i="1"/>
  <c r="D925" i="1"/>
  <c r="D926" i="1"/>
  <c r="D927" i="1"/>
  <c r="D928" i="1"/>
  <c r="D929" i="1"/>
  <c r="D930" i="1"/>
  <c r="D931" i="1"/>
  <c r="D932" i="1"/>
  <c r="D933" i="1"/>
  <c r="D934" i="1"/>
  <c r="D935" i="1"/>
  <c r="D936" i="1"/>
  <c r="D937" i="1"/>
  <c r="D938" i="1"/>
  <c r="D939" i="1"/>
  <c r="D940" i="1"/>
  <c r="H940" i="1" s="1"/>
  <c r="I940" i="1" s="1"/>
  <c r="J940" i="1" s="1"/>
  <c r="D941" i="1"/>
  <c r="H941" i="1" s="1"/>
  <c r="I941" i="1" s="1"/>
  <c r="J941" i="1" s="1"/>
  <c r="D942" i="1"/>
  <c r="H942" i="1" s="1"/>
  <c r="I942" i="1" s="1"/>
  <c r="J942" i="1" s="1"/>
  <c r="D943" i="1"/>
  <c r="H943" i="1" s="1"/>
  <c r="I943" i="1" s="1"/>
  <c r="J943" i="1" s="1"/>
  <c r="D944" i="1"/>
  <c r="D945" i="1"/>
  <c r="D946" i="1"/>
  <c r="D947" i="1"/>
  <c r="D948" i="1"/>
  <c r="H948" i="1" s="1"/>
  <c r="D949" i="1"/>
  <c r="H949" i="1" s="1"/>
  <c r="D950" i="1"/>
  <c r="D951" i="1"/>
  <c r="H951" i="1" s="1"/>
  <c r="D952" i="1"/>
  <c r="D953" i="1"/>
  <c r="H953" i="1" s="1"/>
  <c r="I953" i="1" s="1"/>
  <c r="J953" i="1" s="1"/>
  <c r="D954" i="1"/>
  <c r="H954" i="1" s="1"/>
  <c r="I954" i="1" s="1"/>
  <c r="J954" i="1" s="1"/>
  <c r="D955" i="1"/>
  <c r="H955" i="1" s="1"/>
  <c r="I955" i="1" s="1"/>
  <c r="J955" i="1" s="1"/>
  <c r="D956" i="1"/>
  <c r="H956" i="1" s="1"/>
  <c r="I956" i="1" s="1"/>
  <c r="J956" i="1" s="1"/>
  <c r="D957" i="1"/>
  <c r="H957" i="1" s="1"/>
  <c r="I957" i="1" s="1"/>
  <c r="J957" i="1" s="1"/>
  <c r="D958" i="1"/>
  <c r="H958" i="1" s="1"/>
  <c r="I958" i="1" s="1"/>
  <c r="J958" i="1" s="1"/>
  <c r="D959" i="1"/>
  <c r="D960" i="1"/>
  <c r="D961" i="1"/>
  <c r="D962" i="1"/>
  <c r="H962" i="1" s="1"/>
  <c r="D963" i="1"/>
  <c r="D964" i="1"/>
  <c r="H964" i="1" s="1"/>
  <c r="I964" i="1" s="1"/>
  <c r="J964" i="1" s="1"/>
  <c r="D965" i="1"/>
  <c r="H965" i="1" s="1"/>
  <c r="I965" i="1" s="1"/>
  <c r="J965" i="1" s="1"/>
  <c r="D966" i="1"/>
  <c r="H966" i="1" s="1"/>
  <c r="I966" i="1" s="1"/>
  <c r="J966" i="1" s="1"/>
  <c r="D967" i="1"/>
  <c r="H967" i="1" s="1"/>
  <c r="I967" i="1" s="1"/>
  <c r="J967" i="1" s="1"/>
  <c r="D968" i="1"/>
  <c r="D969" i="1"/>
  <c r="H969" i="1" s="1"/>
  <c r="I969" i="1" s="1"/>
  <c r="J969" i="1" s="1"/>
  <c r="D970" i="1"/>
  <c r="H970" i="1" s="1"/>
  <c r="I970" i="1" s="1"/>
  <c r="J970" i="1" s="1"/>
  <c r="D971" i="1"/>
  <c r="D972" i="1"/>
  <c r="D973" i="1"/>
  <c r="D974" i="1"/>
  <c r="D975" i="1"/>
  <c r="D976" i="1"/>
  <c r="H976" i="1" s="1"/>
  <c r="I976" i="1" s="1"/>
  <c r="J976" i="1" s="1"/>
  <c r="D977" i="1"/>
  <c r="D978" i="1"/>
  <c r="D979" i="1"/>
  <c r="H979" i="1" s="1"/>
  <c r="I979" i="1" s="1"/>
  <c r="J979" i="1" s="1"/>
  <c r="D980" i="1"/>
  <c r="D981" i="1"/>
  <c r="D982" i="1"/>
  <c r="D983" i="1"/>
  <c r="D984" i="1"/>
  <c r="D985" i="1"/>
  <c r="D986" i="1"/>
  <c r="D987" i="1"/>
  <c r="D988" i="1"/>
  <c r="D989" i="1"/>
  <c r="D990" i="1"/>
  <c r="D991" i="1"/>
  <c r="D992" i="1"/>
  <c r="D993" i="1"/>
  <c r="D994" i="1"/>
  <c r="H994" i="1" s="1"/>
  <c r="D995" i="1"/>
  <c r="D996" i="1"/>
  <c r="D997" i="1"/>
  <c r="D998" i="1"/>
  <c r="D999" i="1"/>
  <c r="D1000" i="1"/>
  <c r="H1000" i="1" s="1"/>
  <c r="I1000" i="1" s="1"/>
  <c r="J1000" i="1" s="1"/>
  <c r="D1001" i="1"/>
  <c r="H1001" i="1" s="1"/>
  <c r="I1001" i="1" s="1"/>
  <c r="J1001" i="1" s="1"/>
  <c r="D1002" i="1"/>
  <c r="H1002" i="1" s="1"/>
  <c r="I1002" i="1" s="1"/>
  <c r="J1002" i="1" s="1"/>
  <c r="D1003" i="1"/>
  <c r="H1003" i="1" s="1"/>
  <c r="I1003" i="1" s="1"/>
  <c r="J1003" i="1" s="1"/>
  <c r="D1004" i="1"/>
  <c r="H1004" i="1" s="1"/>
  <c r="I1004" i="1" s="1"/>
  <c r="J1004" i="1" s="1"/>
  <c r="D1005" i="1"/>
  <c r="D1006" i="1"/>
  <c r="D1007" i="1"/>
  <c r="H1007" i="1" s="1"/>
  <c r="D1008" i="1"/>
  <c r="D1009" i="1"/>
  <c r="D1010" i="1"/>
  <c r="D1011" i="1"/>
  <c r="D1012" i="1"/>
  <c r="H1012" i="1" s="1"/>
  <c r="I1012" i="1" s="1"/>
  <c r="J1012" i="1" s="1"/>
  <c r="D1013" i="1"/>
  <c r="H1013" i="1" s="1"/>
  <c r="I1013" i="1" s="1"/>
  <c r="J1013" i="1" s="1"/>
  <c r="D1014" i="1"/>
  <c r="D1015" i="1"/>
  <c r="D1016" i="1"/>
  <c r="H1016" i="1" s="1"/>
  <c r="I1016" i="1" s="1"/>
  <c r="J1016" i="1" s="1"/>
  <c r="D1017" i="1"/>
  <c r="D1018" i="1"/>
  <c r="D1019" i="1"/>
  <c r="D1020" i="1"/>
  <c r="D1021" i="1"/>
  <c r="H1021" i="1" s="1"/>
  <c r="D1022" i="1"/>
  <c r="D1023" i="1"/>
  <c r="D1024" i="1"/>
  <c r="H1024" i="1" s="1"/>
  <c r="I1024" i="1" s="1"/>
  <c r="J1024" i="1" s="1"/>
  <c r="D1025" i="1"/>
  <c r="H1025" i="1" s="1"/>
  <c r="I1025" i="1" s="1"/>
  <c r="J1025" i="1" s="1"/>
  <c r="D1026" i="1"/>
  <c r="H1026" i="1" s="1"/>
  <c r="I1026" i="1" s="1"/>
  <c r="J1026" i="1" s="1"/>
  <c r="D1027" i="1"/>
  <c r="H1027" i="1" s="1"/>
  <c r="I1027" i="1" s="1"/>
  <c r="J1027" i="1" s="1"/>
  <c r="D1028" i="1"/>
  <c r="H1028" i="1" s="1"/>
  <c r="I1028" i="1" s="1"/>
  <c r="J1028" i="1" s="1"/>
  <c r="D1029" i="1"/>
  <c r="D1030" i="1"/>
  <c r="D1031" i="1"/>
  <c r="D1032" i="1"/>
  <c r="D1033" i="1"/>
  <c r="D1034" i="1"/>
  <c r="D1035" i="1"/>
  <c r="D1036" i="1"/>
  <c r="H1036" i="1" s="1"/>
  <c r="D1037" i="1"/>
  <c r="H1037" i="1" s="1"/>
  <c r="I1037" i="1" s="1"/>
  <c r="J1037" i="1" s="1"/>
  <c r="D1038" i="1"/>
  <c r="H1038" i="1" s="1"/>
  <c r="I1038" i="1" s="1"/>
  <c r="J1038" i="1" s="1"/>
  <c r="D1039" i="1"/>
  <c r="H1039" i="1" s="1"/>
  <c r="I1039" i="1" s="1"/>
  <c r="J1039" i="1" s="1"/>
  <c r="D1040" i="1"/>
  <c r="H1040" i="1" s="1"/>
  <c r="I1040" i="1" s="1"/>
  <c r="J1040" i="1" s="1"/>
  <c r="D1041" i="1"/>
  <c r="H1041" i="1" s="1"/>
  <c r="I1041" i="1" s="1"/>
  <c r="J1041" i="1" s="1"/>
  <c r="D1042" i="1"/>
  <c r="H1042" i="1" s="1"/>
  <c r="I1042" i="1" s="1"/>
  <c r="J1042" i="1" s="1"/>
  <c r="D1043" i="1"/>
  <c r="D1044" i="1"/>
  <c r="D1045" i="1"/>
  <c r="D1046" i="1"/>
  <c r="H1046" i="1" s="1"/>
  <c r="I1046" i="1" s="1"/>
  <c r="J1046" i="1" s="1"/>
  <c r="D1047" i="1"/>
  <c r="H1047" i="1" s="1"/>
  <c r="I1047" i="1" s="1"/>
  <c r="J1047" i="1" s="1"/>
  <c r="D1048" i="1"/>
  <c r="D1049" i="1"/>
  <c r="D1050" i="1"/>
  <c r="H1050" i="1" s="1"/>
  <c r="D1051" i="1"/>
  <c r="H1051" i="1" s="1"/>
  <c r="D1052" i="1"/>
  <c r="D1053" i="1"/>
  <c r="D1054" i="1"/>
  <c r="D1055" i="1"/>
  <c r="D1056" i="1"/>
  <c r="D1057" i="1"/>
  <c r="D1058" i="1"/>
  <c r="D1059" i="1"/>
  <c r="H1059" i="1" s="1"/>
  <c r="D1060" i="1"/>
  <c r="H1060" i="1" s="1"/>
  <c r="I1060" i="1" s="1"/>
  <c r="J1060" i="1" s="1"/>
  <c r="D1061" i="1"/>
  <c r="H1061" i="1" s="1"/>
  <c r="I1061" i="1" s="1"/>
  <c r="J1061" i="1" s="1"/>
  <c r="D1062" i="1"/>
  <c r="H1062" i="1" s="1"/>
  <c r="I1062" i="1" s="1"/>
  <c r="J1062" i="1" s="1"/>
  <c r="D1063" i="1"/>
  <c r="D1064" i="1"/>
  <c r="D1065" i="1"/>
  <c r="D1066" i="1"/>
  <c r="D1067" i="1"/>
  <c r="D1068" i="1"/>
  <c r="D1069" i="1"/>
  <c r="D1070" i="1"/>
  <c r="D1071" i="1"/>
  <c r="D1072" i="1"/>
  <c r="D1073" i="1"/>
  <c r="D1074" i="1"/>
  <c r="D1075" i="1"/>
  <c r="D1076" i="1"/>
  <c r="D1077" i="1"/>
  <c r="D1078" i="1"/>
  <c r="D1079" i="1"/>
  <c r="D1080" i="1"/>
  <c r="D1081" i="1"/>
  <c r="D1082" i="1"/>
  <c r="D1083" i="1"/>
  <c r="D1084" i="1"/>
  <c r="H1084" i="1" s="1"/>
  <c r="I1084" i="1" s="1"/>
  <c r="J1084" i="1" s="1"/>
  <c r="D1085" i="1"/>
  <c r="H1085" i="1" s="1"/>
  <c r="I1085" i="1" s="1"/>
  <c r="J1085" i="1" s="1"/>
  <c r="D1086" i="1"/>
  <c r="H1086" i="1" s="1"/>
  <c r="I1086" i="1" s="1"/>
  <c r="J1086" i="1" s="1"/>
  <c r="D1087" i="1"/>
  <c r="H1087" i="1" s="1"/>
  <c r="I1087" i="1" s="1"/>
  <c r="J1087" i="1" s="1"/>
  <c r="D1088" i="1"/>
  <c r="H1088" i="1" s="1"/>
  <c r="I1088" i="1" s="1"/>
  <c r="J1088" i="1" s="1"/>
  <c r="D1089" i="1"/>
  <c r="H1089" i="1" s="1"/>
  <c r="I1089" i="1" s="1"/>
  <c r="J1089" i="1" s="1"/>
  <c r="D1090" i="1"/>
  <c r="D1091" i="1"/>
  <c r="D1092" i="1"/>
  <c r="D1093" i="1"/>
  <c r="D1094" i="1"/>
  <c r="H1094" i="1" s="1"/>
  <c r="D1095" i="1"/>
  <c r="D1096" i="1"/>
  <c r="H1096" i="1" s="1"/>
  <c r="D1097" i="1"/>
  <c r="D1098" i="1"/>
  <c r="H1098" i="1" s="1"/>
  <c r="I1098" i="1" s="1"/>
  <c r="J1098" i="1" s="1"/>
  <c r="D1099" i="1"/>
  <c r="H1099" i="1" s="1"/>
  <c r="I1099" i="1" s="1"/>
  <c r="J1099" i="1" s="1"/>
  <c r="D1100" i="1"/>
  <c r="D1101" i="1"/>
  <c r="D1102" i="1"/>
  <c r="D1103" i="1"/>
  <c r="H1103" i="1" s="1"/>
  <c r="I1103" i="1" s="1"/>
  <c r="J1103" i="1" s="1"/>
  <c r="D1104" i="1"/>
  <c r="H1104" i="1" s="1"/>
  <c r="I1104" i="1" s="1"/>
  <c r="J1104" i="1" s="1"/>
  <c r="D1105" i="1"/>
  <c r="D1106" i="1"/>
  <c r="D1107" i="1"/>
  <c r="D1108" i="1"/>
  <c r="H1108" i="1" s="1"/>
  <c r="I1108" i="1" s="1"/>
  <c r="J1108" i="1" s="1"/>
  <c r="D1109" i="1"/>
  <c r="H1109" i="1" s="1"/>
  <c r="I1109" i="1" s="1"/>
  <c r="J1109" i="1" s="1"/>
  <c r="D1110" i="1"/>
  <c r="D1111" i="1"/>
  <c r="D1112" i="1"/>
  <c r="D1113" i="1"/>
  <c r="D1114" i="1"/>
  <c r="D1115" i="1"/>
  <c r="D1116" i="1"/>
  <c r="D1117" i="1"/>
  <c r="D1118" i="1"/>
  <c r="D1119" i="1"/>
  <c r="D1120" i="1"/>
  <c r="H1120" i="1" s="1"/>
  <c r="I1120" i="1" s="1"/>
  <c r="J1120" i="1" s="1"/>
  <c r="D1121" i="1"/>
  <c r="H1121" i="1" s="1"/>
  <c r="I1121" i="1" s="1"/>
  <c r="J1121" i="1" s="1"/>
  <c r="D1122" i="1"/>
  <c r="D1123" i="1"/>
  <c r="D1124" i="1"/>
  <c r="D1125" i="1"/>
  <c r="H1125" i="1" s="1"/>
  <c r="I1125" i="1" s="1"/>
  <c r="J1125" i="1" s="1"/>
  <c r="D1126" i="1"/>
  <c r="H1126" i="1" s="1"/>
  <c r="I1126" i="1" s="1"/>
  <c r="J1126" i="1" s="1"/>
  <c r="D1127" i="1"/>
  <c r="D1128" i="1"/>
  <c r="D1129" i="1"/>
  <c r="D1130" i="1"/>
  <c r="D1131" i="1"/>
  <c r="D1132" i="1"/>
  <c r="H1132" i="1" s="1"/>
  <c r="I1132" i="1" s="1"/>
  <c r="J1132" i="1" s="1"/>
  <c r="D1133" i="1"/>
  <c r="H1133" i="1" s="1"/>
  <c r="I1133" i="1" s="1"/>
  <c r="J1133" i="1" s="1"/>
  <c r="D1134" i="1"/>
  <c r="H1134" i="1" s="1"/>
  <c r="I1134" i="1" s="1"/>
  <c r="J1134" i="1" s="1"/>
  <c r="D1135" i="1"/>
  <c r="H1135" i="1" s="1"/>
  <c r="I1135" i="1" s="1"/>
  <c r="J1135" i="1" s="1"/>
  <c r="D1136" i="1"/>
  <c r="H1136" i="1" s="1"/>
  <c r="I1136" i="1" s="1"/>
  <c r="J1136" i="1" s="1"/>
  <c r="D1137" i="1"/>
  <c r="H1137" i="1" s="1"/>
  <c r="I1137" i="1" s="1"/>
  <c r="J1137" i="1" s="1"/>
  <c r="D1138" i="1"/>
  <c r="H1138" i="1" s="1"/>
  <c r="I1138" i="1" s="1"/>
  <c r="J1138" i="1" s="1"/>
  <c r="D1139" i="1"/>
  <c r="H1139" i="1" s="1"/>
  <c r="I1139" i="1" s="1"/>
  <c r="J1139" i="1" s="1"/>
  <c r="D1140" i="1"/>
  <c r="D1141" i="1"/>
  <c r="D1142" i="1"/>
  <c r="D1143" i="1"/>
  <c r="D1144" i="1"/>
  <c r="D1145" i="1"/>
  <c r="D1146" i="1"/>
  <c r="H1146" i="1" s="1"/>
  <c r="I1146" i="1" s="1"/>
  <c r="J1146" i="1" s="1"/>
  <c r="D1147" i="1"/>
  <c r="H1147" i="1" s="1"/>
  <c r="I1147" i="1" s="1"/>
  <c r="J1147" i="1" s="1"/>
  <c r="D1148" i="1"/>
  <c r="H1148" i="1" s="1"/>
  <c r="I1148" i="1" s="1"/>
  <c r="J1148" i="1" s="1"/>
  <c r="D1149" i="1"/>
  <c r="D1150" i="1"/>
  <c r="D1151" i="1"/>
  <c r="D1152" i="1"/>
  <c r="D1153" i="1"/>
  <c r="D1154" i="1"/>
  <c r="D1155" i="1"/>
  <c r="D1156" i="1"/>
  <c r="H1156" i="1" s="1"/>
  <c r="I1156" i="1" s="1"/>
  <c r="J1156" i="1" s="1"/>
  <c r="D1157" i="1"/>
  <c r="H1157" i="1" s="1"/>
  <c r="I1157" i="1" s="1"/>
  <c r="J1157" i="1" s="1"/>
  <c r="D1158" i="1"/>
  <c r="D1159" i="1"/>
  <c r="D1160" i="1"/>
  <c r="D1161" i="1"/>
  <c r="D1162" i="1"/>
  <c r="D1163" i="1"/>
  <c r="D1164" i="1"/>
  <c r="D1165" i="1"/>
  <c r="D1166" i="1"/>
  <c r="D1167" i="1"/>
  <c r="D1168" i="1"/>
  <c r="H1168" i="1" s="1"/>
  <c r="I1168" i="1" s="1"/>
  <c r="J1168" i="1" s="1"/>
  <c r="D1169" i="1"/>
  <c r="H1169" i="1" s="1"/>
  <c r="I1169" i="1" s="1"/>
  <c r="J1169" i="1" s="1"/>
  <c r="D1170" i="1"/>
  <c r="H1170" i="1" s="1"/>
  <c r="I1170" i="1" s="1"/>
  <c r="J1170" i="1" s="1"/>
  <c r="D1171" i="1"/>
  <c r="H1171" i="1" s="1"/>
  <c r="I1171" i="1" s="1"/>
  <c r="J1171" i="1" s="1"/>
  <c r="D1172" i="1"/>
  <c r="H1172" i="1" s="1"/>
  <c r="I1172" i="1" s="1"/>
  <c r="J1172" i="1" s="1"/>
  <c r="D1173" i="1"/>
  <c r="H1173" i="1" s="1"/>
  <c r="I1173" i="1" s="1"/>
  <c r="J1173" i="1" s="1"/>
  <c r="D1174" i="1"/>
  <c r="H1174" i="1" s="1"/>
  <c r="I1174" i="1" s="1"/>
  <c r="J1174" i="1" s="1"/>
  <c r="D1175" i="1"/>
  <c r="H1175" i="1" s="1"/>
  <c r="I1175" i="1" s="1"/>
  <c r="J1175" i="1" s="1"/>
  <c r="D1176" i="1"/>
  <c r="D1177" i="1"/>
  <c r="D1178" i="1"/>
  <c r="H1178" i="1" s="1"/>
  <c r="D1179" i="1"/>
  <c r="D1180" i="1"/>
  <c r="H1180" i="1" s="1"/>
  <c r="I1180" i="1" s="1"/>
  <c r="J1180" i="1" s="1"/>
  <c r="D1181" i="1"/>
  <c r="H1181" i="1" s="1"/>
  <c r="I1181" i="1" s="1"/>
  <c r="J1181" i="1" s="1"/>
  <c r="D1182" i="1"/>
  <c r="D1183" i="1"/>
  <c r="D1184" i="1"/>
  <c r="H1184" i="1" s="1"/>
  <c r="I1184" i="1" s="1"/>
  <c r="J1184" i="1" s="1"/>
  <c r="D1185" i="1"/>
  <c r="D1186" i="1"/>
  <c r="D1187" i="1"/>
  <c r="H1187" i="1" s="1"/>
  <c r="I1187" i="1" s="1"/>
  <c r="J1187" i="1" s="1"/>
  <c r="D1188" i="1"/>
  <c r="D1189" i="1"/>
  <c r="D1190" i="1"/>
  <c r="D1191" i="1"/>
  <c r="D1192" i="1"/>
  <c r="D1193" i="1"/>
  <c r="D1194" i="1"/>
  <c r="D1195" i="1"/>
  <c r="D1196" i="1"/>
  <c r="D1197" i="1"/>
  <c r="D1198" i="1"/>
  <c r="D1199" i="1"/>
  <c r="D1200" i="1"/>
  <c r="D1201" i="1"/>
  <c r="D1202" i="1"/>
  <c r="D1203" i="1"/>
  <c r="D1204" i="1"/>
  <c r="H1204" i="1" s="1"/>
  <c r="I1204" i="1" s="1"/>
  <c r="J1204" i="1" s="1"/>
  <c r="D1205" i="1"/>
  <c r="H1205" i="1" s="1"/>
  <c r="I1205" i="1" s="1"/>
  <c r="J1205" i="1" s="1"/>
  <c r="D1206" i="1"/>
  <c r="H1206" i="1" s="1"/>
  <c r="I1206" i="1" s="1"/>
  <c r="J1206" i="1" s="1"/>
  <c r="D1207" i="1"/>
  <c r="H1207" i="1" s="1"/>
  <c r="I1207" i="1" s="1"/>
  <c r="J1207" i="1" s="1"/>
  <c r="D1208" i="1"/>
  <c r="D1209" i="1"/>
  <c r="D1210" i="1"/>
  <c r="D1211" i="1"/>
  <c r="D1212" i="1"/>
  <c r="D1213" i="1"/>
  <c r="D1214" i="1"/>
  <c r="D1215" i="1"/>
  <c r="D1216" i="1"/>
  <c r="H1216" i="1" s="1"/>
  <c r="I1216" i="1" s="1"/>
  <c r="J1216" i="1" s="1"/>
  <c r="D1217" i="1"/>
  <c r="H1217" i="1" s="1"/>
  <c r="I1217" i="1" s="1"/>
  <c r="J1217" i="1" s="1"/>
  <c r="D1218" i="1"/>
  <c r="H1218" i="1" s="1"/>
  <c r="I1218" i="1" s="1"/>
  <c r="J1218" i="1" s="1"/>
  <c r="D1219" i="1"/>
  <c r="H1219" i="1" s="1"/>
  <c r="I1219" i="1" s="1"/>
  <c r="J1219" i="1" s="1"/>
  <c r="D1220" i="1"/>
  <c r="H1220" i="1" s="1"/>
  <c r="I1220" i="1" s="1"/>
  <c r="J1220" i="1" s="1"/>
  <c r="D1221" i="1"/>
  <c r="D1222" i="1"/>
  <c r="D1223" i="1"/>
  <c r="D1224" i="1"/>
  <c r="D1225" i="1"/>
  <c r="H1225" i="1" s="1"/>
  <c r="D1226" i="1"/>
  <c r="D1227" i="1"/>
  <c r="H1227" i="1" s="1"/>
  <c r="D1228" i="1"/>
  <c r="H1228" i="1" s="1"/>
  <c r="D1229" i="1"/>
  <c r="D1230" i="1"/>
  <c r="D1231" i="1"/>
  <c r="D1232" i="1"/>
  <c r="D1233" i="1"/>
  <c r="D1234" i="1"/>
  <c r="D1235" i="1"/>
  <c r="D1236" i="1"/>
  <c r="D1237" i="1"/>
  <c r="H1237" i="1" s="1"/>
  <c r="D1238" i="1"/>
  <c r="D1239" i="1"/>
  <c r="D1240" i="1"/>
  <c r="H1240" i="1" s="1"/>
  <c r="I1240" i="1" s="1"/>
  <c r="J1240" i="1" s="1"/>
  <c r="D1241" i="1"/>
  <c r="D1242" i="1"/>
  <c r="H1242" i="1" s="1"/>
  <c r="I1242" i="1" s="1"/>
  <c r="J1242" i="1" s="1"/>
  <c r="D1243" i="1"/>
  <c r="H1243" i="1" s="1"/>
  <c r="I1243" i="1" s="1"/>
  <c r="J1243" i="1" s="1"/>
  <c r="D1244" i="1"/>
  <c r="D1245" i="1"/>
  <c r="D1246" i="1"/>
  <c r="D1247" i="1"/>
  <c r="D1248" i="1"/>
  <c r="D1249" i="1"/>
  <c r="D1250" i="1"/>
  <c r="D1251" i="1"/>
  <c r="D1252" i="1"/>
  <c r="H1252" i="1" s="1"/>
  <c r="I1252" i="1" s="1"/>
  <c r="J1252" i="1" s="1"/>
  <c r="D1253" i="1"/>
  <c r="H1253" i="1" s="1"/>
  <c r="I1253" i="1" s="1"/>
  <c r="J1253" i="1" s="1"/>
  <c r="D1254" i="1"/>
  <c r="D1255" i="1"/>
  <c r="D1256" i="1"/>
  <c r="D1257" i="1"/>
  <c r="D1258" i="1"/>
  <c r="D1259" i="1"/>
  <c r="D1260" i="1"/>
  <c r="D1261" i="1"/>
  <c r="D1262" i="1"/>
  <c r="D1263" i="1"/>
  <c r="D1264" i="1"/>
  <c r="D1265" i="1"/>
  <c r="H1265" i="1" s="1"/>
  <c r="I1265" i="1" s="1"/>
  <c r="J1265" i="1" s="1"/>
  <c r="D1266" i="1"/>
  <c r="H1266" i="1" s="1"/>
  <c r="I1266" i="1" s="1"/>
  <c r="J1266" i="1" s="1"/>
  <c r="D1267" i="1"/>
  <c r="H1267" i="1" s="1"/>
  <c r="I1267" i="1" s="1"/>
  <c r="J1267" i="1" s="1"/>
  <c r="D1268" i="1"/>
  <c r="D1269" i="1"/>
  <c r="D1270" i="1"/>
  <c r="D1271" i="1"/>
  <c r="D1272" i="1"/>
  <c r="D1273" i="1"/>
  <c r="D1274" i="1"/>
  <c r="D1275" i="1"/>
  <c r="D1276" i="1"/>
  <c r="H1276" i="1" s="1"/>
  <c r="I1276" i="1" s="1"/>
  <c r="J1276" i="1" s="1"/>
  <c r="D1277" i="1"/>
  <c r="H1277" i="1" s="1"/>
  <c r="I1277" i="1" s="1"/>
  <c r="J1277" i="1" s="1"/>
  <c r="D1278" i="1"/>
  <c r="D1279" i="1"/>
  <c r="D1280" i="1"/>
  <c r="H1280" i="1" s="1"/>
  <c r="I1280" i="1" s="1"/>
  <c r="J1280" i="1" s="1"/>
  <c r="D1281" i="1"/>
  <c r="H1281" i="1" s="1"/>
  <c r="I1281" i="1" s="1"/>
  <c r="J1281" i="1" s="1"/>
  <c r="D1282" i="1"/>
  <c r="D1283" i="1"/>
  <c r="D1284" i="1"/>
  <c r="D1285" i="1"/>
  <c r="D1286" i="1"/>
  <c r="H1286" i="1" s="1"/>
  <c r="D1287" i="1"/>
  <c r="D1288" i="1"/>
  <c r="H1288" i="1" s="1"/>
  <c r="I1288" i="1" s="1"/>
  <c r="J1288" i="1" s="1"/>
  <c r="D1289" i="1"/>
  <c r="H1289" i="1" s="1"/>
  <c r="I1289" i="1" s="1"/>
  <c r="J1289" i="1" s="1"/>
  <c r="D1290" i="1"/>
  <c r="H1290" i="1" s="1"/>
  <c r="I1290" i="1" s="1"/>
  <c r="J1290" i="1" s="1"/>
  <c r="D1291" i="1"/>
  <c r="H1291" i="1" s="1"/>
  <c r="I1291" i="1" s="1"/>
  <c r="J1291" i="1" s="1"/>
  <c r="D1292" i="1"/>
  <c r="H1292" i="1" s="1"/>
  <c r="I1292" i="1" s="1"/>
  <c r="J1292" i="1" s="1"/>
  <c r="D1293" i="1"/>
  <c r="D1294" i="1"/>
  <c r="D1295" i="1"/>
  <c r="H1295" i="1" s="1"/>
  <c r="I1295" i="1" s="1"/>
  <c r="J1295" i="1" s="1"/>
  <c r="D1296" i="1"/>
  <c r="D1297" i="1"/>
  <c r="D1298" i="1"/>
  <c r="D1299" i="1"/>
  <c r="D1300" i="1"/>
  <c r="D1301" i="1"/>
  <c r="H1301" i="1" s="1"/>
  <c r="I1301" i="1" s="1"/>
  <c r="J1301" i="1" s="1"/>
  <c r="D1302" i="1"/>
  <c r="H1302" i="1" s="1"/>
  <c r="I1302" i="1" s="1"/>
  <c r="J1302" i="1" s="1"/>
  <c r="D1303" i="1"/>
  <c r="H1303" i="1" s="1"/>
  <c r="I1303" i="1" s="1"/>
  <c r="J1303" i="1" s="1"/>
  <c r="D1304" i="1"/>
  <c r="D1305" i="1"/>
  <c r="D1306" i="1"/>
  <c r="D1307" i="1"/>
  <c r="D1308" i="1"/>
  <c r="D1309" i="1"/>
  <c r="H1309" i="1" s="1"/>
  <c r="D1310" i="1"/>
  <c r="D1311" i="1"/>
  <c r="D1312" i="1"/>
  <c r="D1313" i="1"/>
  <c r="D1314" i="1"/>
  <c r="H1314" i="1" s="1"/>
  <c r="D1315" i="1"/>
  <c r="H1315" i="1" s="1"/>
  <c r="I1315" i="1" s="1"/>
  <c r="J1315" i="1" s="1"/>
  <c r="D1316" i="1"/>
  <c r="H1316" i="1" s="1"/>
  <c r="I1316" i="1" s="1"/>
  <c r="J1316" i="1" s="1"/>
  <c r="D1317" i="1"/>
  <c r="D1318" i="1"/>
  <c r="D1319" i="1"/>
  <c r="D1320" i="1"/>
  <c r="D1321" i="1"/>
  <c r="D1322" i="1"/>
  <c r="D1323" i="1"/>
  <c r="D1324" i="1"/>
  <c r="H1324" i="1" s="1"/>
  <c r="I1324" i="1" s="1"/>
  <c r="J1324" i="1" s="1"/>
  <c r="D1325" i="1"/>
  <c r="H1325" i="1" s="1"/>
  <c r="I1325" i="1" s="1"/>
  <c r="J1325" i="1" s="1"/>
  <c r="D1326" i="1"/>
  <c r="D1327" i="1"/>
  <c r="D1328" i="1"/>
  <c r="H1328" i="1" s="1"/>
  <c r="I1328" i="1" s="1"/>
  <c r="J1328" i="1" s="1"/>
  <c r="D1329" i="1"/>
  <c r="H1329" i="1" s="1"/>
  <c r="I1329" i="1" s="1"/>
  <c r="J1329" i="1" s="1"/>
  <c r="D1330" i="1"/>
  <c r="H1330" i="1" s="1"/>
  <c r="I1330" i="1" s="1"/>
  <c r="J1330" i="1" s="1"/>
  <c r="D1331" i="1"/>
  <c r="H1331" i="1" s="1"/>
  <c r="I1331" i="1" s="1"/>
  <c r="J1331" i="1" s="1"/>
  <c r="D1332" i="1"/>
  <c r="D1333" i="1"/>
  <c r="D1334" i="1"/>
  <c r="D1335" i="1"/>
  <c r="D1336" i="1"/>
  <c r="H1336" i="1" s="1"/>
  <c r="I1336" i="1" s="1"/>
  <c r="J1336" i="1" s="1"/>
  <c r="D1337" i="1"/>
  <c r="H1337" i="1" s="1"/>
  <c r="I1337" i="1" s="1"/>
  <c r="J1337" i="1" s="1"/>
  <c r="D1338" i="1"/>
  <c r="H1338" i="1" s="1"/>
  <c r="I1338" i="1" s="1"/>
  <c r="J1338" i="1" s="1"/>
  <c r="D1339" i="1"/>
  <c r="H1339" i="1" s="1"/>
  <c r="I1339" i="1" s="1"/>
  <c r="J1339" i="1" s="1"/>
  <c r="D1340" i="1"/>
  <c r="D1341" i="1"/>
  <c r="D1342" i="1"/>
  <c r="D1343" i="1"/>
  <c r="D1344" i="1"/>
  <c r="D1345" i="1"/>
  <c r="D1346" i="1"/>
  <c r="D1347" i="1"/>
  <c r="D1348" i="1"/>
  <c r="D1349" i="1"/>
  <c r="D1350" i="1"/>
  <c r="D1351" i="1"/>
  <c r="H1351" i="1" s="1"/>
  <c r="D1352" i="1"/>
  <c r="D1353" i="1"/>
  <c r="D1354" i="1"/>
  <c r="D1355" i="1"/>
  <c r="D1356" i="1"/>
  <c r="D1357" i="1"/>
  <c r="D1358" i="1"/>
  <c r="D1359" i="1"/>
  <c r="D1360" i="1"/>
  <c r="H1360" i="1" s="1"/>
  <c r="I1360" i="1" s="1"/>
  <c r="J1360" i="1" s="1"/>
  <c r="D1361" i="1"/>
  <c r="H1361" i="1" s="1"/>
  <c r="I1361" i="1" s="1"/>
  <c r="J1361" i="1" s="1"/>
  <c r="D1362" i="1"/>
  <c r="H1362" i="1" s="1"/>
  <c r="I1362" i="1" s="1"/>
  <c r="J1362" i="1" s="1"/>
  <c r="D1363" i="1"/>
  <c r="H1363" i="1" s="1"/>
  <c r="I1363" i="1" s="1"/>
  <c r="J1363" i="1" s="1"/>
  <c r="D1364" i="1"/>
  <c r="D1365" i="1"/>
  <c r="D1366" i="1"/>
  <c r="D1367" i="1"/>
  <c r="D1368" i="1"/>
  <c r="D1369" i="1"/>
  <c r="H1369" i="1" s="1"/>
  <c r="D1370" i="1"/>
  <c r="H1370" i="1" s="1"/>
  <c r="D1371" i="1"/>
  <c r="D1372" i="1"/>
  <c r="H1372" i="1" s="1"/>
  <c r="I1372" i="1" s="1"/>
  <c r="J1372" i="1" s="1"/>
  <c r="D1373" i="1"/>
  <c r="H1373" i="1" s="1"/>
  <c r="I1373" i="1" s="1"/>
  <c r="J1373" i="1" s="1"/>
  <c r="D1374" i="1"/>
  <c r="H1374" i="1" s="1"/>
  <c r="I1374" i="1" s="1"/>
  <c r="J1374" i="1" s="1"/>
  <c r="D1375" i="1"/>
  <c r="H1375" i="1" s="1"/>
  <c r="I1375" i="1" s="1"/>
  <c r="J1375" i="1" s="1"/>
  <c r="D1376" i="1"/>
  <c r="H1376" i="1" s="1"/>
  <c r="I1376" i="1" s="1"/>
  <c r="J1376" i="1" s="1"/>
  <c r="D1377" i="1"/>
  <c r="D1378" i="1"/>
  <c r="D1379" i="1"/>
  <c r="H1379" i="1" s="1"/>
  <c r="I1379" i="1" s="1"/>
  <c r="J1379" i="1" s="1"/>
  <c r="D1380" i="1"/>
  <c r="D1381" i="1"/>
  <c r="D1382" i="1"/>
  <c r="D1383" i="1"/>
  <c r="D1384" i="1"/>
  <c r="D1385" i="1"/>
  <c r="D1386" i="1"/>
  <c r="D1387" i="1"/>
  <c r="H1387" i="1" s="1"/>
  <c r="I1387" i="1" s="1"/>
  <c r="J1387" i="1" s="1"/>
  <c r="D1388" i="1"/>
  <c r="D1389" i="1"/>
  <c r="D1390" i="1"/>
  <c r="H1390" i="1" s="1"/>
  <c r="I1390" i="1" s="1"/>
  <c r="J1390" i="1" s="1"/>
  <c r="D1391" i="1"/>
  <c r="D1392" i="1"/>
  <c r="D1393" i="1"/>
  <c r="D1394" i="1"/>
  <c r="D1395" i="1"/>
  <c r="D1396" i="1"/>
  <c r="D1397" i="1"/>
  <c r="H1397" i="1" s="1"/>
  <c r="I1397" i="1" s="1"/>
  <c r="J1397" i="1" s="1"/>
  <c r="D1398" i="1"/>
  <c r="D1399" i="1"/>
  <c r="D1400" i="1"/>
  <c r="D1401" i="1"/>
  <c r="D1402" i="1"/>
  <c r="D1403" i="1"/>
  <c r="D1404" i="1"/>
  <c r="D1405" i="1"/>
  <c r="D1406" i="1"/>
  <c r="D1407" i="1"/>
  <c r="D1408" i="1"/>
  <c r="H1408" i="1" s="1"/>
  <c r="I1408" i="1" s="1"/>
  <c r="J1408" i="1" s="1"/>
  <c r="D1409" i="1"/>
  <c r="H1409" i="1" s="1"/>
  <c r="I1409" i="1" s="1"/>
  <c r="J1409" i="1" s="1"/>
  <c r="D1410" i="1"/>
  <c r="H1410" i="1" s="1"/>
  <c r="I1410" i="1" s="1"/>
  <c r="J1410" i="1" s="1"/>
  <c r="D1411" i="1"/>
  <c r="H1411" i="1" s="1"/>
  <c r="I1411" i="1" s="1"/>
  <c r="J1411" i="1" s="1"/>
  <c r="D1412" i="1"/>
  <c r="D1413" i="1"/>
  <c r="D1414" i="1"/>
  <c r="D1415" i="1"/>
  <c r="D1416" i="1"/>
  <c r="D1417" i="1"/>
  <c r="D1418" i="1"/>
  <c r="H1418" i="1" s="1"/>
  <c r="D1419" i="1"/>
  <c r="D1420" i="1"/>
  <c r="H1420" i="1" s="1"/>
  <c r="I1420" i="1" s="1"/>
  <c r="J1420" i="1" s="1"/>
  <c r="D1421" i="1"/>
  <c r="H1421" i="1" s="1"/>
  <c r="I1421" i="1" s="1"/>
  <c r="J1421" i="1" s="1"/>
  <c r="D1422" i="1"/>
  <c r="H1422" i="1" s="1"/>
  <c r="I1422" i="1" s="1"/>
  <c r="J1422" i="1" s="1"/>
  <c r="D1423" i="1"/>
  <c r="H1423" i="1" s="1"/>
  <c r="I1423" i="1" s="1"/>
  <c r="J1423" i="1" s="1"/>
  <c r="D1424" i="1"/>
  <c r="H1424" i="1" s="1"/>
  <c r="I1424" i="1" s="1"/>
  <c r="J1424" i="1" s="1"/>
  <c r="D1425" i="1"/>
  <c r="D1426" i="1"/>
  <c r="D1427" i="1"/>
  <c r="D1428" i="1"/>
  <c r="D1429" i="1"/>
  <c r="D1430" i="1"/>
  <c r="D1431" i="1"/>
  <c r="D1432" i="1"/>
  <c r="H1432" i="1" s="1"/>
  <c r="I1432" i="1" s="1"/>
  <c r="J1432" i="1" s="1"/>
  <c r="D1433" i="1"/>
  <c r="D1434" i="1"/>
  <c r="D1435" i="1"/>
  <c r="D1436" i="1"/>
  <c r="D1437" i="1"/>
  <c r="D1438" i="1"/>
  <c r="D1439" i="1"/>
  <c r="D1440" i="1"/>
  <c r="D1441" i="1"/>
  <c r="D1442" i="1"/>
  <c r="D1443" i="1"/>
  <c r="D1444" i="1"/>
  <c r="H1444" i="1" s="1"/>
  <c r="I1444" i="1" s="1"/>
  <c r="J1444" i="1" s="1"/>
  <c r="D1445" i="1"/>
  <c r="H1445" i="1" s="1"/>
  <c r="I1445" i="1" s="1"/>
  <c r="J1445" i="1" s="1"/>
  <c r="D1446" i="1"/>
  <c r="H1446" i="1" s="1"/>
  <c r="I1446" i="1" s="1"/>
  <c r="J1446" i="1" s="1"/>
  <c r="D1447" i="1"/>
  <c r="H1447" i="1" s="1"/>
  <c r="I1447" i="1" s="1"/>
  <c r="J1447" i="1" s="1"/>
  <c r="D1448" i="1"/>
  <c r="H1448" i="1" s="1"/>
  <c r="I1448" i="1" s="1"/>
  <c r="J1448" i="1" s="1"/>
  <c r="D1449" i="1"/>
  <c r="D1450" i="1"/>
  <c r="D1451" i="1"/>
  <c r="H1451" i="1" s="1"/>
  <c r="I1451" i="1" s="1"/>
  <c r="J1451" i="1" s="1"/>
  <c r="D1452" i="1"/>
  <c r="D1453" i="1"/>
  <c r="D1454" i="1"/>
  <c r="D1455" i="1"/>
  <c r="D1456" i="1"/>
  <c r="D1457" i="1"/>
  <c r="D1458" i="1"/>
  <c r="H1458" i="1" s="1"/>
  <c r="I1458" i="1" s="1"/>
  <c r="J1458" i="1" s="1"/>
  <c r="D1459" i="1"/>
  <c r="H1459" i="1" s="1"/>
  <c r="I1459" i="1" s="1"/>
  <c r="J1459" i="1" s="1"/>
  <c r="D1460" i="1"/>
  <c r="H1460" i="1" s="1"/>
  <c r="I1460" i="1" s="1"/>
  <c r="J1460" i="1" s="1"/>
  <c r="D1461" i="1"/>
  <c r="D1462" i="1"/>
  <c r="D1463" i="1"/>
  <c r="D1464" i="1"/>
  <c r="D1465" i="1"/>
  <c r="H1465" i="1" s="1"/>
  <c r="D1466" i="1"/>
  <c r="H1466" i="1" s="1"/>
  <c r="D1467" i="1"/>
  <c r="H1467" i="1" s="1"/>
  <c r="D1468" i="1"/>
  <c r="D1469" i="1"/>
  <c r="H1469" i="1" s="1"/>
  <c r="I1469" i="1" s="1"/>
  <c r="J1469" i="1" s="1"/>
  <c r="D1470" i="1"/>
  <c r="D1471" i="1"/>
  <c r="D1472" i="1"/>
  <c r="D1473" i="1"/>
  <c r="D1474" i="1"/>
  <c r="H1474" i="1" s="1"/>
  <c r="I1474" i="1" s="1"/>
  <c r="J1474" i="1" s="1"/>
  <c r="D1475" i="1"/>
  <c r="D1476" i="1"/>
  <c r="D1477" i="1"/>
  <c r="D1478" i="1"/>
  <c r="D1479" i="1"/>
  <c r="D1480" i="1"/>
  <c r="H1480" i="1" s="1"/>
  <c r="I1480" i="1" s="1"/>
  <c r="J1480" i="1" s="1"/>
  <c r="D1481" i="1"/>
  <c r="D1482" i="1"/>
  <c r="H1482" i="1" s="1"/>
  <c r="I1482" i="1" s="1"/>
  <c r="J1482" i="1" s="1"/>
  <c r="D1483" i="1"/>
  <c r="H1483" i="1" s="1"/>
  <c r="I1483" i="1" s="1"/>
  <c r="J1483" i="1" s="1"/>
  <c r="D1484" i="1"/>
  <c r="D1485" i="1"/>
  <c r="D1486" i="1"/>
  <c r="D1487" i="1"/>
  <c r="D1488" i="1"/>
  <c r="D1489" i="1"/>
  <c r="D1490" i="1"/>
  <c r="D1491" i="1"/>
  <c r="D1492" i="1"/>
  <c r="H1492" i="1" s="1"/>
  <c r="I1492" i="1" s="1"/>
  <c r="J1492" i="1" s="1"/>
  <c r="D1493" i="1"/>
  <c r="H1493" i="1" s="1"/>
  <c r="I1493" i="1" s="1"/>
  <c r="J1493" i="1" s="1"/>
  <c r="D1494" i="1"/>
  <c r="H1494" i="1" s="1"/>
  <c r="I1494" i="1" s="1"/>
  <c r="J1494" i="1" s="1"/>
  <c r="D1495" i="1"/>
  <c r="H1495" i="1" s="1"/>
  <c r="I1495" i="1" s="1"/>
  <c r="J1495" i="1" s="1"/>
  <c r="D1496" i="1"/>
  <c r="H1496" i="1" s="1"/>
  <c r="I1496" i="1" s="1"/>
  <c r="J1496" i="1" s="1"/>
  <c r="D1497" i="1"/>
  <c r="H1497" i="1" s="1"/>
  <c r="I1497" i="1" s="1"/>
  <c r="J1497" i="1" s="1"/>
  <c r="D1498" i="1"/>
  <c r="D1499" i="1"/>
  <c r="D1500" i="1"/>
  <c r="D1501" i="1"/>
  <c r="D1502" i="1"/>
  <c r="D1503" i="1"/>
  <c r="D1504" i="1"/>
  <c r="H1504" i="1" s="1"/>
  <c r="I1504" i="1" s="1"/>
  <c r="J1504" i="1" s="1"/>
  <c r="D1505" i="1"/>
  <c r="D1506" i="1"/>
  <c r="H1506" i="1" s="1"/>
  <c r="I1506" i="1" s="1"/>
  <c r="J1506" i="1" s="1"/>
  <c r="D1507" i="1"/>
  <c r="H1507" i="1" s="1"/>
  <c r="I1507" i="1" s="1"/>
  <c r="J1507" i="1" s="1"/>
  <c r="D1508" i="1"/>
  <c r="H1508" i="1" s="1"/>
  <c r="I1508" i="1" s="1"/>
  <c r="J1508" i="1" s="1"/>
  <c r="D1509" i="1"/>
  <c r="H1509" i="1" s="1"/>
  <c r="I1509" i="1" s="1"/>
  <c r="J1509" i="1" s="1"/>
  <c r="D1510" i="1"/>
  <c r="D1511" i="1"/>
  <c r="D1512" i="1"/>
  <c r="D1513" i="1"/>
  <c r="D1514" i="1"/>
  <c r="D1515" i="1"/>
  <c r="H1515" i="1" s="1"/>
  <c r="I1515" i="1" s="1"/>
  <c r="J1515" i="1" s="1"/>
  <c r="D1516" i="1"/>
  <c r="H1516" i="1" s="1"/>
  <c r="I1516" i="1" s="1"/>
  <c r="J1516" i="1" s="1"/>
  <c r="D1517" i="1"/>
  <c r="H1517" i="1" s="1"/>
  <c r="I1517" i="1" s="1"/>
  <c r="J1517" i="1" s="1"/>
  <c r="D1518" i="1"/>
  <c r="D1519" i="1"/>
  <c r="H1519" i="1" s="1"/>
  <c r="I1519" i="1" s="1"/>
  <c r="J1519" i="1" s="1"/>
  <c r="D1520" i="1"/>
  <c r="D1521" i="1"/>
  <c r="D1522" i="1"/>
  <c r="H1522" i="1" s="1"/>
  <c r="I1522" i="1" s="1"/>
  <c r="J1522" i="1" s="1"/>
  <c r="D1523" i="1"/>
  <c r="D1524" i="1"/>
  <c r="D1525" i="1"/>
  <c r="D1526" i="1"/>
  <c r="H1526" i="1" s="1"/>
  <c r="D1527" i="1"/>
  <c r="D1528" i="1"/>
  <c r="H1528" i="1" s="1"/>
  <c r="I1528" i="1" s="1"/>
  <c r="J1528" i="1" s="1"/>
  <c r="D1529" i="1"/>
  <c r="H1529" i="1" s="1"/>
  <c r="I1529" i="1" s="1"/>
  <c r="J1529" i="1" s="1"/>
  <c r="D1530" i="1"/>
  <c r="H1530" i="1" s="1"/>
  <c r="I1530" i="1" s="1"/>
  <c r="J1530" i="1" s="1"/>
  <c r="D1531" i="1"/>
  <c r="H1531" i="1" s="1"/>
  <c r="I1531" i="1" s="1"/>
  <c r="J1531" i="1" s="1"/>
  <c r="D1532" i="1"/>
  <c r="H1532" i="1" s="1"/>
  <c r="I1532" i="1" s="1"/>
  <c r="J1532" i="1" s="1"/>
  <c r="D1533" i="1"/>
  <c r="D1534" i="1"/>
  <c r="D1535" i="1"/>
  <c r="D1536" i="1"/>
  <c r="D1537" i="1"/>
  <c r="D1538" i="1"/>
  <c r="D1539" i="1"/>
  <c r="D1540" i="1"/>
  <c r="H1540" i="1" s="1"/>
  <c r="I1540" i="1" s="1"/>
  <c r="J1540" i="1" s="1"/>
  <c r="D1541" i="1"/>
  <c r="H1541" i="1" s="1"/>
  <c r="I1541" i="1" s="1"/>
  <c r="J1541" i="1" s="1"/>
  <c r="D1542" i="1"/>
  <c r="H1542" i="1" s="1"/>
  <c r="I1542" i="1" s="1"/>
  <c r="J1542" i="1" s="1"/>
  <c r="D1543" i="1"/>
  <c r="H1543" i="1" s="1"/>
  <c r="I1543" i="1" s="1"/>
  <c r="J1543" i="1" s="1"/>
  <c r="D1544" i="1"/>
  <c r="H1544" i="1" s="1"/>
  <c r="I1544" i="1" s="1"/>
  <c r="J1544" i="1" s="1"/>
  <c r="D1545" i="1"/>
  <c r="H1545" i="1" s="1"/>
  <c r="I1545" i="1" s="1"/>
  <c r="J1545" i="1" s="1"/>
  <c r="D1546" i="1"/>
  <c r="D1547" i="1"/>
  <c r="H1547" i="1" s="1"/>
  <c r="I1547" i="1" s="1"/>
  <c r="J1547" i="1" s="1"/>
  <c r="D1548" i="1"/>
  <c r="H1548" i="1" s="1"/>
  <c r="I1548" i="1" s="1"/>
  <c r="J1548" i="1" s="1"/>
  <c r="D1549" i="1"/>
  <c r="D1550" i="1"/>
  <c r="D1551" i="1"/>
  <c r="D1552" i="1"/>
  <c r="D1553" i="1"/>
  <c r="H1553" i="1" s="1"/>
  <c r="I1553" i="1" s="1"/>
  <c r="J1553" i="1" s="1"/>
  <c r="D1554" i="1"/>
  <c r="H1554" i="1" s="1"/>
  <c r="I1554" i="1" s="1"/>
  <c r="J1554" i="1" s="1"/>
  <c r="D1555" i="1"/>
  <c r="H1555" i="1" s="1"/>
  <c r="I1555" i="1" s="1"/>
  <c r="J1555" i="1" s="1"/>
  <c r="D1556" i="1"/>
  <c r="H1556" i="1" s="1"/>
  <c r="I1556" i="1" s="1"/>
  <c r="J1556" i="1" s="1"/>
  <c r="D1557" i="1"/>
  <c r="H1557" i="1" s="1"/>
  <c r="I1557" i="1" s="1"/>
  <c r="J1557" i="1" s="1"/>
  <c r="D1558" i="1"/>
  <c r="D1559" i="1"/>
  <c r="D1560" i="1"/>
  <c r="D1561" i="1"/>
  <c r="D1562" i="1"/>
  <c r="H1562" i="1" s="1"/>
  <c r="I1562" i="1" s="1"/>
  <c r="J1562" i="1" s="1"/>
  <c r="D1563" i="1"/>
  <c r="H1563" i="1" s="1"/>
  <c r="D1564" i="1"/>
  <c r="D1565" i="1"/>
  <c r="D1566" i="1"/>
  <c r="D1567" i="1"/>
  <c r="H1567" i="1" s="1"/>
  <c r="D1568" i="1"/>
  <c r="D1569" i="1"/>
  <c r="D1570" i="1"/>
  <c r="D1571" i="1"/>
  <c r="D1572" i="1"/>
  <c r="D1573" i="1"/>
  <c r="D1574" i="1"/>
  <c r="D1575" i="1"/>
  <c r="D1576" i="1"/>
  <c r="D1577" i="1"/>
  <c r="D1578" i="1"/>
  <c r="H1578" i="1" s="1"/>
  <c r="I1578" i="1" s="1"/>
  <c r="J1578" i="1" s="1"/>
  <c r="D1579" i="1"/>
  <c r="H1579" i="1" s="1"/>
  <c r="I1579" i="1" s="1"/>
  <c r="J1579" i="1" s="1"/>
  <c r="D1580" i="1"/>
  <c r="D1581" i="1"/>
  <c r="D1582" i="1"/>
  <c r="D1583" i="1"/>
  <c r="D1584" i="1"/>
  <c r="D1585" i="1"/>
  <c r="D1586" i="1"/>
  <c r="D1587" i="1"/>
  <c r="D1588" i="1"/>
  <c r="H1588" i="1" s="1"/>
  <c r="I1588" i="1" s="1"/>
  <c r="J1588" i="1" s="1"/>
  <c r="D1589" i="1"/>
  <c r="H1589" i="1" s="1"/>
  <c r="I1589" i="1" s="1"/>
  <c r="J1589" i="1" s="1"/>
  <c r="D1590" i="1"/>
  <c r="H1590" i="1" s="1"/>
  <c r="I1590" i="1" s="1"/>
  <c r="J1590" i="1" s="1"/>
  <c r="D1591" i="1"/>
  <c r="H1591" i="1" s="1"/>
  <c r="I1591" i="1" s="1"/>
  <c r="J1591" i="1" s="1"/>
  <c r="D1592" i="1"/>
  <c r="H1592" i="1" s="1"/>
  <c r="I1592" i="1" s="1"/>
  <c r="J1592" i="1" s="1"/>
  <c r="D1593" i="1"/>
  <c r="H1593" i="1" s="1"/>
  <c r="I1593" i="1" s="1"/>
  <c r="J1593" i="1" s="1"/>
  <c r="D1594" i="1"/>
  <c r="D1595" i="1"/>
  <c r="D1596" i="1"/>
  <c r="D1597" i="1"/>
  <c r="D1598" i="1"/>
  <c r="D1599" i="1"/>
  <c r="D1600" i="1"/>
  <c r="D1601" i="1"/>
  <c r="D1602" i="1"/>
  <c r="H1602" i="1" s="1"/>
  <c r="I1602" i="1" s="1"/>
  <c r="J1602" i="1" s="1"/>
  <c r="D1603" i="1"/>
  <c r="H1603" i="1" s="1"/>
  <c r="I1603" i="1" s="1"/>
  <c r="J1603" i="1" s="1"/>
  <c r="D1604" i="1"/>
  <c r="H1604" i="1" s="1"/>
  <c r="I1604" i="1" s="1"/>
  <c r="J1604" i="1" s="1"/>
  <c r="D1605" i="1"/>
  <c r="H1605" i="1" s="1"/>
  <c r="I1605" i="1" s="1"/>
  <c r="J1605" i="1" s="1"/>
  <c r="D1606" i="1"/>
  <c r="H1606" i="1" s="1"/>
  <c r="I1606" i="1" s="1"/>
  <c r="J1606" i="1" s="1"/>
  <c r="D1607" i="1"/>
  <c r="H1607" i="1" s="1"/>
  <c r="I1607" i="1" s="1"/>
  <c r="J1607" i="1" s="1"/>
  <c r="D1608" i="1"/>
  <c r="D1609" i="1"/>
  <c r="D1610" i="1"/>
  <c r="H1610" i="1" s="1"/>
  <c r="D1611" i="1"/>
  <c r="D1612" i="1"/>
  <c r="D1613" i="1"/>
  <c r="D1614" i="1"/>
  <c r="H1614" i="1" s="1"/>
  <c r="I1614" i="1" s="1"/>
  <c r="J1614" i="1" s="1"/>
  <c r="D1615" i="1"/>
  <c r="H1615" i="1" s="1"/>
  <c r="I1615" i="1" s="1"/>
  <c r="J1615" i="1" s="1"/>
  <c r="D1616" i="1"/>
  <c r="H1616" i="1" s="1"/>
  <c r="I1616" i="1" s="1"/>
  <c r="J1616" i="1" s="1"/>
  <c r="D1617" i="1"/>
  <c r="H1617" i="1" s="1"/>
  <c r="I1617" i="1" s="1"/>
  <c r="J1617" i="1" s="1"/>
  <c r="D1618" i="1"/>
  <c r="H1618" i="1" s="1"/>
  <c r="I1618" i="1" s="1"/>
  <c r="J1618" i="1" s="1"/>
  <c r="D1619" i="1"/>
  <c r="H1619" i="1" s="1"/>
  <c r="I1619" i="1" s="1"/>
  <c r="J1619" i="1" s="1"/>
  <c r="D1620" i="1"/>
  <c r="H1620" i="1" s="1"/>
  <c r="I1620" i="1" s="1"/>
  <c r="J1620" i="1" s="1"/>
  <c r="D1621" i="1"/>
  <c r="D1622" i="1"/>
  <c r="D1623" i="1"/>
  <c r="D1624" i="1"/>
  <c r="H1624" i="1" s="1"/>
  <c r="I1624" i="1" s="1"/>
  <c r="J1624" i="1" s="1"/>
  <c r="D1625" i="1"/>
  <c r="D1626" i="1"/>
  <c r="H1626" i="1" s="1"/>
  <c r="I1626" i="1" s="1"/>
  <c r="J1626" i="1" s="1"/>
  <c r="D1627" i="1"/>
  <c r="H1627" i="1" s="1"/>
  <c r="I1627" i="1" s="1"/>
  <c r="J1627" i="1" s="1"/>
  <c r="D1628" i="1"/>
  <c r="D1629" i="1"/>
  <c r="D1630" i="1"/>
  <c r="D1631" i="1"/>
  <c r="D1632" i="1"/>
  <c r="D1633" i="1"/>
  <c r="D1634" i="1"/>
  <c r="D1635" i="1"/>
  <c r="D1636" i="1"/>
  <c r="D1637" i="1"/>
  <c r="H1637" i="1" s="1"/>
  <c r="I1637" i="1" s="1"/>
  <c r="J1637" i="1" s="1"/>
  <c r="D1638" i="1"/>
  <c r="H1638" i="1" s="1"/>
  <c r="I1638" i="1" s="1"/>
  <c r="J1638" i="1" s="1"/>
  <c r="D1639" i="1"/>
  <c r="D1640" i="1"/>
  <c r="D1641" i="1"/>
  <c r="D1642" i="1"/>
  <c r="D1643" i="1"/>
  <c r="D1644" i="1"/>
  <c r="D1645" i="1"/>
  <c r="D1646" i="1"/>
  <c r="D1647" i="1"/>
  <c r="D1648" i="1"/>
  <c r="H1648" i="1" s="1"/>
  <c r="I1648" i="1" s="1"/>
  <c r="J1648" i="1" s="1"/>
  <c r="D1649" i="1"/>
  <c r="H1649" i="1" s="1"/>
  <c r="I1649" i="1" s="1"/>
  <c r="J1649" i="1" s="1"/>
  <c r="D1650" i="1"/>
  <c r="H1650" i="1" s="1"/>
  <c r="I1650" i="1" s="1"/>
  <c r="J1650" i="1" s="1"/>
  <c r="D1651" i="1"/>
  <c r="H1651" i="1" s="1"/>
  <c r="I1651" i="1" s="1"/>
  <c r="J1651" i="1" s="1"/>
  <c r="D1652" i="1"/>
  <c r="D1653" i="1"/>
  <c r="D1654" i="1"/>
  <c r="D1655" i="1"/>
  <c r="D1656" i="1"/>
  <c r="D1657" i="1"/>
  <c r="H1657" i="1" s="1"/>
  <c r="D1658" i="1"/>
  <c r="H1658" i="1" s="1"/>
  <c r="D1659" i="1"/>
  <c r="H1659" i="1" s="1"/>
  <c r="D1660" i="1"/>
  <c r="D1661" i="1"/>
  <c r="D1662" i="1"/>
  <c r="D1663" i="1"/>
  <c r="H1663" i="1" s="1"/>
  <c r="I1663" i="1" s="1"/>
  <c r="J1663" i="1" s="1"/>
  <c r="D1664" i="1"/>
  <c r="H1664" i="1" s="1"/>
  <c r="I1664" i="1" s="1"/>
  <c r="J1664" i="1" s="1"/>
  <c r="D1665" i="1"/>
  <c r="H1665" i="1" s="1"/>
  <c r="I1665" i="1" s="1"/>
  <c r="J1665" i="1" s="1"/>
  <c r="D1666" i="1"/>
  <c r="D1667" i="1"/>
  <c r="D1668" i="1"/>
  <c r="D1669" i="1"/>
  <c r="D1670" i="1"/>
  <c r="D1671" i="1"/>
  <c r="D1672" i="1"/>
  <c r="D1673" i="1"/>
  <c r="D1674" i="1"/>
  <c r="H1674" i="1" s="1"/>
  <c r="I1674" i="1" s="1"/>
  <c r="J1674" i="1" s="1"/>
  <c r="D1675" i="1"/>
  <c r="H1675" i="1" s="1"/>
  <c r="I1675" i="1" s="1"/>
  <c r="J1675" i="1" s="1"/>
  <c r="D1676" i="1"/>
  <c r="H1676" i="1" s="1"/>
  <c r="I1676" i="1" s="1"/>
  <c r="J1676" i="1" s="1"/>
  <c r="D1677" i="1"/>
  <c r="H1677" i="1" s="1"/>
  <c r="I1677" i="1" s="1"/>
  <c r="J1677" i="1" s="1"/>
  <c r="D1678" i="1"/>
  <c r="H1678" i="1" s="1"/>
  <c r="I1678" i="1" s="1"/>
  <c r="J1678" i="1" s="1"/>
  <c r="D1679" i="1"/>
  <c r="H1679" i="1" s="1"/>
  <c r="I1679" i="1" s="1"/>
  <c r="J1679" i="1" s="1"/>
  <c r="D1680" i="1"/>
  <c r="D1681" i="1"/>
  <c r="D1682" i="1"/>
  <c r="D1683" i="1"/>
  <c r="D1684" i="1"/>
  <c r="D1685" i="1"/>
  <c r="D1686" i="1"/>
  <c r="H1686" i="1" s="1"/>
  <c r="I1686" i="1" s="1"/>
  <c r="J1686" i="1" s="1"/>
  <c r="D1687" i="1"/>
  <c r="H1687" i="1" s="1"/>
  <c r="I1687" i="1" s="1"/>
  <c r="J1687" i="1" s="1"/>
  <c r="D1688" i="1"/>
  <c r="H1688" i="1" s="1"/>
  <c r="I1688" i="1" s="1"/>
  <c r="J1688" i="1" s="1"/>
  <c r="D1689" i="1"/>
  <c r="H1689" i="1" s="1"/>
  <c r="I1689" i="1" s="1"/>
  <c r="J1689" i="1" s="1"/>
  <c r="D1690" i="1"/>
  <c r="H1690" i="1" s="1"/>
  <c r="I1690" i="1" s="1"/>
  <c r="J1690" i="1" s="1"/>
  <c r="D1691" i="1"/>
  <c r="H1691" i="1" s="1"/>
  <c r="I1691" i="1" s="1"/>
  <c r="J1691" i="1" s="1"/>
  <c r="D1692" i="1"/>
  <c r="D1693" i="1"/>
  <c r="D1694" i="1"/>
  <c r="H1694" i="1" s="1"/>
  <c r="D1695" i="1"/>
  <c r="H1695" i="1" s="1"/>
  <c r="D1696" i="1"/>
  <c r="D1697" i="1"/>
  <c r="D1698" i="1"/>
  <c r="D1699" i="1"/>
  <c r="H1699" i="1" s="1"/>
  <c r="D1700" i="1"/>
  <c r="D1701" i="1"/>
  <c r="D1702" i="1"/>
  <c r="D1703" i="1"/>
  <c r="D1704" i="1"/>
  <c r="D1705" i="1"/>
  <c r="D1706" i="1"/>
  <c r="D1707" i="1"/>
  <c r="D1708" i="1"/>
  <c r="D1709" i="1"/>
  <c r="H1709" i="1" s="1"/>
  <c r="D1710" i="1"/>
  <c r="H1710" i="1" s="1"/>
  <c r="D1711" i="1"/>
  <c r="D1712" i="1"/>
  <c r="D1713" i="1"/>
  <c r="D1714" i="1"/>
  <c r="D1715" i="1"/>
  <c r="D1716" i="1"/>
  <c r="D1717" i="1"/>
  <c r="D1718" i="1"/>
  <c r="D1719" i="1"/>
  <c r="D1720" i="1"/>
  <c r="D1721" i="1"/>
  <c r="D1722" i="1"/>
  <c r="H1722" i="1" s="1"/>
  <c r="I1722" i="1" s="1"/>
  <c r="J1722" i="1" s="1"/>
  <c r="D1723" i="1"/>
  <c r="H1723" i="1" s="1"/>
  <c r="I1723" i="1" s="1"/>
  <c r="J1723" i="1" s="1"/>
  <c r="D1724" i="1"/>
  <c r="D1725" i="1"/>
  <c r="D1726" i="1"/>
  <c r="D1727" i="1"/>
  <c r="D1728" i="1"/>
  <c r="D1729" i="1"/>
  <c r="D1730" i="1"/>
  <c r="D1731" i="1"/>
  <c r="D1732" i="1"/>
  <c r="H1732" i="1" s="1"/>
  <c r="I1732" i="1" s="1"/>
  <c r="J1732" i="1" s="1"/>
  <c r="D1733" i="1"/>
  <c r="H1733" i="1" s="1"/>
  <c r="I1733" i="1" s="1"/>
  <c r="J1733" i="1" s="1"/>
  <c r="D1734" i="1"/>
  <c r="H1734" i="1" s="1"/>
  <c r="I1734" i="1" s="1"/>
  <c r="J1734" i="1" s="1"/>
  <c r="D1735" i="1"/>
  <c r="H1735" i="1" s="1"/>
  <c r="I1735" i="1" s="1"/>
  <c r="J1735" i="1" s="1"/>
  <c r="D1736" i="1"/>
  <c r="H1736" i="1" s="1"/>
  <c r="I1736" i="1" s="1"/>
  <c r="J1736" i="1" s="1"/>
  <c r="D1737" i="1"/>
  <c r="H1737" i="1" s="1"/>
  <c r="I1737" i="1" s="1"/>
  <c r="J1737" i="1" s="1"/>
  <c r="D1738" i="1"/>
  <c r="D1739" i="1"/>
  <c r="H1739" i="1" s="1"/>
  <c r="D1740" i="1"/>
  <c r="D1741" i="1"/>
  <c r="D1742" i="1"/>
  <c r="D1743" i="1"/>
  <c r="D1744" i="1"/>
  <c r="D1745" i="1"/>
  <c r="H1745" i="1" s="1"/>
  <c r="D1746" i="1"/>
  <c r="H1746" i="1" s="1"/>
  <c r="I1746" i="1" s="1"/>
  <c r="J1746" i="1" s="1"/>
  <c r="D1747" i="1"/>
  <c r="D1748" i="1"/>
  <c r="H1748" i="1" s="1"/>
  <c r="I1748" i="1" s="1"/>
  <c r="J1748" i="1" s="1"/>
  <c r="D1749" i="1"/>
  <c r="H1749" i="1" s="1"/>
  <c r="I1749" i="1" s="1"/>
  <c r="J1749" i="1" s="1"/>
  <c r="D1750" i="1"/>
  <c r="D1751" i="1"/>
  <c r="H1751" i="1" s="1"/>
  <c r="I1751" i="1" s="1"/>
  <c r="J1751" i="1" s="1"/>
  <c r="D1752" i="1"/>
  <c r="D1753" i="1"/>
  <c r="H1753" i="1" s="1"/>
  <c r="D1754" i="1"/>
  <c r="D1755" i="1"/>
  <c r="D1756" i="1"/>
  <c r="D1757" i="1"/>
  <c r="D1758" i="1"/>
  <c r="H1758" i="1" s="1"/>
  <c r="I1758" i="1" s="1"/>
  <c r="J1758" i="1" s="1"/>
  <c r="D1759" i="1"/>
  <c r="H1759" i="1" s="1"/>
  <c r="I1759" i="1" s="1"/>
  <c r="J1759" i="1" s="1"/>
  <c r="D1760" i="1"/>
  <c r="H1760" i="1" s="1"/>
  <c r="I1760" i="1" s="1"/>
  <c r="J1760" i="1" s="1"/>
  <c r="D1761" i="1"/>
  <c r="H1761" i="1" s="1"/>
  <c r="I1761" i="1" s="1"/>
  <c r="J1761" i="1" s="1"/>
  <c r="D1762" i="1"/>
  <c r="H1762" i="1" s="1"/>
  <c r="I1762" i="1" s="1"/>
  <c r="J1762" i="1" s="1"/>
  <c r="D1763" i="1"/>
  <c r="D1764" i="1"/>
  <c r="D1765" i="1"/>
  <c r="D1766" i="1"/>
  <c r="D1767" i="1"/>
  <c r="D1768" i="1"/>
  <c r="H1768" i="1" s="1"/>
  <c r="I1768" i="1" s="1"/>
  <c r="J1768" i="1" s="1"/>
  <c r="D1769" i="1"/>
  <c r="D1770" i="1"/>
  <c r="D1771" i="1"/>
  <c r="D1772" i="1"/>
  <c r="D1773" i="1"/>
  <c r="D1774" i="1"/>
  <c r="D1775" i="1"/>
  <c r="H1775" i="1" s="1"/>
  <c r="D1776" i="1"/>
  <c r="D1777" i="1"/>
  <c r="D1778" i="1"/>
  <c r="D1779" i="1"/>
  <c r="D1780" i="1"/>
  <c r="D1781" i="1"/>
  <c r="D1782" i="1"/>
  <c r="H1782" i="1" s="1"/>
  <c r="I1782" i="1" s="1"/>
  <c r="J1782" i="1" s="1"/>
  <c r="D1783" i="1"/>
  <c r="H1783" i="1" s="1"/>
  <c r="I1783" i="1" s="1"/>
  <c r="J1783" i="1" s="1"/>
  <c r="D1784" i="1"/>
  <c r="D1785" i="1"/>
  <c r="D1786" i="1"/>
  <c r="H1786" i="1" s="1"/>
  <c r="I1786" i="1" s="1"/>
  <c r="J1786" i="1" s="1"/>
  <c r="D1787" i="1"/>
  <c r="D1788" i="1"/>
  <c r="D1789" i="1"/>
  <c r="H1789" i="1" s="1"/>
  <c r="D1790" i="1"/>
  <c r="H1790" i="1" s="1"/>
  <c r="D1791" i="1"/>
  <c r="D1792" i="1"/>
  <c r="D1793" i="1"/>
  <c r="D1794" i="1"/>
  <c r="H1794" i="1" s="1"/>
  <c r="D1795" i="1"/>
  <c r="D1796" i="1"/>
  <c r="H1796" i="1" s="1"/>
  <c r="D1797" i="1"/>
  <c r="D1798" i="1"/>
  <c r="D1799" i="1"/>
  <c r="D1800" i="1"/>
  <c r="D1801" i="1"/>
  <c r="D1802" i="1"/>
  <c r="D1803" i="1"/>
  <c r="D1804" i="1"/>
  <c r="H1804" i="1" s="1"/>
  <c r="I1804" i="1" s="1"/>
  <c r="J1804" i="1" s="1"/>
  <c r="D1805" i="1"/>
  <c r="D1806" i="1"/>
  <c r="H1806" i="1" s="1"/>
  <c r="I1806" i="1" s="1"/>
  <c r="J1806" i="1" s="1"/>
  <c r="D1807" i="1"/>
  <c r="H1807" i="1" s="1"/>
  <c r="I1807" i="1" s="1"/>
  <c r="J1807" i="1" s="1"/>
  <c r="D1808" i="1"/>
  <c r="H1808" i="1" s="1"/>
  <c r="I1808" i="1" s="1"/>
  <c r="J1808" i="1" s="1"/>
  <c r="D1809" i="1"/>
  <c r="H1809" i="1" s="1"/>
  <c r="I1809" i="1" s="1"/>
  <c r="J1809" i="1" s="1"/>
  <c r="D1810" i="1"/>
  <c r="D1811" i="1"/>
  <c r="H1811" i="1" s="1"/>
  <c r="D1812" i="1"/>
  <c r="D1813" i="1"/>
  <c r="D1814" i="1"/>
  <c r="D1815" i="1"/>
  <c r="D1816" i="1"/>
  <c r="D1817" i="1"/>
  <c r="D1818" i="1"/>
  <c r="H1818" i="1" s="1"/>
  <c r="I1818" i="1" s="1"/>
  <c r="J1818" i="1" s="1"/>
  <c r="D1819" i="1"/>
  <c r="H1819" i="1" s="1"/>
  <c r="I1819" i="1" s="1"/>
  <c r="J1819" i="1" s="1"/>
  <c r="D1820" i="1"/>
  <c r="H1820" i="1" s="1"/>
  <c r="I1820" i="1" s="1"/>
  <c r="J1820" i="1" s="1"/>
  <c r="D1821" i="1"/>
  <c r="H1821" i="1" s="1"/>
  <c r="I1821" i="1" s="1"/>
  <c r="J1821" i="1" s="1"/>
  <c r="D1822" i="1"/>
  <c r="H1822" i="1" s="1"/>
  <c r="I1822" i="1" s="1"/>
  <c r="J1822" i="1" s="1"/>
  <c r="D1823" i="1"/>
  <c r="H1823" i="1" s="1"/>
  <c r="I1823" i="1" s="1"/>
  <c r="J1823" i="1" s="1"/>
  <c r="D1824" i="1"/>
  <c r="H1824" i="1" s="1"/>
  <c r="D1825" i="1"/>
  <c r="H1825" i="1" s="1"/>
  <c r="D1826" i="1"/>
  <c r="H1826" i="1" s="1"/>
  <c r="D1827" i="1"/>
  <c r="D1828" i="1"/>
  <c r="H1828" i="1" s="1"/>
  <c r="I1828" i="1" s="1"/>
  <c r="J1828" i="1" s="1"/>
  <c r="D1829" i="1"/>
  <c r="D1830" i="1"/>
  <c r="H1830" i="1" s="1"/>
  <c r="I1830" i="1" s="1"/>
  <c r="J1830" i="1" s="1"/>
  <c r="D1831" i="1"/>
  <c r="H1831" i="1" s="1"/>
  <c r="I1831" i="1" s="1"/>
  <c r="J1831" i="1" s="1"/>
  <c r="D1832" i="1"/>
  <c r="H1832" i="1" s="1"/>
  <c r="I1832" i="1" s="1"/>
  <c r="J1832" i="1" s="1"/>
  <c r="D1833" i="1"/>
  <c r="H1833" i="1" s="1"/>
  <c r="I1833" i="1" s="1"/>
  <c r="J1833" i="1" s="1"/>
  <c r="D1834" i="1"/>
  <c r="D1835" i="1"/>
  <c r="H1835" i="1" s="1"/>
  <c r="I1835" i="1" s="1"/>
  <c r="J1835" i="1" s="1"/>
  <c r="D1836" i="1"/>
  <c r="D1837" i="1"/>
  <c r="D1838" i="1"/>
  <c r="D1839" i="1"/>
  <c r="D1840" i="1"/>
  <c r="D1841" i="1"/>
  <c r="D1842" i="1"/>
  <c r="D1843" i="1"/>
  <c r="D1844" i="1"/>
  <c r="D1845" i="1"/>
  <c r="D1846" i="1"/>
  <c r="D1847" i="1"/>
  <c r="D1848" i="1"/>
  <c r="D1849" i="1"/>
  <c r="H1849" i="1" s="1"/>
  <c r="D1850" i="1"/>
  <c r="H1850" i="1" s="1"/>
  <c r="D1851" i="1"/>
  <c r="D1852" i="1"/>
  <c r="H1852" i="1" s="1"/>
  <c r="I1852" i="1" s="1"/>
  <c r="J1852" i="1" s="1"/>
  <c r="D1853" i="1"/>
  <c r="H1853" i="1" s="1"/>
  <c r="I1853" i="1" s="1"/>
  <c r="J1853" i="1" s="1"/>
  <c r="D1854" i="1"/>
  <c r="H1854" i="1" s="1"/>
  <c r="I1854" i="1" s="1"/>
  <c r="J1854" i="1" s="1"/>
  <c r="D1855" i="1"/>
  <c r="H1855" i="1" s="1"/>
  <c r="I1855" i="1" s="1"/>
  <c r="J1855" i="1" s="1"/>
  <c r="D1856" i="1"/>
  <c r="D1857" i="1"/>
  <c r="D1858" i="1"/>
  <c r="D1859" i="1"/>
  <c r="H1859" i="1" s="1"/>
  <c r="D1860" i="1"/>
  <c r="D1861" i="1"/>
  <c r="D1862" i="1"/>
  <c r="D1863" i="1"/>
  <c r="D1864" i="1"/>
  <c r="D1865" i="1"/>
  <c r="H1865" i="1" s="1"/>
  <c r="D1866" i="1"/>
  <c r="H1866" i="1" s="1"/>
  <c r="I1866" i="1" s="1"/>
  <c r="J1866" i="1" s="1"/>
  <c r="D1867" i="1"/>
  <c r="H1867" i="1" s="1"/>
  <c r="I1867" i="1" s="1"/>
  <c r="J1867" i="1" s="1"/>
  <c r="D1868" i="1"/>
  <c r="H1868" i="1" s="1"/>
  <c r="D1869" i="1"/>
  <c r="D1870" i="1"/>
  <c r="H1870" i="1" s="1"/>
  <c r="I1870" i="1" s="1"/>
  <c r="J1870" i="1" s="1"/>
  <c r="D1871" i="1"/>
  <c r="H1871" i="1" s="1"/>
  <c r="D1872" i="1"/>
  <c r="H1872" i="1" s="1"/>
  <c r="D1873" i="1"/>
  <c r="D1874" i="1"/>
  <c r="D1875" i="1"/>
  <c r="D1876" i="1"/>
  <c r="D1877" i="1"/>
  <c r="D1878" i="1"/>
  <c r="H1878" i="1" s="1"/>
  <c r="I1878" i="1" s="1"/>
  <c r="J1878" i="1" s="1"/>
  <c r="D1879" i="1"/>
  <c r="H1879" i="1" s="1"/>
  <c r="I1879" i="1" s="1"/>
  <c r="J1879" i="1" s="1"/>
  <c r="D1880" i="1"/>
  <c r="H1880" i="1" s="1"/>
  <c r="I1880" i="1" s="1"/>
  <c r="J1880" i="1" s="1"/>
  <c r="D1881" i="1"/>
  <c r="H1881" i="1" s="1"/>
  <c r="I1881" i="1" s="1"/>
  <c r="J1881" i="1" s="1"/>
  <c r="D1882" i="1"/>
  <c r="H1882" i="1" s="1"/>
  <c r="D1883" i="1"/>
  <c r="H1883" i="1" s="1"/>
  <c r="D1884" i="1"/>
  <c r="D1885" i="1"/>
  <c r="H1885" i="1" s="1"/>
  <c r="D1886" i="1"/>
  <c r="D1887" i="1"/>
  <c r="D1888" i="1"/>
  <c r="D1889" i="1"/>
  <c r="D1890" i="1"/>
  <c r="H1890" i="1" s="1"/>
  <c r="I1890" i="1" s="1"/>
  <c r="J1890" i="1" s="1"/>
  <c r="D1891" i="1"/>
  <c r="H1891" i="1" s="1"/>
  <c r="I1891" i="1" s="1"/>
  <c r="J1891" i="1" s="1"/>
  <c r="D1892" i="1"/>
  <c r="H1892" i="1" s="1"/>
  <c r="I1892" i="1" s="1"/>
  <c r="J1892" i="1" s="1"/>
  <c r="D1893" i="1"/>
  <c r="H1893" i="1" s="1"/>
  <c r="I1893" i="1" s="1"/>
  <c r="J1893" i="1" s="1"/>
  <c r="D1894" i="1"/>
  <c r="H1894" i="1" s="1"/>
  <c r="I1894" i="1" s="1"/>
  <c r="J1894" i="1" s="1"/>
  <c r="D1895" i="1"/>
  <c r="H1895" i="1" s="1"/>
  <c r="I1895" i="1" s="1"/>
  <c r="J1895" i="1" s="1"/>
  <c r="D1896" i="1"/>
  <c r="D1897" i="1"/>
  <c r="D1898" i="1"/>
  <c r="D1899" i="1"/>
  <c r="D1900" i="1"/>
  <c r="D1901" i="1"/>
  <c r="D1902" i="1"/>
  <c r="H1902" i="1" s="1"/>
  <c r="I1902" i="1" s="1"/>
  <c r="J1902" i="1" s="1"/>
  <c r="D1903" i="1"/>
  <c r="H1903" i="1" s="1"/>
  <c r="I1903" i="1" s="1"/>
  <c r="J1903" i="1" s="1"/>
  <c r="D1904" i="1"/>
  <c r="H1904" i="1" s="1"/>
  <c r="I1904" i="1" s="1"/>
  <c r="J1904" i="1" s="1"/>
  <c r="D1905" i="1"/>
  <c r="H1905" i="1" s="1"/>
  <c r="I1905" i="1" s="1"/>
  <c r="J1905" i="1" s="1"/>
  <c r="D1906" i="1"/>
  <c r="H1906" i="1" s="1"/>
  <c r="I1906" i="1" s="1"/>
  <c r="J1906" i="1" s="1"/>
  <c r="D1907" i="1"/>
  <c r="H1907" i="1" s="1"/>
  <c r="I1907" i="1" s="1"/>
  <c r="J1907" i="1" s="1"/>
  <c r="D1908" i="1"/>
  <c r="H1908" i="1" s="1"/>
  <c r="D1909" i="1"/>
  <c r="H1909" i="1" s="1"/>
  <c r="D1910" i="1"/>
  <c r="H1910" i="1" s="1"/>
  <c r="D1911" i="1"/>
  <c r="D1912" i="1"/>
  <c r="H1912" i="1" s="1"/>
  <c r="D1913" i="1"/>
  <c r="H1913" i="1" s="1"/>
  <c r="I1913" i="1" s="1"/>
  <c r="J1913" i="1" s="1"/>
  <c r="D1914" i="1"/>
  <c r="H1914" i="1" s="1"/>
  <c r="I1914" i="1" s="1"/>
  <c r="J1914" i="1" s="1"/>
  <c r="D1915" i="1"/>
  <c r="D1916" i="1"/>
  <c r="D1917" i="1"/>
  <c r="D1918" i="1"/>
  <c r="D1919" i="1"/>
  <c r="D1920" i="1"/>
  <c r="H1920" i="1" s="1"/>
  <c r="D1921" i="1"/>
  <c r="H1921" i="1" s="1"/>
  <c r="D1922" i="1"/>
  <c r="H1922" i="1" s="1"/>
  <c r="D1923" i="1"/>
  <c r="D1924" i="1"/>
  <c r="D1925" i="1"/>
  <c r="H1925" i="1" s="1"/>
  <c r="D1926" i="1"/>
  <c r="D1927" i="1"/>
  <c r="D1928" i="1"/>
  <c r="D1929" i="1"/>
  <c r="D1930" i="1"/>
  <c r="D1931" i="1"/>
  <c r="D1932" i="1"/>
  <c r="D1933" i="1"/>
  <c r="D1934" i="1"/>
  <c r="D1935" i="1"/>
  <c r="D1936" i="1"/>
  <c r="H1936" i="1" s="1"/>
  <c r="I1936" i="1" s="1"/>
  <c r="J1936" i="1" s="1"/>
  <c r="D1937" i="1"/>
  <c r="D1938" i="1"/>
  <c r="H1938" i="1" s="1"/>
  <c r="I1938" i="1" s="1"/>
  <c r="J1938" i="1" s="1"/>
  <c r="D1939" i="1"/>
  <c r="H1939" i="1" s="1"/>
  <c r="I1939" i="1" s="1"/>
  <c r="J1939" i="1" s="1"/>
  <c r="D1940" i="1"/>
  <c r="D1941" i="1"/>
  <c r="D1942" i="1"/>
  <c r="D1943" i="1"/>
  <c r="H1943" i="1" s="1"/>
  <c r="D1944" i="1"/>
  <c r="H1944" i="1" s="1"/>
  <c r="D1945" i="1"/>
  <c r="D1946" i="1"/>
  <c r="H1946" i="1" s="1"/>
  <c r="D1947" i="1"/>
  <c r="D1948" i="1"/>
  <c r="H1948" i="1" s="1"/>
  <c r="D1949" i="1"/>
  <c r="H1949" i="1" s="1"/>
  <c r="D1950" i="1"/>
  <c r="H1950" i="1" s="1"/>
  <c r="I1950" i="1" s="1"/>
  <c r="J1950" i="1" s="1"/>
  <c r="D1951" i="1"/>
  <c r="H1951" i="1" s="1"/>
  <c r="I1951" i="1" s="1"/>
  <c r="J1951" i="1" s="1"/>
  <c r="D1952" i="1"/>
  <c r="H1952" i="1" s="1"/>
  <c r="I1952" i="1" s="1"/>
  <c r="J1952" i="1" s="1"/>
  <c r="D1953" i="1"/>
  <c r="H1953" i="1" s="1"/>
  <c r="I1953" i="1" s="1"/>
  <c r="J1953" i="1" s="1"/>
  <c r="D1954" i="1"/>
  <c r="H1954" i="1" s="1"/>
  <c r="I1954" i="1" s="1"/>
  <c r="J1954" i="1" s="1"/>
  <c r="D1955" i="1"/>
  <c r="H1955" i="1" s="1"/>
  <c r="I1955" i="1" s="1"/>
  <c r="J1955" i="1" s="1"/>
  <c r="D1956" i="1"/>
  <c r="D1957" i="1"/>
  <c r="D1958" i="1"/>
  <c r="H1958" i="1" s="1"/>
  <c r="I1958" i="1" s="1"/>
  <c r="J1958" i="1" s="1"/>
  <c r="D1959" i="1"/>
  <c r="D1960" i="1"/>
  <c r="D1961" i="1"/>
  <c r="D1962" i="1"/>
  <c r="H1962" i="1" s="1"/>
  <c r="I1962" i="1" s="1"/>
  <c r="J1962" i="1" s="1"/>
  <c r="D1963" i="1"/>
  <c r="H1963" i="1" s="1"/>
  <c r="I1963" i="1" s="1"/>
  <c r="J1963" i="1" s="1"/>
  <c r="D1964" i="1"/>
  <c r="H1964" i="1" s="1"/>
  <c r="I1964" i="1" s="1"/>
  <c r="J1964" i="1" s="1"/>
  <c r="D1965" i="1"/>
  <c r="H1965" i="1" s="1"/>
  <c r="I1965" i="1" s="1"/>
  <c r="J1965" i="1" s="1"/>
  <c r="D1966" i="1"/>
  <c r="H1966" i="1" s="1"/>
  <c r="I1966" i="1" s="1"/>
  <c r="J1966" i="1" s="1"/>
  <c r="D1967" i="1"/>
  <c r="H1967" i="1" s="1"/>
  <c r="I1967" i="1" s="1"/>
  <c r="J1967" i="1" s="1"/>
  <c r="D1968" i="1"/>
  <c r="D1969" i="1"/>
  <c r="H1969" i="1" s="1"/>
  <c r="D1970" i="1"/>
  <c r="H1970" i="1" s="1"/>
  <c r="D1971" i="1"/>
  <c r="D1972" i="1"/>
  <c r="D1973" i="1"/>
  <c r="H1973" i="1" s="1"/>
  <c r="D1974" i="1"/>
  <c r="H1974" i="1" s="1"/>
  <c r="I1974" i="1" s="1"/>
  <c r="J1974" i="1" s="1"/>
  <c r="D1975" i="1"/>
  <c r="H1975" i="1" s="1"/>
  <c r="I1975" i="1" s="1"/>
  <c r="J1975" i="1" s="1"/>
  <c r="D1976" i="1"/>
  <c r="H1976" i="1" s="1"/>
  <c r="I1976" i="1" s="1"/>
  <c r="J1976" i="1" s="1"/>
  <c r="D1977" i="1"/>
  <c r="H1977" i="1" s="1"/>
  <c r="I1977" i="1" s="1"/>
  <c r="J1977" i="1" s="1"/>
  <c r="D1978" i="1"/>
  <c r="H1978" i="1" s="1"/>
  <c r="I1978" i="1" s="1"/>
  <c r="J1978" i="1" s="1"/>
  <c r="D1979" i="1"/>
  <c r="H1979" i="1" s="1"/>
  <c r="I1979" i="1" s="1"/>
  <c r="J1979" i="1" s="1"/>
  <c r="D1980" i="1"/>
  <c r="D1981" i="1"/>
  <c r="D1982" i="1"/>
  <c r="H1982" i="1" s="1"/>
  <c r="D1983" i="1"/>
  <c r="H1983" i="1" s="1"/>
  <c r="D1984" i="1"/>
  <c r="D1985" i="1"/>
  <c r="H1985" i="1" s="1"/>
  <c r="D1986" i="1"/>
  <c r="D1987" i="1"/>
  <c r="D1988" i="1"/>
  <c r="D1989" i="1"/>
  <c r="D1990" i="1"/>
  <c r="D1991" i="1"/>
  <c r="D1992" i="1"/>
  <c r="D1993" i="1"/>
  <c r="D1994" i="1"/>
  <c r="D1995" i="1"/>
  <c r="H1995" i="1" s="1"/>
  <c r="I1995" i="1" s="1"/>
  <c r="J1995" i="1" s="1"/>
  <c r="D1996" i="1"/>
  <c r="D1997" i="1"/>
  <c r="D1998" i="1"/>
  <c r="H1998" i="1" s="1"/>
  <c r="I1998" i="1" s="1"/>
  <c r="J1998" i="1" s="1"/>
  <c r="D1999" i="1"/>
  <c r="D2000" i="1"/>
  <c r="D2" i="1"/>
  <c r="H2" i="1" s="1"/>
  <c r="I2" i="1" s="1"/>
  <c r="J2" i="1" s="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B20" i="1"/>
  <c r="B21" i="1"/>
  <c r="B22" i="1"/>
  <c r="B23" i="1"/>
  <c r="B24" i="1"/>
  <c r="B25" i="1"/>
  <c r="B26" i="1"/>
  <c r="B27" i="1"/>
  <c r="B28" i="1"/>
  <c r="B29" i="1"/>
  <c r="B30" i="1"/>
  <c r="B31" i="1"/>
  <c r="B32" i="1"/>
  <c r="B33" i="1"/>
  <c r="B34" i="1"/>
  <c r="B35" i="1"/>
  <c r="K35" i="1" s="1"/>
  <c r="B36" i="1"/>
  <c r="K36" i="1" s="1"/>
  <c r="B37" i="1"/>
  <c r="B38" i="1"/>
  <c r="B39" i="1"/>
  <c r="B40" i="1"/>
  <c r="B41" i="1"/>
  <c r="B42" i="1"/>
  <c r="B43" i="1"/>
  <c r="B44" i="1"/>
  <c r="B45" i="1"/>
  <c r="B46" i="1"/>
  <c r="B47" i="1"/>
  <c r="B48" i="1"/>
  <c r="B49" i="1"/>
  <c r="B50" i="1"/>
  <c r="B51" i="1"/>
  <c r="B52" i="1"/>
  <c r="B53" i="1"/>
  <c r="B54" i="1"/>
  <c r="B55" i="1"/>
  <c r="B56" i="1"/>
  <c r="B57" i="1"/>
  <c r="B58" i="1"/>
  <c r="B59" i="1"/>
  <c r="B60" i="1"/>
  <c r="B61" i="1"/>
  <c r="K61" i="1" s="1"/>
  <c r="B62" i="1"/>
  <c r="B63" i="1"/>
  <c r="B64" i="1"/>
  <c r="B65" i="1"/>
  <c r="B66" i="1"/>
  <c r="B67" i="1"/>
  <c r="B68" i="1"/>
  <c r="B69" i="1"/>
  <c r="B70" i="1"/>
  <c r="B71" i="1"/>
  <c r="B72" i="1"/>
  <c r="L72" i="1" s="1"/>
  <c r="B73" i="1"/>
  <c r="B74" i="1"/>
  <c r="B75" i="1"/>
  <c r="B76" i="1"/>
  <c r="B77" i="1"/>
  <c r="B78" i="1"/>
  <c r="B79" i="1"/>
  <c r="B80" i="1"/>
  <c r="B81" i="1"/>
  <c r="B82" i="1"/>
  <c r="B83" i="1"/>
  <c r="B84" i="1"/>
  <c r="B85" i="1"/>
  <c r="B86" i="1"/>
  <c r="B87" i="1"/>
  <c r="B88" i="1"/>
  <c r="B89" i="1"/>
  <c r="B90" i="1"/>
  <c r="B91" i="1"/>
  <c r="B92" i="1"/>
  <c r="B93" i="1"/>
  <c r="B94" i="1"/>
  <c r="B95" i="1"/>
  <c r="K95" i="1" s="1"/>
  <c r="B96" i="1"/>
  <c r="K96" i="1" s="1"/>
  <c r="B97" i="1"/>
  <c r="B98" i="1"/>
  <c r="B99" i="1"/>
  <c r="B100" i="1"/>
  <c r="B101" i="1"/>
  <c r="B102" i="1"/>
  <c r="B103" i="1"/>
  <c r="B104" i="1"/>
  <c r="B105" i="1"/>
  <c r="B106" i="1"/>
  <c r="K106" i="1" s="1"/>
  <c r="B107" i="1"/>
  <c r="B108" i="1"/>
  <c r="L108" i="1" s="1"/>
  <c r="B109" i="1"/>
  <c r="L109" i="1" s="1"/>
  <c r="B110" i="1"/>
  <c r="B111" i="1"/>
  <c r="B112" i="1"/>
  <c r="B113" i="1"/>
  <c r="B114" i="1"/>
  <c r="B115" i="1"/>
  <c r="B116" i="1"/>
  <c r="B117" i="1"/>
  <c r="B118" i="1"/>
  <c r="B119" i="1"/>
  <c r="B120" i="1"/>
  <c r="B121" i="1"/>
  <c r="B122" i="1"/>
  <c r="B123" i="1"/>
  <c r="B124" i="1"/>
  <c r="B125" i="1"/>
  <c r="B126" i="1"/>
  <c r="B127" i="1"/>
  <c r="K127" i="1" s="1"/>
  <c r="B128" i="1"/>
  <c r="B129" i="1"/>
  <c r="K129" i="1" s="1"/>
  <c r="B130" i="1"/>
  <c r="K130" i="1" s="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K180" i="1" s="1"/>
  <c r="B181" i="1"/>
  <c r="B182" i="1"/>
  <c r="B183" i="1"/>
  <c r="B184" i="1"/>
  <c r="B185" i="1"/>
  <c r="B186" i="1"/>
  <c r="B187" i="1"/>
  <c r="B188" i="1"/>
  <c r="B189" i="1"/>
  <c r="B190" i="1"/>
  <c r="B191" i="1"/>
  <c r="B192" i="1"/>
  <c r="B193" i="1"/>
  <c r="B194" i="1"/>
  <c r="B195" i="1"/>
  <c r="B196" i="1"/>
  <c r="B197" i="1"/>
  <c r="B198" i="1"/>
  <c r="B199" i="1"/>
  <c r="K199" i="1" s="1"/>
  <c r="B200" i="1"/>
  <c r="B201" i="1"/>
  <c r="B202" i="1"/>
  <c r="B203" i="1"/>
  <c r="B204" i="1"/>
  <c r="B205" i="1"/>
  <c r="B206" i="1"/>
  <c r="B207" i="1"/>
  <c r="B208" i="1"/>
  <c r="B209" i="1"/>
  <c r="B210" i="1"/>
  <c r="B211" i="1"/>
  <c r="B212" i="1"/>
  <c r="B213" i="1"/>
  <c r="B214" i="1"/>
  <c r="B215" i="1"/>
  <c r="B216" i="1"/>
  <c r="B217" i="1"/>
  <c r="K217" i="1" s="1"/>
  <c r="B218" i="1"/>
  <c r="B219" i="1"/>
  <c r="B220" i="1"/>
  <c r="B221" i="1"/>
  <c r="B222" i="1"/>
  <c r="K222" i="1" s="1"/>
  <c r="B223" i="1"/>
  <c r="B224" i="1"/>
  <c r="B225" i="1"/>
  <c r="B226" i="1"/>
  <c r="B227" i="1"/>
  <c r="B228" i="1"/>
  <c r="B229" i="1"/>
  <c r="B230" i="1"/>
  <c r="B231" i="1"/>
  <c r="B232" i="1"/>
  <c r="B233" i="1"/>
  <c r="B234" i="1"/>
  <c r="B235" i="1"/>
  <c r="B236" i="1"/>
  <c r="B237" i="1"/>
  <c r="B238" i="1"/>
  <c r="B239" i="1"/>
  <c r="B240" i="1"/>
  <c r="B241" i="1"/>
  <c r="B242" i="1"/>
  <c r="B243" i="1"/>
  <c r="B244" i="1"/>
  <c r="B245" i="1"/>
  <c r="B246" i="1"/>
  <c r="L246" i="1" s="1"/>
  <c r="B247" i="1"/>
  <c r="K247" i="1" s="1"/>
  <c r="B248" i="1"/>
  <c r="B249" i="1"/>
  <c r="K249" i="1" s="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K300" i="1" s="1"/>
  <c r="B301" i="1"/>
  <c r="B302" i="1"/>
  <c r="B303" i="1"/>
  <c r="B304" i="1"/>
  <c r="B305" i="1"/>
  <c r="B306" i="1"/>
  <c r="B307" i="1"/>
  <c r="B308" i="1"/>
  <c r="B309" i="1"/>
  <c r="B310" i="1"/>
  <c r="B311" i="1"/>
  <c r="B312" i="1"/>
  <c r="B313" i="1"/>
  <c r="B314" i="1"/>
  <c r="B315" i="1"/>
  <c r="B316" i="1"/>
  <c r="B317" i="1"/>
  <c r="B318" i="1"/>
  <c r="B319" i="1"/>
  <c r="B320" i="1"/>
  <c r="B321" i="1"/>
  <c r="B322" i="1"/>
  <c r="B323" i="1"/>
  <c r="B324" i="1"/>
  <c r="K324" i="1" s="1"/>
  <c r="B325" i="1"/>
  <c r="B326" i="1"/>
  <c r="B327" i="1"/>
  <c r="B328" i="1"/>
  <c r="B329" i="1"/>
  <c r="B330" i="1"/>
  <c r="B331" i="1"/>
  <c r="B332" i="1"/>
  <c r="B333" i="1"/>
  <c r="B334" i="1"/>
  <c r="B335" i="1"/>
  <c r="B336" i="1"/>
  <c r="B337" i="1"/>
  <c r="B338" i="1"/>
  <c r="B339" i="1"/>
  <c r="B340" i="1"/>
  <c r="B341" i="1"/>
  <c r="B342" i="1"/>
  <c r="B343" i="1"/>
  <c r="B344" i="1"/>
  <c r="B345" i="1"/>
  <c r="B346" i="1"/>
  <c r="K346" i="1" s="1"/>
  <c r="B347" i="1"/>
  <c r="B348" i="1"/>
  <c r="B349" i="1"/>
  <c r="B350" i="1"/>
  <c r="B351" i="1"/>
  <c r="B352" i="1"/>
  <c r="B353" i="1"/>
  <c r="B354" i="1"/>
  <c r="B355" i="1"/>
  <c r="K355" i="1" s="1"/>
  <c r="B356" i="1"/>
  <c r="B357" i="1"/>
  <c r="K357" i="1" s="1"/>
  <c r="B358" i="1"/>
  <c r="B359" i="1"/>
  <c r="B360" i="1"/>
  <c r="B361" i="1"/>
  <c r="B362" i="1"/>
  <c r="B363" i="1"/>
  <c r="B364" i="1"/>
  <c r="B365" i="1"/>
  <c r="B366" i="1"/>
  <c r="B367" i="1"/>
  <c r="B368" i="1"/>
  <c r="B369" i="1"/>
  <c r="B370" i="1"/>
  <c r="B371" i="1"/>
  <c r="B372" i="1"/>
  <c r="K372" i="1" s="1"/>
  <c r="B373" i="1"/>
  <c r="K373" i="1" s="1"/>
  <c r="B374" i="1"/>
  <c r="B375" i="1"/>
  <c r="B376" i="1"/>
  <c r="B377" i="1"/>
  <c r="B378" i="1"/>
  <c r="B379" i="1"/>
  <c r="B380" i="1"/>
  <c r="B381" i="1"/>
  <c r="B382" i="1"/>
  <c r="B383" i="1"/>
  <c r="B384" i="1"/>
  <c r="B385" i="1"/>
  <c r="K385" i="1" s="1"/>
  <c r="B386" i="1"/>
  <c r="B387" i="1"/>
  <c r="B388" i="1"/>
  <c r="B389" i="1"/>
  <c r="B390" i="1"/>
  <c r="B391" i="1"/>
  <c r="B392" i="1"/>
  <c r="B393" i="1"/>
  <c r="B394" i="1"/>
  <c r="B395" i="1"/>
  <c r="B396" i="1"/>
  <c r="B397" i="1"/>
  <c r="B398" i="1"/>
  <c r="B399" i="1"/>
  <c r="B400" i="1"/>
  <c r="B401" i="1"/>
  <c r="B402" i="1"/>
  <c r="B403" i="1"/>
  <c r="B404" i="1"/>
  <c r="B405" i="1"/>
  <c r="B406" i="1"/>
  <c r="B407" i="1"/>
  <c r="B408" i="1"/>
  <c r="L408" i="1" s="1"/>
  <c r="B409" i="1"/>
  <c r="B410" i="1"/>
  <c r="B411" i="1"/>
  <c r="B412" i="1"/>
  <c r="B413" i="1"/>
  <c r="B414" i="1"/>
  <c r="B415" i="1"/>
  <c r="B416" i="1"/>
  <c r="B417" i="1"/>
  <c r="B418" i="1"/>
  <c r="B419" i="1"/>
  <c r="B420" i="1"/>
  <c r="B421" i="1"/>
  <c r="B422" i="1"/>
  <c r="B423" i="1"/>
  <c r="B424" i="1"/>
  <c r="B425" i="1"/>
  <c r="B426" i="1"/>
  <c r="B427" i="1"/>
  <c r="B428" i="1"/>
  <c r="B429" i="1"/>
  <c r="B430" i="1"/>
  <c r="B431" i="1"/>
  <c r="K431" i="1" s="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K466" i="1" s="1"/>
  <c r="B467" i="1"/>
  <c r="B468" i="1"/>
  <c r="B469" i="1"/>
  <c r="B470" i="1"/>
  <c r="B471" i="1"/>
  <c r="B472" i="1"/>
  <c r="B473" i="1"/>
  <c r="B474" i="1"/>
  <c r="B475" i="1"/>
  <c r="B476" i="1"/>
  <c r="B477" i="1"/>
  <c r="B478" i="1"/>
  <c r="B479" i="1"/>
  <c r="K479" i="1" s="1"/>
  <c r="B480" i="1"/>
  <c r="B481" i="1"/>
  <c r="B482" i="1"/>
  <c r="B483" i="1"/>
  <c r="B484" i="1"/>
  <c r="B485" i="1"/>
  <c r="B486" i="1"/>
  <c r="L486" i="1" s="1"/>
  <c r="B487" i="1"/>
  <c r="B488" i="1"/>
  <c r="B489" i="1"/>
  <c r="B490" i="1"/>
  <c r="B491" i="1"/>
  <c r="B492" i="1"/>
  <c r="K492" i="1" s="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K529" i="1" s="1"/>
  <c r="B530" i="1"/>
  <c r="B531" i="1"/>
  <c r="B532" i="1"/>
  <c r="B533" i="1"/>
  <c r="B534" i="1"/>
  <c r="B535" i="1"/>
  <c r="B536" i="1"/>
  <c r="B537" i="1"/>
  <c r="B538" i="1"/>
  <c r="B539" i="1"/>
  <c r="K539" i="1" s="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K573" i="1" s="1"/>
  <c r="B574" i="1"/>
  <c r="B575" i="1"/>
  <c r="B576" i="1"/>
  <c r="B577" i="1"/>
  <c r="B578" i="1"/>
  <c r="B579" i="1"/>
  <c r="B580" i="1"/>
  <c r="B581" i="1"/>
  <c r="B582" i="1"/>
  <c r="B583" i="1"/>
  <c r="B584" i="1"/>
  <c r="B585" i="1"/>
  <c r="B586" i="1"/>
  <c r="B587" i="1"/>
  <c r="B588" i="1"/>
  <c r="K588" i="1" s="1"/>
  <c r="B589" i="1"/>
  <c r="K589" i="1" s="1"/>
  <c r="B590" i="1"/>
  <c r="B591" i="1"/>
  <c r="B592" i="1"/>
  <c r="B593" i="1"/>
  <c r="B594" i="1"/>
  <c r="B595" i="1"/>
  <c r="B596" i="1"/>
  <c r="B597" i="1"/>
  <c r="B598" i="1"/>
  <c r="B599" i="1"/>
  <c r="B600" i="1"/>
  <c r="B601" i="1"/>
  <c r="B602" i="1"/>
  <c r="B603" i="1"/>
  <c r="B604" i="1"/>
  <c r="B605" i="1"/>
  <c r="B606" i="1"/>
  <c r="B607" i="1"/>
  <c r="B608" i="1"/>
  <c r="B609" i="1"/>
  <c r="B610" i="1"/>
  <c r="B611" i="1"/>
  <c r="B612" i="1"/>
  <c r="L612" i="1" s="1"/>
  <c r="B613" i="1"/>
  <c r="B614" i="1"/>
  <c r="B615" i="1"/>
  <c r="B616" i="1"/>
  <c r="B617" i="1"/>
  <c r="B618" i="1"/>
  <c r="B619" i="1"/>
  <c r="B620" i="1"/>
  <c r="B621" i="1"/>
  <c r="K621" i="1" s="1"/>
  <c r="B622" i="1"/>
  <c r="B623" i="1"/>
  <c r="B624" i="1"/>
  <c r="B625" i="1"/>
  <c r="B626" i="1"/>
  <c r="B627" i="1"/>
  <c r="B628" i="1"/>
  <c r="B629" i="1"/>
  <c r="B630" i="1"/>
  <c r="B631" i="1"/>
  <c r="B632" i="1"/>
  <c r="B633" i="1"/>
  <c r="B634" i="1"/>
  <c r="B635" i="1"/>
  <c r="B636" i="1"/>
  <c r="B637" i="1"/>
  <c r="K637" i="1" s="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K666" i="1" s="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K695" i="1" s="1"/>
  <c r="B696" i="1"/>
  <c r="B697" i="1"/>
  <c r="K697" i="1" s="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K727" i="1" s="1"/>
  <c r="B728" i="1"/>
  <c r="B729" i="1"/>
  <c r="B730" i="1"/>
  <c r="B731" i="1"/>
  <c r="B732" i="1"/>
  <c r="L732" i="1" s="1"/>
  <c r="B733" i="1"/>
  <c r="B734" i="1"/>
  <c r="B735" i="1"/>
  <c r="B736" i="1"/>
  <c r="B737" i="1"/>
  <c r="B738" i="1"/>
  <c r="B739" i="1"/>
  <c r="B740" i="1"/>
  <c r="B741" i="1"/>
  <c r="B742" i="1"/>
  <c r="B743" i="1"/>
  <c r="K743" i="1" s="1"/>
  <c r="B744" i="1"/>
  <c r="K744" i="1" s="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K793" i="1" s="1"/>
  <c r="B794" i="1"/>
  <c r="B795" i="1"/>
  <c r="B796" i="1"/>
  <c r="B797" i="1"/>
  <c r="B798" i="1"/>
  <c r="L798" i="1" s="1"/>
  <c r="B799" i="1"/>
  <c r="B800" i="1"/>
  <c r="B801" i="1"/>
  <c r="B802" i="1"/>
  <c r="B803" i="1"/>
  <c r="B804" i="1"/>
  <c r="B805" i="1"/>
  <c r="B806" i="1"/>
  <c r="B807" i="1"/>
  <c r="B808" i="1"/>
  <c r="B809" i="1"/>
  <c r="B810" i="1"/>
  <c r="B811" i="1"/>
  <c r="B812" i="1"/>
  <c r="B813" i="1"/>
  <c r="B814" i="1"/>
  <c r="B815" i="1"/>
  <c r="B816" i="1"/>
  <c r="B817" i="1"/>
  <c r="K817" i="1" s="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K849" i="1" s="1"/>
  <c r="B850" i="1"/>
  <c r="B851" i="1"/>
  <c r="B852" i="1"/>
  <c r="B853" i="1"/>
  <c r="B854" i="1"/>
  <c r="B855" i="1"/>
  <c r="B856" i="1"/>
  <c r="B857" i="1"/>
  <c r="B858" i="1"/>
  <c r="B859" i="1"/>
  <c r="B860" i="1"/>
  <c r="B861" i="1"/>
  <c r="K861" i="1" s="1"/>
  <c r="B862" i="1"/>
  <c r="B863" i="1"/>
  <c r="K863" i="1" s="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L900" i="1" s="1"/>
  <c r="B901" i="1"/>
  <c r="B902" i="1"/>
  <c r="B903" i="1"/>
  <c r="B904" i="1"/>
  <c r="B905" i="1"/>
  <c r="B906" i="1"/>
  <c r="B907" i="1"/>
  <c r="B908" i="1"/>
  <c r="B909" i="1"/>
  <c r="K909" i="1" s="1"/>
  <c r="B910" i="1"/>
  <c r="B911" i="1"/>
  <c r="B912" i="1"/>
  <c r="B913" i="1"/>
  <c r="B914" i="1"/>
  <c r="B915" i="1"/>
  <c r="B916" i="1"/>
  <c r="B917" i="1"/>
  <c r="B918" i="1"/>
  <c r="B919" i="1"/>
  <c r="B920" i="1"/>
  <c r="B921" i="1"/>
  <c r="B922" i="1"/>
  <c r="B923" i="1"/>
  <c r="B924" i="1"/>
  <c r="B925" i="1"/>
  <c r="B926" i="1"/>
  <c r="B927" i="1"/>
  <c r="B928" i="1"/>
  <c r="B929" i="1"/>
  <c r="B930" i="1"/>
  <c r="B931" i="1"/>
  <c r="K931" i="1" s="1"/>
  <c r="B932" i="1"/>
  <c r="B933" i="1"/>
  <c r="B934" i="1"/>
  <c r="B935" i="1"/>
  <c r="B936" i="1"/>
  <c r="B937" i="1"/>
  <c r="B938" i="1"/>
  <c r="L938" i="1" s="1"/>
  <c r="B939" i="1"/>
  <c r="B940" i="1"/>
  <c r="B941" i="1"/>
  <c r="B942" i="1"/>
  <c r="B943" i="1"/>
  <c r="K943" i="1" s="1"/>
  <c r="B944" i="1"/>
  <c r="B945" i="1"/>
  <c r="L945" i="1" s="1"/>
  <c r="B946" i="1"/>
  <c r="K946" i="1" s="1"/>
  <c r="B947" i="1"/>
  <c r="K947" i="1" s="1"/>
  <c r="B948" i="1"/>
  <c r="B949" i="1"/>
  <c r="B950" i="1"/>
  <c r="B951" i="1"/>
  <c r="B952" i="1"/>
  <c r="B953" i="1"/>
  <c r="B954" i="1"/>
  <c r="B955" i="1"/>
  <c r="B956" i="1"/>
  <c r="B957" i="1"/>
  <c r="B958" i="1"/>
  <c r="B959" i="1"/>
  <c r="B960" i="1"/>
  <c r="B961" i="1"/>
  <c r="K961" i="1" s="1"/>
  <c r="B962" i="1"/>
  <c r="B963" i="1"/>
  <c r="B964" i="1"/>
  <c r="B965" i="1"/>
  <c r="B966" i="1"/>
  <c r="B967" i="1"/>
  <c r="B968" i="1"/>
  <c r="B969" i="1"/>
  <c r="B970" i="1"/>
  <c r="B971" i="1"/>
  <c r="B972" i="1"/>
  <c r="B973" i="1"/>
  <c r="B974" i="1"/>
  <c r="B975" i="1"/>
  <c r="B976" i="1"/>
  <c r="B977" i="1"/>
  <c r="B978" i="1"/>
  <c r="B979" i="1"/>
  <c r="B980" i="1"/>
  <c r="B981" i="1"/>
  <c r="B982" i="1"/>
  <c r="B983" i="1"/>
  <c r="B984" i="1"/>
  <c r="B985" i="1"/>
  <c r="K985" i="1" s="1"/>
  <c r="B986" i="1"/>
  <c r="B987" i="1"/>
  <c r="B988" i="1"/>
  <c r="B989" i="1"/>
  <c r="B990" i="1"/>
  <c r="B991" i="1"/>
  <c r="B992" i="1"/>
  <c r="B993" i="1"/>
  <c r="B994" i="1"/>
  <c r="B995" i="1"/>
  <c r="B996" i="1"/>
  <c r="B997" i="1"/>
  <c r="B998" i="1"/>
  <c r="B999" i="1"/>
  <c r="B1000" i="1"/>
  <c r="B1001" i="1"/>
  <c r="B1002" i="1"/>
  <c r="B1003" i="1"/>
  <c r="L1003" i="1" s="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L1032" i="1" s="1"/>
  <c r="B1033" i="1"/>
  <c r="B1034" i="1"/>
  <c r="B1035" i="1"/>
  <c r="B1036" i="1"/>
  <c r="B1037" i="1"/>
  <c r="K1037" i="1" s="1"/>
  <c r="B1038" i="1"/>
  <c r="B1039" i="1"/>
  <c r="B1040" i="1"/>
  <c r="B1041" i="1"/>
  <c r="B1042" i="1"/>
  <c r="B1043" i="1"/>
  <c r="B1044" i="1"/>
  <c r="L1044" i="1" s="1"/>
  <c r="B1045" i="1"/>
  <c r="B1046" i="1"/>
  <c r="B1047" i="1"/>
  <c r="B1048" i="1"/>
  <c r="B1049" i="1"/>
  <c r="K1049" i="1" s="1"/>
  <c r="B1050" i="1"/>
  <c r="K1050" i="1" s="1"/>
  <c r="B1051" i="1"/>
  <c r="B1052" i="1"/>
  <c r="B1053" i="1"/>
  <c r="B1054" i="1"/>
  <c r="B1055" i="1"/>
  <c r="B1056" i="1"/>
  <c r="B1057" i="1"/>
  <c r="K1057" i="1" s="1"/>
  <c r="B1058" i="1"/>
  <c r="B1059" i="1"/>
  <c r="B1060" i="1"/>
  <c r="B1061" i="1"/>
  <c r="B1062" i="1"/>
  <c r="B1063" i="1"/>
  <c r="K1063" i="1" s="1"/>
  <c r="B1064" i="1"/>
  <c r="B1065" i="1"/>
  <c r="B1066" i="1"/>
  <c r="B1067" i="1"/>
  <c r="B1068" i="1"/>
  <c r="L1068" i="1" s="1"/>
  <c r="B1069" i="1"/>
  <c r="B1070" i="1"/>
  <c r="K1070" i="1" s="1"/>
  <c r="B1071" i="1"/>
  <c r="B1072" i="1"/>
  <c r="B1073" i="1"/>
  <c r="B1074" i="1"/>
  <c r="B1075" i="1"/>
  <c r="B1076" i="1"/>
  <c r="B1077" i="1"/>
  <c r="B1078" i="1"/>
  <c r="B1079" i="1"/>
  <c r="B1080" i="1"/>
  <c r="B1081" i="1"/>
  <c r="B1082" i="1"/>
  <c r="B1083" i="1"/>
  <c r="B1084" i="1"/>
  <c r="B1085" i="1"/>
  <c r="K1085" i="1" s="1"/>
  <c r="B1086" i="1"/>
  <c r="B1087" i="1"/>
  <c r="B1088" i="1"/>
  <c r="B1089" i="1"/>
  <c r="B1090" i="1"/>
  <c r="B1091" i="1"/>
  <c r="B1092" i="1"/>
  <c r="B1093" i="1"/>
  <c r="B1094" i="1"/>
  <c r="B1095" i="1"/>
  <c r="B1096" i="1"/>
  <c r="B1097" i="1"/>
  <c r="K1097" i="1" s="1"/>
  <c r="B1098" i="1"/>
  <c r="K1098" i="1" s="1"/>
  <c r="B1099" i="1"/>
  <c r="B1100" i="1"/>
  <c r="B1101" i="1"/>
  <c r="B1102" i="1"/>
  <c r="B1103" i="1"/>
  <c r="B1104" i="1"/>
  <c r="B1105" i="1"/>
  <c r="K1105" i="1" s="1"/>
  <c r="B1106" i="1"/>
  <c r="B1107" i="1"/>
  <c r="B1108" i="1"/>
  <c r="B1109" i="1"/>
  <c r="B1110" i="1"/>
  <c r="B1111" i="1"/>
  <c r="K1111" i="1" s="1"/>
  <c r="B1112" i="1"/>
  <c r="B1113" i="1"/>
  <c r="B1114" i="1"/>
  <c r="B1115" i="1"/>
  <c r="B1116" i="1"/>
  <c r="B1117" i="1"/>
  <c r="B1118" i="1"/>
  <c r="B1119" i="1"/>
  <c r="B1120" i="1"/>
  <c r="B1121" i="1"/>
  <c r="B1122" i="1"/>
  <c r="B1123" i="1"/>
  <c r="B1124" i="1"/>
  <c r="B1125" i="1"/>
  <c r="B1126" i="1"/>
  <c r="B1127" i="1"/>
  <c r="B1128" i="1"/>
  <c r="B1129" i="1"/>
  <c r="B1130" i="1"/>
  <c r="B1131" i="1"/>
  <c r="B1132" i="1"/>
  <c r="B1133" i="1"/>
  <c r="K1133" i="1" s="1"/>
  <c r="B1134" i="1"/>
  <c r="B1135" i="1"/>
  <c r="B1136" i="1"/>
  <c r="B1137" i="1"/>
  <c r="B1138" i="1"/>
  <c r="B1139" i="1"/>
  <c r="B1140" i="1"/>
  <c r="B1141" i="1"/>
  <c r="B1142" i="1"/>
  <c r="B1143" i="1"/>
  <c r="B1144" i="1"/>
  <c r="B1145" i="1"/>
  <c r="K1145" i="1" s="1"/>
  <c r="B1146" i="1"/>
  <c r="K1146" i="1" s="1"/>
  <c r="B1147" i="1"/>
  <c r="B1148" i="1"/>
  <c r="B1149" i="1"/>
  <c r="B1150" i="1"/>
  <c r="B1151" i="1"/>
  <c r="B1152" i="1"/>
  <c r="B1153" i="1"/>
  <c r="K1153" i="1" s="1"/>
  <c r="B1154" i="1"/>
  <c r="B1155" i="1"/>
  <c r="B1156" i="1"/>
  <c r="B1157" i="1"/>
  <c r="B1158" i="1"/>
  <c r="B1159" i="1"/>
  <c r="K1159" i="1" s="1"/>
  <c r="B1160" i="1"/>
  <c r="B1161" i="1"/>
  <c r="B1162" i="1"/>
  <c r="B1163" i="1"/>
  <c r="B1164" i="1"/>
  <c r="B1165" i="1"/>
  <c r="B1166" i="1"/>
  <c r="K1166" i="1" s="1"/>
  <c r="B1167" i="1"/>
  <c r="B1168" i="1"/>
  <c r="B1169" i="1"/>
  <c r="B1170" i="1"/>
  <c r="B1171" i="1"/>
  <c r="B1172" i="1"/>
  <c r="B1173" i="1"/>
  <c r="B1174" i="1"/>
  <c r="B1175" i="1"/>
  <c r="B1176" i="1"/>
  <c r="B1177" i="1"/>
  <c r="B1178" i="1"/>
  <c r="B1179" i="1"/>
  <c r="B1180" i="1"/>
  <c r="B1181" i="1"/>
  <c r="B1182" i="1"/>
  <c r="B1183" i="1"/>
  <c r="B1184" i="1"/>
  <c r="B1185" i="1"/>
  <c r="B1186" i="1"/>
  <c r="B1187" i="1"/>
  <c r="B1188" i="1"/>
  <c r="L1188" i="1" s="1"/>
  <c r="B1189" i="1"/>
  <c r="B1190" i="1"/>
  <c r="B1191" i="1"/>
  <c r="B1192" i="1"/>
  <c r="B1193" i="1"/>
  <c r="B1194" i="1"/>
  <c r="B1195" i="1"/>
  <c r="B1196" i="1"/>
  <c r="B1197" i="1"/>
  <c r="B1198" i="1"/>
  <c r="B1199" i="1"/>
  <c r="B1200" i="1"/>
  <c r="L1200" i="1" s="1"/>
  <c r="B1201" i="1"/>
  <c r="K1201" i="1" s="1"/>
  <c r="B1202" i="1"/>
  <c r="B1203" i="1"/>
  <c r="B1204" i="1"/>
  <c r="B1205" i="1"/>
  <c r="B1206" i="1"/>
  <c r="B1207" i="1"/>
  <c r="K1207" i="1" s="1"/>
  <c r="B1208" i="1"/>
  <c r="B1209" i="1"/>
  <c r="B1210" i="1"/>
  <c r="B1211" i="1"/>
  <c r="B1212" i="1"/>
  <c r="B1213" i="1"/>
  <c r="B1214" i="1"/>
  <c r="K1214" i="1" s="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K1249" i="1" s="1"/>
  <c r="B1250" i="1"/>
  <c r="B1251" i="1"/>
  <c r="B1252" i="1"/>
  <c r="B1253" i="1"/>
  <c r="B1254" i="1"/>
  <c r="B1255" i="1"/>
  <c r="K1255" i="1" s="1"/>
  <c r="B1256" i="1"/>
  <c r="B1257" i="1"/>
  <c r="B1258" i="1"/>
  <c r="B1259" i="1"/>
  <c r="B1260" i="1"/>
  <c r="B1261" i="1"/>
  <c r="B1262" i="1"/>
  <c r="L1262" i="1" s="1"/>
  <c r="B1263" i="1"/>
  <c r="B1264" i="1"/>
  <c r="B1265" i="1"/>
  <c r="B1266" i="1"/>
  <c r="B1267" i="1"/>
  <c r="B1268" i="1"/>
  <c r="B1269" i="1"/>
  <c r="B1270" i="1"/>
  <c r="B1271" i="1"/>
  <c r="L1271" i="1" s="1"/>
  <c r="B1272" i="1"/>
  <c r="B1273" i="1"/>
  <c r="B1274" i="1"/>
  <c r="B1275" i="1"/>
  <c r="B1276" i="1"/>
  <c r="B1277" i="1"/>
  <c r="B1278" i="1"/>
  <c r="B1279" i="1"/>
  <c r="B1280" i="1"/>
  <c r="B1281" i="1"/>
  <c r="B1282" i="1"/>
  <c r="B1283" i="1"/>
  <c r="B1284" i="1"/>
  <c r="B1285" i="1"/>
  <c r="B1286" i="1"/>
  <c r="B1287" i="1"/>
  <c r="B1288" i="1"/>
  <c r="B1289" i="1"/>
  <c r="B1290" i="1"/>
  <c r="K1290" i="1" s="1"/>
  <c r="B1291" i="1"/>
  <c r="B1292" i="1"/>
  <c r="B1293" i="1"/>
  <c r="B1294" i="1"/>
  <c r="B1295" i="1"/>
  <c r="B1296" i="1"/>
  <c r="K1296" i="1" s="1"/>
  <c r="B1297" i="1"/>
  <c r="K1297" i="1" s="1"/>
  <c r="B1298" i="1"/>
  <c r="B1299" i="1"/>
  <c r="B1300" i="1"/>
  <c r="B1301" i="1"/>
  <c r="B1302" i="1"/>
  <c r="K1302" i="1" s="1"/>
  <c r="B1303" i="1"/>
  <c r="B1304" i="1"/>
  <c r="B1305" i="1"/>
  <c r="B1306" i="1"/>
  <c r="B1307" i="1"/>
  <c r="B1308" i="1"/>
  <c r="B1309" i="1"/>
  <c r="B1310" i="1"/>
  <c r="K1310" i="1" s="1"/>
  <c r="B1311" i="1"/>
  <c r="B1312" i="1"/>
  <c r="B1313" i="1"/>
  <c r="B1314" i="1"/>
  <c r="B1315" i="1"/>
  <c r="B1316" i="1"/>
  <c r="B1317" i="1"/>
  <c r="B1318" i="1"/>
  <c r="B1319" i="1"/>
  <c r="B1320" i="1"/>
  <c r="B1321" i="1"/>
  <c r="K1321" i="1" s="1"/>
  <c r="B1322" i="1"/>
  <c r="B1323" i="1"/>
  <c r="B1324" i="1"/>
  <c r="B1325" i="1"/>
  <c r="B1326" i="1"/>
  <c r="B1327" i="1"/>
  <c r="B1328" i="1"/>
  <c r="B1329" i="1"/>
  <c r="B1330" i="1"/>
  <c r="B1331" i="1"/>
  <c r="B1332" i="1"/>
  <c r="K1332" i="1" s="1"/>
  <c r="B1333" i="1"/>
  <c r="B1334" i="1"/>
  <c r="B1335" i="1"/>
  <c r="B1336" i="1"/>
  <c r="B1337" i="1"/>
  <c r="B1338" i="1"/>
  <c r="B1339" i="1"/>
  <c r="B1340" i="1"/>
  <c r="B1341" i="1"/>
  <c r="B1342" i="1"/>
  <c r="B1343" i="1"/>
  <c r="B1344" i="1"/>
  <c r="B1345" i="1"/>
  <c r="K1345" i="1" s="1"/>
  <c r="B1346" i="1"/>
  <c r="B1347" i="1"/>
  <c r="B1348" i="1"/>
  <c r="B1349" i="1"/>
  <c r="B1350" i="1"/>
  <c r="B1351" i="1"/>
  <c r="B1352" i="1"/>
  <c r="B1353" i="1"/>
  <c r="B1354" i="1"/>
  <c r="K1354" i="1" s="1"/>
  <c r="B1355" i="1"/>
  <c r="B1356" i="1"/>
  <c r="B1357" i="1"/>
  <c r="B1358" i="1"/>
  <c r="B1359" i="1"/>
  <c r="B1360" i="1"/>
  <c r="B1361" i="1"/>
  <c r="B1362" i="1"/>
  <c r="L1362" i="1" s="1"/>
  <c r="B1363" i="1"/>
  <c r="B1364" i="1"/>
  <c r="B1365" i="1"/>
  <c r="B1366" i="1"/>
  <c r="B1367" i="1"/>
  <c r="B1368" i="1"/>
  <c r="B1369" i="1"/>
  <c r="B1370" i="1"/>
  <c r="B1371" i="1"/>
  <c r="B1372" i="1"/>
  <c r="B1373" i="1"/>
  <c r="B1374" i="1"/>
  <c r="B1375" i="1"/>
  <c r="B1376" i="1"/>
  <c r="K1376" i="1" s="1"/>
  <c r="B1377" i="1"/>
  <c r="B1378" i="1"/>
  <c r="B1379" i="1"/>
  <c r="B1380" i="1"/>
  <c r="B1381" i="1"/>
  <c r="B1382" i="1"/>
  <c r="B1383" i="1"/>
  <c r="B1384" i="1"/>
  <c r="B1385" i="1"/>
  <c r="B1386" i="1"/>
  <c r="L1386" i="1" s="1"/>
  <c r="B1387" i="1"/>
  <c r="B1388" i="1"/>
  <c r="K1388" i="1" s="1"/>
  <c r="B1389" i="1"/>
  <c r="L1389" i="1" s="1"/>
  <c r="B1390" i="1"/>
  <c r="B1391" i="1"/>
  <c r="B1392" i="1"/>
  <c r="B1393" i="1"/>
  <c r="B1394" i="1"/>
  <c r="K1394" i="1" s="1"/>
  <c r="B1395" i="1"/>
  <c r="B1396" i="1"/>
  <c r="B1397" i="1"/>
  <c r="B1398" i="1"/>
  <c r="B1399" i="1"/>
  <c r="B1400" i="1"/>
  <c r="B1401" i="1"/>
  <c r="B1402" i="1"/>
  <c r="B1403" i="1"/>
  <c r="B1404" i="1"/>
  <c r="B1405" i="1"/>
  <c r="K1405" i="1" s="1"/>
  <c r="B1406" i="1"/>
  <c r="L1406" i="1" s="1"/>
  <c r="B1407" i="1"/>
  <c r="B1408" i="1"/>
  <c r="B1409" i="1"/>
  <c r="B1410" i="1"/>
  <c r="B1411" i="1"/>
  <c r="B1412" i="1"/>
  <c r="B1413" i="1"/>
  <c r="B1414" i="1"/>
  <c r="B1415" i="1"/>
  <c r="B1416" i="1"/>
  <c r="B1417" i="1"/>
  <c r="K1417" i="1" s="1"/>
  <c r="B1418" i="1"/>
  <c r="B1419" i="1"/>
  <c r="B1420" i="1"/>
  <c r="B1421" i="1"/>
  <c r="B1422" i="1"/>
  <c r="B1423" i="1"/>
  <c r="B1424" i="1"/>
  <c r="B1425" i="1"/>
  <c r="B1426" i="1"/>
  <c r="B1427" i="1"/>
  <c r="B1428" i="1"/>
  <c r="B1429" i="1"/>
  <c r="B1430" i="1"/>
  <c r="B1431" i="1"/>
  <c r="B1432" i="1"/>
  <c r="B1433" i="1"/>
  <c r="B1434" i="1"/>
  <c r="B1435" i="1"/>
  <c r="B1436" i="1"/>
  <c r="B1437" i="1"/>
  <c r="B1438" i="1"/>
  <c r="K1438" i="1" s="1"/>
  <c r="B1439" i="1"/>
  <c r="K1439" i="1" s="1"/>
  <c r="B1440" i="1"/>
  <c r="B1441" i="1"/>
  <c r="B1442" i="1"/>
  <c r="B1443" i="1"/>
  <c r="B1444" i="1"/>
  <c r="B1445" i="1"/>
  <c r="B1446" i="1"/>
  <c r="B1447" i="1"/>
  <c r="B1448" i="1"/>
  <c r="B1449" i="1"/>
  <c r="B1450" i="1"/>
  <c r="B1451" i="1"/>
  <c r="B1452" i="1"/>
  <c r="B1453" i="1"/>
  <c r="B1454" i="1"/>
  <c r="B1455" i="1"/>
  <c r="B1456" i="1"/>
  <c r="B1457" i="1"/>
  <c r="B1458" i="1"/>
  <c r="L1458" i="1" s="1"/>
  <c r="B1459" i="1"/>
  <c r="B1460" i="1"/>
  <c r="B1461" i="1"/>
  <c r="B1462" i="1"/>
  <c r="B1463" i="1"/>
  <c r="B1464" i="1"/>
  <c r="B1465" i="1"/>
  <c r="K1465" i="1" s="1"/>
  <c r="B1466" i="1"/>
  <c r="L1466" i="1" s="1"/>
  <c r="B1467" i="1"/>
  <c r="B1468" i="1"/>
  <c r="B1469" i="1"/>
  <c r="B1470" i="1"/>
  <c r="K1470" i="1" s="1"/>
  <c r="B1471" i="1"/>
  <c r="B1472" i="1"/>
  <c r="B1473" i="1"/>
  <c r="B1474" i="1"/>
  <c r="B1475" i="1"/>
  <c r="K1475" i="1" s="1"/>
  <c r="B1476" i="1"/>
  <c r="K1476" i="1" s="1"/>
  <c r="B1477" i="1"/>
  <c r="B1478" i="1"/>
  <c r="B1479" i="1"/>
  <c r="B1480" i="1"/>
  <c r="B1481" i="1"/>
  <c r="B1482" i="1"/>
  <c r="B1483" i="1"/>
  <c r="B1484" i="1"/>
  <c r="B1485" i="1"/>
  <c r="B1486" i="1"/>
  <c r="B1487" i="1"/>
  <c r="B1488" i="1"/>
  <c r="B1489" i="1"/>
  <c r="L1489" i="1" s="1"/>
  <c r="B1490" i="1"/>
  <c r="B1491" i="1"/>
  <c r="B1492" i="1"/>
  <c r="B1493" i="1"/>
  <c r="B1494" i="1"/>
  <c r="B1495" i="1"/>
  <c r="B1496" i="1"/>
  <c r="K1496" i="1" s="1"/>
  <c r="B1497" i="1"/>
  <c r="B1498" i="1"/>
  <c r="B1499" i="1"/>
  <c r="B1500" i="1"/>
  <c r="B1501" i="1"/>
  <c r="K1501" i="1" s="1"/>
  <c r="B1502" i="1"/>
  <c r="B1503" i="1"/>
  <c r="B1504" i="1"/>
  <c r="B1505" i="1"/>
  <c r="B1506" i="1"/>
  <c r="B1507" i="1"/>
  <c r="B1508" i="1"/>
  <c r="B1509" i="1"/>
  <c r="B1510" i="1"/>
  <c r="B1511" i="1"/>
  <c r="K1511" i="1" s="1"/>
  <c r="B1512" i="1"/>
  <c r="B1513" i="1"/>
  <c r="B1514" i="1"/>
  <c r="L1514" i="1" s="1"/>
  <c r="B1515" i="1"/>
  <c r="B1516" i="1"/>
  <c r="B1517" i="1"/>
  <c r="B1518" i="1"/>
  <c r="B1519" i="1"/>
  <c r="B1520" i="1"/>
  <c r="B1521" i="1"/>
  <c r="B1522" i="1"/>
  <c r="B1523" i="1"/>
  <c r="B1524" i="1"/>
  <c r="B1525" i="1"/>
  <c r="B1526" i="1"/>
  <c r="B1527" i="1"/>
  <c r="B1528" i="1"/>
  <c r="B1529" i="1"/>
  <c r="B1530" i="1"/>
  <c r="B1531" i="1"/>
  <c r="B1532" i="1"/>
  <c r="K1532" i="1" s="1"/>
  <c r="B1533" i="1"/>
  <c r="B1534" i="1"/>
  <c r="B1535" i="1"/>
  <c r="B1536" i="1"/>
  <c r="B1537" i="1"/>
  <c r="K1537" i="1" s="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L1564" i="1" s="1"/>
  <c r="B1565" i="1"/>
  <c r="B1566" i="1"/>
  <c r="B1567" i="1"/>
  <c r="B1568" i="1"/>
  <c r="K1568" i="1" s="1"/>
  <c r="B1569" i="1"/>
  <c r="B1570" i="1"/>
  <c r="B1571" i="1"/>
  <c r="B1572" i="1"/>
  <c r="B1573" i="1"/>
  <c r="K1573" i="1" s="1"/>
  <c r="B1574" i="1"/>
  <c r="B1575" i="1"/>
  <c r="B1576" i="1"/>
  <c r="B1577" i="1"/>
  <c r="B1578" i="1"/>
  <c r="K1578" i="1" s="1"/>
  <c r="B1579" i="1"/>
  <c r="B1580" i="1"/>
  <c r="B1581" i="1"/>
  <c r="B1582" i="1"/>
  <c r="B1583" i="1"/>
  <c r="K1583" i="1" s="1"/>
  <c r="B1584" i="1"/>
  <c r="B1585" i="1"/>
  <c r="K1585" i="1" s="1"/>
  <c r="B1586" i="1"/>
  <c r="B1587" i="1"/>
  <c r="B1588" i="1"/>
  <c r="B1589" i="1"/>
  <c r="B1590" i="1"/>
  <c r="B1591" i="1"/>
  <c r="B1592" i="1"/>
  <c r="B1593" i="1"/>
  <c r="B1594" i="1"/>
  <c r="B1595" i="1"/>
  <c r="B1596" i="1"/>
  <c r="B1597" i="1"/>
  <c r="L1597" i="1" s="1"/>
  <c r="B1598" i="1"/>
  <c r="B1599" i="1"/>
  <c r="B1600" i="1"/>
  <c r="B1601" i="1"/>
  <c r="B1602" i="1"/>
  <c r="B1603" i="1"/>
  <c r="B1604" i="1"/>
  <c r="K1604" i="1" s="1"/>
  <c r="B1605" i="1"/>
  <c r="B1606" i="1"/>
  <c r="B1607" i="1"/>
  <c r="B1608" i="1"/>
  <c r="B1609" i="1"/>
  <c r="K1609" i="1" s="1"/>
  <c r="B1610" i="1"/>
  <c r="B1611" i="1"/>
  <c r="B1612" i="1"/>
  <c r="B1613" i="1"/>
  <c r="B1614" i="1"/>
  <c r="K1614" i="1" s="1"/>
  <c r="B1615" i="1"/>
  <c r="B1616" i="1"/>
  <c r="B1617" i="1"/>
  <c r="B1618" i="1"/>
  <c r="B1619" i="1"/>
  <c r="K1619" i="1" s="1"/>
  <c r="B1620" i="1"/>
  <c r="K1620" i="1" s="1"/>
  <c r="B1621" i="1"/>
  <c r="K1621" i="1" s="1"/>
  <c r="B1622" i="1"/>
  <c r="B1623" i="1"/>
  <c r="B1624" i="1"/>
  <c r="B1625" i="1"/>
  <c r="B1626" i="1"/>
  <c r="B1627" i="1"/>
  <c r="B1628" i="1"/>
  <c r="B1629" i="1"/>
  <c r="B1630" i="1"/>
  <c r="B1631" i="1"/>
  <c r="B1632" i="1"/>
  <c r="B1633" i="1"/>
  <c r="B1634" i="1"/>
  <c r="B1635" i="1"/>
  <c r="B1636" i="1"/>
  <c r="B1637" i="1"/>
  <c r="B1638" i="1"/>
  <c r="B1639" i="1"/>
  <c r="B1640" i="1"/>
  <c r="K1640" i="1" s="1"/>
  <c r="B1641" i="1"/>
  <c r="B1642" i="1"/>
  <c r="B1643" i="1"/>
  <c r="B1644" i="1"/>
  <c r="B1645" i="1"/>
  <c r="K1645" i="1" s="1"/>
  <c r="B1646" i="1"/>
  <c r="B1647" i="1"/>
  <c r="B1648" i="1"/>
  <c r="B1649" i="1"/>
  <c r="B1650" i="1"/>
  <c r="K1650" i="1" s="1"/>
  <c r="B1651" i="1"/>
  <c r="B1652" i="1"/>
  <c r="B1653" i="1"/>
  <c r="B1654" i="1"/>
  <c r="B1655" i="1"/>
  <c r="K1655" i="1" s="1"/>
  <c r="B1656" i="1"/>
  <c r="B1657" i="1"/>
  <c r="K1657" i="1" s="1"/>
  <c r="B1658" i="1"/>
  <c r="B1659" i="1"/>
  <c r="B1660" i="1"/>
  <c r="B1661" i="1"/>
  <c r="B1662" i="1"/>
  <c r="B1663" i="1"/>
  <c r="B1664" i="1"/>
  <c r="B1665" i="1"/>
  <c r="B1666" i="1"/>
  <c r="B1667" i="1"/>
  <c r="B1668" i="1"/>
  <c r="B1669" i="1"/>
  <c r="B1670" i="1"/>
  <c r="B1671" i="1"/>
  <c r="B1672" i="1"/>
  <c r="B1673" i="1"/>
  <c r="B1674" i="1"/>
  <c r="B1675" i="1"/>
  <c r="B1676" i="1"/>
  <c r="K1676" i="1" s="1"/>
  <c r="B1677" i="1"/>
  <c r="B1678" i="1"/>
  <c r="B1679" i="1"/>
  <c r="B1680" i="1"/>
  <c r="B1681" i="1"/>
  <c r="B1682" i="1"/>
  <c r="B1683" i="1"/>
  <c r="B1684" i="1"/>
  <c r="B1685" i="1"/>
  <c r="B1686" i="1"/>
  <c r="K1686" i="1" s="1"/>
  <c r="B1687" i="1"/>
  <c r="B1688" i="1"/>
  <c r="B1689" i="1"/>
  <c r="B1690" i="1"/>
  <c r="B1691" i="1"/>
  <c r="K1691" i="1" s="1"/>
  <c r="B1692" i="1"/>
  <c r="B1693" i="1"/>
  <c r="K1693" i="1" s="1"/>
  <c r="B1694" i="1"/>
  <c r="B1695" i="1"/>
  <c r="B1696" i="1"/>
  <c r="B1697" i="1"/>
  <c r="B1698" i="1"/>
  <c r="B1699" i="1"/>
  <c r="B1700" i="1"/>
  <c r="B1701" i="1"/>
  <c r="B1702" i="1"/>
  <c r="B1703" i="1"/>
  <c r="B1704" i="1"/>
  <c r="B1705" i="1"/>
  <c r="B1706" i="1"/>
  <c r="B1707" i="1"/>
  <c r="B1708" i="1"/>
  <c r="B1709" i="1"/>
  <c r="B1710" i="1"/>
  <c r="B1711" i="1"/>
  <c r="K1711" i="1" s="1"/>
  <c r="B1712" i="1"/>
  <c r="B1713" i="1"/>
  <c r="B1714" i="1"/>
  <c r="B1715" i="1"/>
  <c r="B1716" i="1"/>
  <c r="K1716" i="1" s="1"/>
  <c r="B1717" i="1"/>
  <c r="B1718" i="1"/>
  <c r="B1719" i="1"/>
  <c r="B1720" i="1"/>
  <c r="B1721" i="1"/>
  <c r="B1722" i="1"/>
  <c r="B1723" i="1"/>
  <c r="B1724" i="1"/>
  <c r="K1724" i="1" s="1"/>
  <c r="B1725" i="1"/>
  <c r="B1726" i="1"/>
  <c r="K1726" i="1" s="1"/>
  <c r="B1727" i="1"/>
  <c r="K1727" i="1" s="1"/>
  <c r="B1728" i="1"/>
  <c r="B1729" i="1"/>
  <c r="B1730" i="1"/>
  <c r="B1731" i="1"/>
  <c r="B1732" i="1"/>
  <c r="B1733" i="1"/>
  <c r="B1734" i="1"/>
  <c r="B1735" i="1"/>
  <c r="L1735" i="1" s="1"/>
  <c r="B1736" i="1"/>
  <c r="B1737" i="1"/>
  <c r="B1738" i="1"/>
  <c r="B1739" i="1"/>
  <c r="B1740" i="1"/>
  <c r="K1740" i="1" s="1"/>
  <c r="B1741" i="1"/>
  <c r="B1742" i="1"/>
  <c r="K1742" i="1" s="1"/>
  <c r="B1743" i="1"/>
  <c r="B1744" i="1"/>
  <c r="B1745" i="1"/>
  <c r="B1746" i="1"/>
  <c r="B1747" i="1"/>
  <c r="B1748" i="1"/>
  <c r="B1749" i="1"/>
  <c r="K1749" i="1" s="1"/>
  <c r="B1750" i="1"/>
  <c r="B1751" i="1"/>
  <c r="B1752" i="1"/>
  <c r="B1753" i="1"/>
  <c r="B1754" i="1"/>
  <c r="K1754" i="1" s="1"/>
  <c r="B1755" i="1"/>
  <c r="B1756" i="1"/>
  <c r="B1757" i="1"/>
  <c r="B1758" i="1"/>
  <c r="B1759" i="1"/>
  <c r="B1760" i="1"/>
  <c r="B1761" i="1"/>
  <c r="B1762" i="1"/>
  <c r="B1763" i="1"/>
  <c r="B1764" i="1"/>
  <c r="B1765" i="1"/>
  <c r="B1766" i="1"/>
  <c r="B1767" i="1"/>
  <c r="B1768" i="1"/>
  <c r="B1769" i="1"/>
  <c r="B1770" i="1"/>
  <c r="B1771" i="1"/>
  <c r="B1772" i="1"/>
  <c r="B1773" i="1"/>
  <c r="K1773" i="1" s="1"/>
  <c r="B1774" i="1"/>
  <c r="B1775" i="1"/>
  <c r="B1776" i="1"/>
  <c r="B1777" i="1"/>
  <c r="B1778" i="1"/>
  <c r="K1778" i="1" s="1"/>
  <c r="B1779" i="1"/>
  <c r="B1780" i="1"/>
  <c r="B1781" i="1"/>
  <c r="B1782" i="1"/>
  <c r="B1783" i="1"/>
  <c r="B1784" i="1"/>
  <c r="B1785" i="1"/>
  <c r="B1786" i="1"/>
  <c r="B1787" i="1"/>
  <c r="B1788" i="1"/>
  <c r="B1789" i="1"/>
  <c r="K1789" i="1" s="1"/>
  <c r="B1790" i="1"/>
  <c r="B1791" i="1"/>
  <c r="B1792" i="1"/>
  <c r="B1793" i="1"/>
  <c r="B1794" i="1"/>
  <c r="B1795" i="1"/>
  <c r="B1796" i="1"/>
  <c r="K1796" i="1" s="1"/>
  <c r="B1797" i="1"/>
  <c r="K1797" i="1" s="1"/>
  <c r="B1798" i="1"/>
  <c r="B1799" i="1"/>
  <c r="B1800" i="1"/>
  <c r="B1801" i="1"/>
  <c r="B1802" i="1"/>
  <c r="B1803" i="1"/>
  <c r="B1804" i="1"/>
  <c r="B1805" i="1"/>
  <c r="B1806" i="1"/>
  <c r="B1807" i="1"/>
  <c r="B1808" i="1"/>
  <c r="L1808" i="1" s="1"/>
  <c r="B1809" i="1"/>
  <c r="K1809" i="1" s="1"/>
  <c r="B1810" i="1"/>
  <c r="L1810" i="1" s="1"/>
  <c r="B1811" i="1"/>
  <c r="B1812" i="1"/>
  <c r="B1813" i="1"/>
  <c r="B1814" i="1"/>
  <c r="K1814" i="1" s="1"/>
  <c r="B1815" i="1"/>
  <c r="B1816" i="1"/>
  <c r="B1817" i="1"/>
  <c r="B1818" i="1"/>
  <c r="B1819" i="1"/>
  <c r="B1820" i="1"/>
  <c r="K1820" i="1" s="1"/>
  <c r="B1821" i="1"/>
  <c r="B1822" i="1"/>
  <c r="B1823" i="1"/>
  <c r="L1823" i="1" s="1"/>
  <c r="B1824" i="1"/>
  <c r="K1824" i="1" s="1"/>
  <c r="B1825" i="1"/>
  <c r="B1826" i="1"/>
  <c r="B1827" i="1"/>
  <c r="K1827" i="1" s="1"/>
  <c r="B1828" i="1"/>
  <c r="B1829" i="1"/>
  <c r="B1830" i="1"/>
  <c r="B1831" i="1"/>
  <c r="B1832" i="1"/>
  <c r="B1833" i="1"/>
  <c r="K1833" i="1" s="1"/>
  <c r="B1834" i="1"/>
  <c r="K1834" i="1" s="1"/>
  <c r="B1835" i="1"/>
  <c r="B1836" i="1"/>
  <c r="B1837" i="1"/>
  <c r="K1837" i="1" s="1"/>
  <c r="B1838" i="1"/>
  <c r="B1839" i="1"/>
  <c r="B1840" i="1"/>
  <c r="B1841" i="1"/>
  <c r="B1842" i="1"/>
  <c r="B1843" i="1"/>
  <c r="B1844" i="1"/>
  <c r="B1845" i="1"/>
  <c r="B1846" i="1"/>
  <c r="K1846" i="1" s="1"/>
  <c r="B1847" i="1"/>
  <c r="B1848" i="1"/>
  <c r="K1848" i="1" s="1"/>
  <c r="B1849" i="1"/>
  <c r="B1850" i="1"/>
  <c r="B1851" i="1"/>
  <c r="B1852" i="1"/>
  <c r="B1853" i="1"/>
  <c r="B1854" i="1"/>
  <c r="B1855" i="1"/>
  <c r="B1856" i="1"/>
  <c r="K1856" i="1" s="1"/>
  <c r="B1857" i="1"/>
  <c r="B1858" i="1"/>
  <c r="B1859" i="1"/>
  <c r="B1860" i="1"/>
  <c r="K1860" i="1" s="1"/>
  <c r="B1861" i="1"/>
  <c r="B1862" i="1"/>
  <c r="B1863" i="1"/>
  <c r="B1864" i="1"/>
  <c r="B1865" i="1"/>
  <c r="B1866" i="1"/>
  <c r="B1867" i="1"/>
  <c r="B1868" i="1"/>
  <c r="B1869" i="1"/>
  <c r="B1870" i="1"/>
  <c r="B1871" i="1"/>
  <c r="B1872" i="1"/>
  <c r="B1873" i="1"/>
  <c r="K1873" i="1" s="1"/>
  <c r="B1874" i="1"/>
  <c r="B1875" i="1"/>
  <c r="B1876" i="1"/>
  <c r="B1877" i="1"/>
  <c r="B1878" i="1"/>
  <c r="B1879" i="1"/>
  <c r="B1880" i="1"/>
  <c r="B1881" i="1"/>
  <c r="B1882" i="1"/>
  <c r="K1882" i="1" s="1"/>
  <c r="B1883" i="1"/>
  <c r="B1884" i="1"/>
  <c r="K1884" i="1" s="1"/>
  <c r="B1885" i="1"/>
  <c r="B1886" i="1"/>
  <c r="K1886" i="1" s="1"/>
  <c r="B1887" i="1"/>
  <c r="B1888" i="1"/>
  <c r="B1889" i="1"/>
  <c r="B1890" i="1"/>
  <c r="B1891" i="1"/>
  <c r="B1892" i="1"/>
  <c r="K1892" i="1" s="1"/>
  <c r="B1893" i="1"/>
  <c r="B1894" i="1"/>
  <c r="B1895" i="1"/>
  <c r="B1896" i="1"/>
  <c r="K1896" i="1" s="1"/>
  <c r="B1897" i="1"/>
  <c r="B1898" i="1"/>
  <c r="B1899" i="1"/>
  <c r="B1900" i="1"/>
  <c r="B1901" i="1"/>
  <c r="B1902" i="1"/>
  <c r="L1902" i="1" s="1"/>
  <c r="B1903" i="1"/>
  <c r="L1903" i="1" s="1"/>
  <c r="B1904" i="1"/>
  <c r="B1905" i="1"/>
  <c r="K1905" i="1" s="1"/>
  <c r="B1906" i="1"/>
  <c r="B1907" i="1"/>
  <c r="B1908" i="1"/>
  <c r="B1909" i="1"/>
  <c r="B1910" i="1"/>
  <c r="B1911" i="1"/>
  <c r="B1912" i="1"/>
  <c r="B1913" i="1"/>
  <c r="B1914" i="1"/>
  <c r="B1915" i="1"/>
  <c r="B1916" i="1"/>
  <c r="B1917" i="1"/>
  <c r="B1918" i="1"/>
  <c r="K1918" i="1" s="1"/>
  <c r="B1919" i="1"/>
  <c r="B1920" i="1"/>
  <c r="B1921" i="1"/>
  <c r="B1922" i="1"/>
  <c r="K1922" i="1" s="1"/>
  <c r="B1923" i="1"/>
  <c r="B1924" i="1"/>
  <c r="B1925" i="1"/>
  <c r="B1926" i="1"/>
  <c r="B1927" i="1"/>
  <c r="B1928" i="1"/>
  <c r="K1928" i="1" s="1"/>
  <c r="B1929" i="1"/>
  <c r="B1930" i="1"/>
  <c r="B1931" i="1"/>
  <c r="B1932" i="1"/>
  <c r="B1933" i="1"/>
  <c r="B1934" i="1"/>
  <c r="B1935" i="1"/>
  <c r="B1936" i="1"/>
  <c r="B1937" i="1"/>
  <c r="L1937" i="1" s="1"/>
  <c r="B1938" i="1"/>
  <c r="B1939" i="1"/>
  <c r="B1940" i="1"/>
  <c r="B1941" i="1"/>
  <c r="K1941" i="1" s="1"/>
  <c r="B1942" i="1"/>
  <c r="K1942" i="1" s="1"/>
  <c r="B1943" i="1"/>
  <c r="B1944" i="1"/>
  <c r="B1945" i="1"/>
  <c r="B1946" i="1"/>
  <c r="B1947" i="1"/>
  <c r="B1948" i="1"/>
  <c r="B1949" i="1"/>
  <c r="B1950" i="1"/>
  <c r="B1951" i="1"/>
  <c r="B1952" i="1"/>
  <c r="B1953" i="1"/>
  <c r="B1954" i="1"/>
  <c r="B1955" i="1"/>
  <c r="B1956" i="1"/>
  <c r="B1957" i="1"/>
  <c r="B1958" i="1"/>
  <c r="B1959" i="1"/>
  <c r="B1960" i="1"/>
  <c r="B1961" i="1"/>
  <c r="B1962" i="1"/>
  <c r="B1963" i="1"/>
  <c r="B1964" i="1"/>
  <c r="K1964" i="1" s="1"/>
  <c r="B1965" i="1"/>
  <c r="B1966" i="1"/>
  <c r="B1967" i="1"/>
  <c r="B1968" i="1"/>
  <c r="B1969" i="1"/>
  <c r="B1970" i="1"/>
  <c r="B1971" i="1"/>
  <c r="B1972" i="1"/>
  <c r="B1973" i="1"/>
  <c r="B1974" i="1"/>
  <c r="B1975" i="1"/>
  <c r="B1976" i="1"/>
  <c r="B1977" i="1"/>
  <c r="K1977" i="1" s="1"/>
  <c r="B1978" i="1"/>
  <c r="B1979" i="1"/>
  <c r="B1980" i="1"/>
  <c r="K1980" i="1" s="1"/>
  <c r="B1981" i="1"/>
  <c r="K1981" i="1" s="1"/>
  <c r="B1982" i="1"/>
  <c r="B1983" i="1"/>
  <c r="B1984" i="1"/>
  <c r="B1985" i="1"/>
  <c r="B1986" i="1"/>
  <c r="L1986" i="1" s="1"/>
  <c r="B1987" i="1"/>
  <c r="L1987" i="1" s="1"/>
  <c r="B1988" i="1"/>
  <c r="B1989" i="1"/>
  <c r="B1990" i="1"/>
  <c r="K1990" i="1" s="1"/>
  <c r="B1991" i="1"/>
  <c r="B1992" i="1"/>
  <c r="B1993" i="1"/>
  <c r="B1994" i="1"/>
  <c r="B1995" i="1"/>
  <c r="K1995" i="1" s="1"/>
  <c r="B1996" i="1"/>
  <c r="K1996" i="1" s="1"/>
  <c r="B1997" i="1"/>
  <c r="B1998" i="1"/>
  <c r="B1999" i="1"/>
  <c r="B2000" i="1"/>
  <c r="K2000" i="1" s="1"/>
  <c r="A1996" i="1"/>
  <c r="A1997" i="1"/>
  <c r="A1998" i="1"/>
  <c r="A1999" i="1"/>
  <c r="A2000"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G3" i="1"/>
  <c r="G4" i="1"/>
  <c r="G5" i="1"/>
  <c r="G6" i="1"/>
  <c r="G7" i="1"/>
  <c r="G8" i="1"/>
  <c r="G9" i="1"/>
  <c r="G10" i="1"/>
  <c r="G11" i="1"/>
  <c r="G12" i="1"/>
  <c r="G13" i="1"/>
  <c r="G14" i="1"/>
  <c r="G15" i="1"/>
  <c r="G16" i="1"/>
  <c r="G17" i="1"/>
  <c r="G18" i="1"/>
  <c r="G19" i="1"/>
  <c r="G2" i="1"/>
  <c r="A3" i="1"/>
  <c r="A4" i="1"/>
  <c r="A5" i="1"/>
  <c r="A6" i="1"/>
  <c r="A7" i="1"/>
  <c r="A8" i="1"/>
  <c r="A9" i="1"/>
  <c r="A10" i="1"/>
  <c r="A11" i="1"/>
  <c r="A12" i="1"/>
  <c r="A13" i="1"/>
  <c r="A14" i="1"/>
  <c r="A15" i="1"/>
  <c r="A16" i="1"/>
  <c r="A17" i="1"/>
  <c r="A18" i="1"/>
  <c r="A19" i="1"/>
  <c r="B3" i="1"/>
  <c r="B4" i="1"/>
  <c r="B5" i="1"/>
  <c r="B6" i="1"/>
  <c r="B7" i="1"/>
  <c r="B8" i="1"/>
  <c r="B9" i="1"/>
  <c r="B10" i="1"/>
  <c r="B11" i="1"/>
  <c r="B12" i="1"/>
  <c r="B13" i="1"/>
  <c r="B14" i="1"/>
  <c r="B15" i="1"/>
  <c r="B16" i="1"/>
  <c r="B17" i="1"/>
  <c r="B18" i="1"/>
  <c r="B19" i="1"/>
  <c r="B2" i="1"/>
  <c r="A2" i="1"/>
  <c r="L199" i="1" l="1"/>
  <c r="L1585" i="1"/>
  <c r="L1345" i="1"/>
  <c r="H1941" i="1"/>
  <c r="I1941" i="1" s="1"/>
  <c r="J1941" i="1" s="1"/>
  <c r="H1797" i="1"/>
  <c r="I1797" i="1" s="1"/>
  <c r="J1797" i="1" s="1"/>
  <c r="H1641" i="1"/>
  <c r="I1641" i="1" s="1"/>
  <c r="J1641" i="1" s="1"/>
  <c r="H1413" i="1"/>
  <c r="I1413" i="1" s="1"/>
  <c r="J1413" i="1" s="1"/>
  <c r="H1365" i="1"/>
  <c r="I1365" i="1" s="1"/>
  <c r="J1365" i="1" s="1"/>
  <c r="H1317" i="1"/>
  <c r="I1317" i="1" s="1"/>
  <c r="J1317" i="1" s="1"/>
  <c r="H1269" i="1"/>
  <c r="I1269" i="1" s="1"/>
  <c r="J1269" i="1" s="1"/>
  <c r="H1197" i="1"/>
  <c r="I1197" i="1" s="1"/>
  <c r="J1197" i="1" s="1"/>
  <c r="H1065" i="1"/>
  <c r="I1065" i="1" s="1"/>
  <c r="J1065" i="1" s="1"/>
  <c r="H981" i="1"/>
  <c r="I981" i="1" s="1"/>
  <c r="J981" i="1" s="1"/>
  <c r="H945" i="1"/>
  <c r="I945" i="1" s="1"/>
  <c r="J945" i="1" s="1"/>
  <c r="H537" i="1"/>
  <c r="I537" i="1" s="1"/>
  <c r="J537" i="1" s="1"/>
  <c r="H225" i="1"/>
  <c r="I225" i="1" s="1"/>
  <c r="J225" i="1" s="1"/>
  <c r="H177" i="1"/>
  <c r="I177" i="1" s="1"/>
  <c r="J177" i="1" s="1"/>
  <c r="H117" i="1"/>
  <c r="I117" i="1" s="1"/>
  <c r="J117" i="1" s="1"/>
  <c r="H57" i="1"/>
  <c r="I57" i="1" s="1"/>
  <c r="J57" i="1" s="1"/>
  <c r="H2000" i="1"/>
  <c r="I2000" i="1" s="1"/>
  <c r="J2000" i="1" s="1"/>
  <c r="H1784" i="1"/>
  <c r="I1784" i="1" s="1"/>
  <c r="J1784" i="1" s="1"/>
  <c r="H1640" i="1"/>
  <c r="I1640" i="1" s="1"/>
  <c r="J1640" i="1" s="1"/>
  <c r="H1412" i="1"/>
  <c r="I1412" i="1" s="1"/>
  <c r="J1412" i="1" s="1"/>
  <c r="H1364" i="1"/>
  <c r="I1364" i="1" s="1"/>
  <c r="J1364" i="1" s="1"/>
  <c r="H1340" i="1"/>
  <c r="I1340" i="1" s="1"/>
  <c r="J1340" i="1" s="1"/>
  <c r="H1304" i="1"/>
  <c r="I1304" i="1" s="1"/>
  <c r="J1304" i="1" s="1"/>
  <c r="H1268" i="1"/>
  <c r="I1268" i="1" s="1"/>
  <c r="J1268" i="1" s="1"/>
  <c r="H1124" i="1"/>
  <c r="I1124" i="1" s="1"/>
  <c r="J1124" i="1" s="1"/>
  <c r="H1064" i="1"/>
  <c r="I1064" i="1" s="1"/>
  <c r="J1064" i="1" s="1"/>
  <c r="H824" i="1"/>
  <c r="I824" i="1" s="1"/>
  <c r="J824" i="1" s="1"/>
  <c r="H788" i="1"/>
  <c r="I788" i="1" s="1"/>
  <c r="J788" i="1" s="1"/>
  <c r="H560" i="1"/>
  <c r="I560" i="1" s="1"/>
  <c r="J560" i="1" s="1"/>
  <c r="H332" i="1"/>
  <c r="I332" i="1" s="1"/>
  <c r="J332" i="1" s="1"/>
  <c r="H284" i="1"/>
  <c r="I284" i="1" s="1"/>
  <c r="J284" i="1" s="1"/>
  <c r="H116" i="1"/>
  <c r="I116" i="1" s="1"/>
  <c r="J116" i="1" s="1"/>
  <c r="H80" i="1"/>
  <c r="I80" i="1" s="1"/>
  <c r="J80" i="1" s="1"/>
  <c r="H1568" i="1"/>
  <c r="I1568" i="1" s="1"/>
  <c r="J1568" i="1" s="1"/>
  <c r="H1927" i="1"/>
  <c r="I1927" i="1" s="1"/>
  <c r="J1927" i="1" s="1"/>
  <c r="H1435" i="1"/>
  <c r="I1435" i="1" s="1"/>
  <c r="J1435" i="1" s="1"/>
  <c r="H1063" i="1"/>
  <c r="I1063" i="1" s="1"/>
  <c r="J1063" i="1" s="1"/>
  <c r="H859" i="1"/>
  <c r="I859" i="1" s="1"/>
  <c r="J859" i="1" s="1"/>
  <c r="H823" i="1"/>
  <c r="I823" i="1" s="1"/>
  <c r="J823" i="1" s="1"/>
  <c r="H775" i="1"/>
  <c r="I775" i="1" s="1"/>
  <c r="J775" i="1" s="1"/>
  <c r="H187" i="1"/>
  <c r="I187" i="1" s="1"/>
  <c r="J187" i="1" s="1"/>
  <c r="H79" i="1"/>
  <c r="I79" i="1" s="1"/>
  <c r="J79" i="1" s="1"/>
  <c r="H31" i="1"/>
  <c r="I31" i="1" s="1"/>
  <c r="J31" i="1" s="1"/>
  <c r="H1566" i="1"/>
  <c r="I1566" i="1" s="1"/>
  <c r="J1566" i="1" s="1"/>
  <c r="H1350" i="1"/>
  <c r="I1350" i="1" s="1"/>
  <c r="J1350" i="1" s="1"/>
  <c r="H1182" i="1"/>
  <c r="I1182" i="1" s="1"/>
  <c r="J1182" i="1" s="1"/>
  <c r="H1110" i="1"/>
  <c r="I1110" i="1" s="1"/>
  <c r="J1110" i="1" s="1"/>
  <c r="H990" i="1"/>
  <c r="I990" i="1" s="1"/>
  <c r="J990" i="1" s="1"/>
  <c r="H582" i="1"/>
  <c r="I582" i="1" s="1"/>
  <c r="J582" i="1" s="1"/>
  <c r="H546" i="1"/>
  <c r="I546" i="1" s="1"/>
  <c r="J546" i="1" s="1"/>
  <c r="H402" i="1"/>
  <c r="I402" i="1" s="1"/>
  <c r="J402" i="1" s="1"/>
  <c r="H258" i="1"/>
  <c r="I258" i="1" s="1"/>
  <c r="J258" i="1" s="1"/>
  <c r="H1997" i="1"/>
  <c r="I1997" i="1" s="1"/>
  <c r="J1997" i="1" s="1"/>
  <c r="H1793" i="1"/>
  <c r="I1793" i="1" s="1"/>
  <c r="J1793" i="1" s="1"/>
  <c r="I1709" i="1"/>
  <c r="J1709" i="1" s="1"/>
  <c r="H1661" i="1"/>
  <c r="I1661" i="1" s="1"/>
  <c r="J1661" i="1" s="1"/>
  <c r="H1601" i="1"/>
  <c r="I1601" i="1" s="1"/>
  <c r="J1601" i="1" s="1"/>
  <c r="H1481" i="1"/>
  <c r="I1481" i="1" s="1"/>
  <c r="J1481" i="1" s="1"/>
  <c r="H1433" i="1"/>
  <c r="I1433" i="1" s="1"/>
  <c r="J1433" i="1" s="1"/>
  <c r="H1313" i="1"/>
  <c r="I1313" i="1" s="1"/>
  <c r="J1313" i="1" s="1"/>
  <c r="H1073" i="1"/>
  <c r="I1073" i="1" s="1"/>
  <c r="J1073" i="1" s="1"/>
  <c r="H689" i="1"/>
  <c r="I689" i="1" s="1"/>
  <c r="J689" i="1" s="1"/>
  <c r="H305" i="1"/>
  <c r="I305" i="1" s="1"/>
  <c r="J305" i="1" s="1"/>
  <c r="H113" i="1"/>
  <c r="I113" i="1" s="1"/>
  <c r="J113" i="1" s="1"/>
  <c r="H1029" i="1"/>
  <c r="I1029" i="1" s="1"/>
  <c r="J1029" i="1" s="1"/>
  <c r="H1989" i="1"/>
  <c r="I1989" i="1" s="1"/>
  <c r="J1989" i="1" s="1"/>
  <c r="H1917" i="1"/>
  <c r="I1917" i="1" s="1"/>
  <c r="J1917" i="1" s="1"/>
  <c r="H1857" i="1"/>
  <c r="I1857" i="1" s="1"/>
  <c r="J1857" i="1" s="1"/>
  <c r="H1725" i="1"/>
  <c r="I1725" i="1" s="1"/>
  <c r="J1725" i="1" s="1"/>
  <c r="H1449" i="1"/>
  <c r="I1449" i="1" s="1"/>
  <c r="J1449" i="1" s="1"/>
  <c r="H1389" i="1"/>
  <c r="I1389" i="1" s="1"/>
  <c r="J1389" i="1" s="1"/>
  <c r="H1353" i="1"/>
  <c r="I1353" i="1" s="1"/>
  <c r="J1353" i="1" s="1"/>
  <c r="H1293" i="1"/>
  <c r="I1293" i="1" s="1"/>
  <c r="J1293" i="1" s="1"/>
  <c r="H1053" i="1"/>
  <c r="I1053" i="1" s="1"/>
  <c r="J1053" i="1" s="1"/>
  <c r="H1005" i="1"/>
  <c r="I1005" i="1" s="1"/>
  <c r="J1005" i="1" s="1"/>
  <c r="H861" i="1"/>
  <c r="I861" i="1" s="1"/>
  <c r="J861" i="1" s="1"/>
  <c r="H549" i="1"/>
  <c r="I549" i="1" s="1"/>
  <c r="J549" i="1" s="1"/>
  <c r="H501" i="1"/>
  <c r="I501" i="1" s="1"/>
  <c r="J501" i="1" s="1"/>
  <c r="H429" i="1"/>
  <c r="I429" i="1" s="1"/>
  <c r="J429" i="1" s="1"/>
  <c r="H273" i="1"/>
  <c r="I273" i="1" s="1"/>
  <c r="J273" i="1" s="1"/>
  <c r="H1940" i="1"/>
  <c r="I1940" i="1" s="1"/>
  <c r="J1940" i="1" s="1"/>
  <c r="H1844" i="1"/>
  <c r="I1844" i="1" s="1"/>
  <c r="J1844" i="1" s="1"/>
  <c r="H1724" i="1"/>
  <c r="I1724" i="1" s="1"/>
  <c r="J1724" i="1" s="1"/>
  <c r="H1484" i="1"/>
  <c r="I1484" i="1" s="1"/>
  <c r="J1484" i="1" s="1"/>
  <c r="H1256" i="1"/>
  <c r="I1256" i="1" s="1"/>
  <c r="J1256" i="1" s="1"/>
  <c r="H1208" i="1"/>
  <c r="I1208" i="1" s="1"/>
  <c r="J1208" i="1" s="1"/>
  <c r="H1160" i="1"/>
  <c r="I1160" i="1" s="1"/>
  <c r="J1160" i="1" s="1"/>
  <c r="H1100" i="1"/>
  <c r="I1100" i="1" s="1"/>
  <c r="J1100" i="1" s="1"/>
  <c r="H1076" i="1"/>
  <c r="I1076" i="1" s="1"/>
  <c r="J1076" i="1" s="1"/>
  <c r="H944" i="1"/>
  <c r="I944" i="1" s="1"/>
  <c r="J944" i="1" s="1"/>
  <c r="H908" i="1"/>
  <c r="I908" i="1" s="1"/>
  <c r="J908" i="1" s="1"/>
  <c r="H884" i="1"/>
  <c r="I884" i="1" s="1"/>
  <c r="J884" i="1" s="1"/>
  <c r="H740" i="1"/>
  <c r="I740" i="1" s="1"/>
  <c r="J740" i="1" s="1"/>
  <c r="H596" i="1"/>
  <c r="I596" i="1" s="1"/>
  <c r="J596" i="1" s="1"/>
  <c r="H548" i="1"/>
  <c r="I548" i="1" s="1"/>
  <c r="J548" i="1" s="1"/>
  <c r="H344" i="1"/>
  <c r="I344" i="1" s="1"/>
  <c r="J344" i="1" s="1"/>
  <c r="H236" i="1"/>
  <c r="I236" i="1" s="1"/>
  <c r="J236" i="1" s="1"/>
  <c r="H188" i="1"/>
  <c r="I188" i="1" s="1"/>
  <c r="J188" i="1" s="1"/>
  <c r="H128" i="1"/>
  <c r="I128" i="1" s="1"/>
  <c r="J128" i="1" s="1"/>
  <c r="H1999" i="1"/>
  <c r="I1999" i="1" s="1"/>
  <c r="J1999" i="1" s="1"/>
  <c r="I1699" i="1"/>
  <c r="J1699" i="1" s="1"/>
  <c r="I1567" i="1"/>
  <c r="J1567" i="1" s="1"/>
  <c r="I1351" i="1"/>
  <c r="J1351" i="1" s="1"/>
  <c r="H1195" i="1"/>
  <c r="I1195" i="1" s="1"/>
  <c r="J1195" i="1" s="1"/>
  <c r="H907" i="1"/>
  <c r="I907" i="1" s="1"/>
  <c r="J907" i="1" s="1"/>
  <c r="H619" i="1"/>
  <c r="I619" i="1" s="1"/>
  <c r="J619" i="1" s="1"/>
  <c r="H463" i="1"/>
  <c r="I463" i="1" s="1"/>
  <c r="J463" i="1" s="1"/>
  <c r="H427" i="1"/>
  <c r="I427" i="1" s="1"/>
  <c r="J427" i="1" s="1"/>
  <c r="H175" i="1"/>
  <c r="I175" i="1" s="1"/>
  <c r="J175" i="1" s="1"/>
  <c r="H127" i="1"/>
  <c r="I127" i="1" s="1"/>
  <c r="J127" i="1" s="1"/>
  <c r="H103" i="1"/>
  <c r="I103" i="1" s="1"/>
  <c r="J103" i="1" s="1"/>
  <c r="H55" i="1"/>
  <c r="I55" i="1" s="1"/>
  <c r="J55" i="1" s="1"/>
  <c r="H7" i="1"/>
  <c r="I7" i="1" s="1"/>
  <c r="J7" i="1" s="1"/>
  <c r="H1842" i="1"/>
  <c r="I1842" i="1" s="1"/>
  <c r="J1842" i="1" s="1"/>
  <c r="I1794" i="1"/>
  <c r="J1794" i="1" s="1"/>
  <c r="H1470" i="1"/>
  <c r="I1470" i="1" s="1"/>
  <c r="J1470" i="1" s="1"/>
  <c r="H1326" i="1"/>
  <c r="I1326" i="1" s="1"/>
  <c r="J1326" i="1" s="1"/>
  <c r="H1194" i="1"/>
  <c r="I1194" i="1" s="1"/>
  <c r="J1194" i="1" s="1"/>
  <c r="H1158" i="1"/>
  <c r="I1158" i="1" s="1"/>
  <c r="J1158" i="1" s="1"/>
  <c r="H858" i="1"/>
  <c r="I858" i="1" s="1"/>
  <c r="J858" i="1" s="1"/>
  <c r="H822" i="1"/>
  <c r="I822" i="1" s="1"/>
  <c r="J822" i="1" s="1"/>
  <c r="H762" i="1"/>
  <c r="I762" i="1" s="1"/>
  <c r="J762" i="1" s="1"/>
  <c r="H450" i="1"/>
  <c r="I450" i="1" s="1"/>
  <c r="J450" i="1" s="1"/>
  <c r="H330" i="1"/>
  <c r="I330" i="1" s="1"/>
  <c r="J330" i="1" s="1"/>
  <c r="H282" i="1"/>
  <c r="I282" i="1" s="1"/>
  <c r="J282" i="1" s="1"/>
  <c r="H150" i="1"/>
  <c r="I150" i="1" s="1"/>
  <c r="J150" i="1" s="1"/>
  <c r="H114" i="1"/>
  <c r="I114" i="1" s="1"/>
  <c r="J114" i="1" s="1"/>
  <c r="H102" i="1"/>
  <c r="I102" i="1" s="1"/>
  <c r="J102" i="1" s="1"/>
  <c r="H54" i="1"/>
  <c r="I54" i="1" s="1"/>
  <c r="J54" i="1" s="1"/>
  <c r="H1841" i="1"/>
  <c r="I1841" i="1" s="1"/>
  <c r="J1841" i="1" s="1"/>
  <c r="H1757" i="1"/>
  <c r="I1757" i="1" s="1"/>
  <c r="J1757" i="1" s="1"/>
  <c r="H1385" i="1"/>
  <c r="I1385" i="1" s="1"/>
  <c r="J1385" i="1" s="1"/>
  <c r="H1049" i="1"/>
  <c r="I1049" i="1" s="1"/>
  <c r="J1049" i="1" s="1"/>
  <c r="H929" i="1"/>
  <c r="I929" i="1" s="1"/>
  <c r="J929" i="1" s="1"/>
  <c r="H905" i="1"/>
  <c r="I905" i="1" s="1"/>
  <c r="J905" i="1" s="1"/>
  <c r="H617" i="1"/>
  <c r="I617" i="1" s="1"/>
  <c r="J617" i="1" s="1"/>
  <c r="H125" i="1"/>
  <c r="I125" i="1" s="1"/>
  <c r="J125" i="1" s="1"/>
  <c r="H41" i="1"/>
  <c r="I41" i="1" s="1"/>
  <c r="J41" i="1" s="1"/>
  <c r="H1959" i="1"/>
  <c r="I1959" i="1" s="1"/>
  <c r="J1959" i="1" s="1"/>
  <c r="H1911" i="1"/>
  <c r="I1911" i="1" s="1"/>
  <c r="J1911" i="1" s="1"/>
  <c r="H1863" i="1"/>
  <c r="I1863" i="1" s="1"/>
  <c r="J1863" i="1" s="1"/>
  <c r="H1839" i="1"/>
  <c r="I1839" i="1" s="1"/>
  <c r="J1839" i="1" s="1"/>
  <c r="H1815" i="1"/>
  <c r="I1815" i="1" s="1"/>
  <c r="J1815" i="1" s="1"/>
  <c r="H1791" i="1"/>
  <c r="I1791" i="1" s="1"/>
  <c r="J1791" i="1" s="1"/>
  <c r="H1743" i="1"/>
  <c r="I1743" i="1" s="1"/>
  <c r="J1743" i="1" s="1"/>
  <c r="H1719" i="1"/>
  <c r="I1719" i="1" s="1"/>
  <c r="J1719" i="1" s="1"/>
  <c r="H1707" i="1"/>
  <c r="I1707" i="1" s="1"/>
  <c r="J1707" i="1" s="1"/>
  <c r="H1683" i="1"/>
  <c r="I1683" i="1" s="1"/>
  <c r="J1683" i="1" s="1"/>
  <c r="H1671" i="1"/>
  <c r="I1671" i="1" s="1"/>
  <c r="J1671" i="1" s="1"/>
  <c r="H1647" i="1"/>
  <c r="I1647" i="1" s="1"/>
  <c r="J1647" i="1" s="1"/>
  <c r="H1635" i="1"/>
  <c r="I1635" i="1" s="1"/>
  <c r="J1635" i="1" s="1"/>
  <c r="H1587" i="1"/>
  <c r="I1587" i="1" s="1"/>
  <c r="J1587" i="1" s="1"/>
  <c r="I1563" i="1"/>
  <c r="J1563" i="1" s="1"/>
  <c r="H1539" i="1"/>
  <c r="I1539" i="1" s="1"/>
  <c r="J1539" i="1" s="1"/>
  <c r="H1503" i="1"/>
  <c r="I1503" i="1" s="1"/>
  <c r="J1503" i="1" s="1"/>
  <c r="H1491" i="1"/>
  <c r="I1491" i="1" s="1"/>
  <c r="J1491" i="1" s="1"/>
  <c r="H1479" i="1"/>
  <c r="I1479" i="1" s="1"/>
  <c r="J1479" i="1" s="1"/>
  <c r="I1467" i="1"/>
  <c r="J1467" i="1" s="1"/>
  <c r="H1455" i="1"/>
  <c r="I1455" i="1" s="1"/>
  <c r="J1455" i="1" s="1"/>
  <c r="H1407" i="1"/>
  <c r="I1407" i="1" s="1"/>
  <c r="J1407" i="1" s="1"/>
  <c r="H1395" i="1"/>
  <c r="I1395" i="1" s="1"/>
  <c r="J1395" i="1" s="1"/>
  <c r="H1383" i="1"/>
  <c r="I1383" i="1" s="1"/>
  <c r="J1383" i="1" s="1"/>
  <c r="H1371" i="1"/>
  <c r="I1371" i="1" s="1"/>
  <c r="J1371" i="1" s="1"/>
  <c r="H1359" i="1"/>
  <c r="I1359" i="1" s="1"/>
  <c r="J1359" i="1" s="1"/>
  <c r="H1347" i="1"/>
  <c r="I1347" i="1" s="1"/>
  <c r="J1347" i="1" s="1"/>
  <c r="H1335" i="1"/>
  <c r="I1335" i="1" s="1"/>
  <c r="J1335" i="1" s="1"/>
  <c r="H1323" i="1"/>
  <c r="I1323" i="1" s="1"/>
  <c r="J1323" i="1" s="1"/>
  <c r="H1311" i="1"/>
  <c r="I1311" i="1" s="1"/>
  <c r="J1311" i="1" s="1"/>
  <c r="H1299" i="1"/>
  <c r="I1299" i="1" s="1"/>
  <c r="J1299" i="1" s="1"/>
  <c r="H1275" i="1"/>
  <c r="I1275" i="1" s="1"/>
  <c r="J1275" i="1" s="1"/>
  <c r="H1263" i="1"/>
  <c r="I1263" i="1" s="1"/>
  <c r="J1263" i="1" s="1"/>
  <c r="H1251" i="1"/>
  <c r="I1251" i="1" s="1"/>
  <c r="J1251" i="1" s="1"/>
  <c r="H1239" i="1"/>
  <c r="I1239" i="1" s="1"/>
  <c r="J1239" i="1" s="1"/>
  <c r="I1227" i="1"/>
  <c r="J1227" i="1" s="1"/>
  <c r="H1215" i="1"/>
  <c r="I1215" i="1" s="1"/>
  <c r="J1215" i="1" s="1"/>
  <c r="H1203" i="1"/>
  <c r="I1203" i="1" s="1"/>
  <c r="J1203" i="1" s="1"/>
  <c r="H1191" i="1"/>
  <c r="I1191" i="1" s="1"/>
  <c r="J1191" i="1" s="1"/>
  <c r="H1179" i="1"/>
  <c r="I1179" i="1" s="1"/>
  <c r="J1179" i="1" s="1"/>
  <c r="H1167" i="1"/>
  <c r="I1167" i="1" s="1"/>
  <c r="J1167" i="1" s="1"/>
  <c r="H1155" i="1"/>
  <c r="I1155" i="1" s="1"/>
  <c r="J1155" i="1" s="1"/>
  <c r="H1143" i="1"/>
  <c r="I1143" i="1" s="1"/>
  <c r="J1143" i="1" s="1"/>
  <c r="H1131" i="1"/>
  <c r="I1131" i="1" s="1"/>
  <c r="J1131" i="1" s="1"/>
  <c r="H1119" i="1"/>
  <c r="I1119" i="1" s="1"/>
  <c r="J1119" i="1" s="1"/>
  <c r="H1095" i="1"/>
  <c r="I1095" i="1" s="1"/>
  <c r="J1095" i="1" s="1"/>
  <c r="I1059" i="1"/>
  <c r="J1059" i="1" s="1"/>
  <c r="H1035" i="1"/>
  <c r="I1035" i="1" s="1"/>
  <c r="J1035" i="1" s="1"/>
  <c r="H1023" i="1"/>
  <c r="I1023" i="1" s="1"/>
  <c r="J1023" i="1" s="1"/>
  <c r="H1011" i="1"/>
  <c r="I1011" i="1" s="1"/>
  <c r="J1011" i="1" s="1"/>
  <c r="H999" i="1"/>
  <c r="I999" i="1" s="1"/>
  <c r="J999" i="1" s="1"/>
  <c r="H987" i="1"/>
  <c r="I987" i="1" s="1"/>
  <c r="J987" i="1" s="1"/>
  <c r="H975" i="1"/>
  <c r="I975" i="1" s="1"/>
  <c r="J975" i="1" s="1"/>
  <c r="I951" i="1"/>
  <c r="J951" i="1" s="1"/>
  <c r="H939" i="1"/>
  <c r="I939" i="1" s="1"/>
  <c r="J939" i="1" s="1"/>
  <c r="H927" i="1"/>
  <c r="I927" i="1" s="1"/>
  <c r="J927" i="1" s="1"/>
  <c r="H915" i="1"/>
  <c r="I915" i="1" s="1"/>
  <c r="J915" i="1" s="1"/>
  <c r="H903" i="1"/>
  <c r="I903" i="1" s="1"/>
  <c r="J903" i="1" s="1"/>
  <c r="H891" i="1"/>
  <c r="I891" i="1" s="1"/>
  <c r="J891" i="1" s="1"/>
  <c r="I879" i="1"/>
  <c r="J879" i="1" s="1"/>
  <c r="H867" i="1"/>
  <c r="I867" i="1" s="1"/>
  <c r="J867" i="1" s="1"/>
  <c r="H855" i="1"/>
  <c r="I855" i="1" s="1"/>
  <c r="J855" i="1" s="1"/>
  <c r="H843" i="1"/>
  <c r="I843" i="1" s="1"/>
  <c r="J843" i="1" s="1"/>
  <c r="H831" i="1"/>
  <c r="I831" i="1" s="1"/>
  <c r="J831" i="1" s="1"/>
  <c r="H819" i="1"/>
  <c r="I819" i="1" s="1"/>
  <c r="J819" i="1" s="1"/>
  <c r="H807" i="1"/>
  <c r="I807" i="1" s="1"/>
  <c r="J807" i="1" s="1"/>
  <c r="H795" i="1"/>
  <c r="I795" i="1" s="1"/>
  <c r="J795" i="1" s="1"/>
  <c r="H783" i="1"/>
  <c r="I783" i="1" s="1"/>
  <c r="J783" i="1" s="1"/>
  <c r="H771" i="1"/>
  <c r="I771" i="1" s="1"/>
  <c r="J771" i="1" s="1"/>
  <c r="H747" i="1"/>
  <c r="I747" i="1" s="1"/>
  <c r="J747" i="1" s="1"/>
  <c r="H735" i="1"/>
  <c r="I735" i="1" s="1"/>
  <c r="J735" i="1" s="1"/>
  <c r="H723" i="1"/>
  <c r="I723" i="1" s="1"/>
  <c r="J723" i="1" s="1"/>
  <c r="H711" i="1"/>
  <c r="I711" i="1" s="1"/>
  <c r="J711" i="1" s="1"/>
  <c r="H699" i="1"/>
  <c r="I699" i="1" s="1"/>
  <c r="J699" i="1" s="1"/>
  <c r="H687" i="1"/>
  <c r="I687" i="1" s="1"/>
  <c r="J687" i="1" s="1"/>
  <c r="H675" i="1"/>
  <c r="I675" i="1" s="1"/>
  <c r="J675" i="1" s="1"/>
  <c r="H639" i="1"/>
  <c r="I639" i="1" s="1"/>
  <c r="J639" i="1" s="1"/>
  <c r="H627" i="1"/>
  <c r="I627" i="1" s="1"/>
  <c r="J627" i="1" s="1"/>
  <c r="H615" i="1"/>
  <c r="I615" i="1" s="1"/>
  <c r="J615" i="1" s="1"/>
  <c r="H603" i="1"/>
  <c r="I603" i="1" s="1"/>
  <c r="J603" i="1" s="1"/>
  <c r="H591" i="1"/>
  <c r="I591" i="1" s="1"/>
  <c r="J591" i="1" s="1"/>
  <c r="H579" i="1"/>
  <c r="I579" i="1" s="1"/>
  <c r="J579" i="1" s="1"/>
  <c r="H567" i="1"/>
  <c r="I567" i="1" s="1"/>
  <c r="J567" i="1" s="1"/>
  <c r="H555" i="1"/>
  <c r="I555" i="1" s="1"/>
  <c r="J555" i="1" s="1"/>
  <c r="H543" i="1"/>
  <c r="I543" i="1" s="1"/>
  <c r="J543" i="1" s="1"/>
  <c r="H531" i="1"/>
  <c r="I531" i="1" s="1"/>
  <c r="J531" i="1" s="1"/>
  <c r="H519" i="1"/>
  <c r="I519" i="1" s="1"/>
  <c r="J519" i="1" s="1"/>
  <c r="H507" i="1"/>
  <c r="I507" i="1" s="1"/>
  <c r="J507" i="1" s="1"/>
  <c r="H1653" i="1"/>
  <c r="I1653" i="1" s="1"/>
  <c r="J1653" i="1" s="1"/>
  <c r="H1419" i="1"/>
  <c r="I1419" i="1" s="1"/>
  <c r="J1419" i="1" s="1"/>
  <c r="H1287" i="1"/>
  <c r="I1287" i="1" s="1"/>
  <c r="J1287" i="1" s="1"/>
  <c r="H1845" i="1"/>
  <c r="I1845" i="1" s="1"/>
  <c r="J1845" i="1" s="1"/>
  <c r="H1785" i="1"/>
  <c r="I1785" i="1" s="1"/>
  <c r="J1785" i="1" s="1"/>
  <c r="H1629" i="1"/>
  <c r="I1629" i="1" s="1"/>
  <c r="J1629" i="1" s="1"/>
  <c r="H1581" i="1"/>
  <c r="I1581" i="1" s="1"/>
  <c r="J1581" i="1" s="1"/>
  <c r="H1533" i="1"/>
  <c r="I1533" i="1" s="1"/>
  <c r="J1533" i="1" s="1"/>
  <c r="H1485" i="1"/>
  <c r="I1485" i="1" s="1"/>
  <c r="J1485" i="1" s="1"/>
  <c r="H1437" i="1"/>
  <c r="I1437" i="1" s="1"/>
  <c r="J1437" i="1" s="1"/>
  <c r="H1377" i="1"/>
  <c r="I1377" i="1" s="1"/>
  <c r="J1377" i="1" s="1"/>
  <c r="H1257" i="1"/>
  <c r="I1257" i="1" s="1"/>
  <c r="J1257" i="1" s="1"/>
  <c r="H1209" i="1"/>
  <c r="I1209" i="1" s="1"/>
  <c r="J1209" i="1" s="1"/>
  <c r="H1161" i="1"/>
  <c r="I1161" i="1" s="1"/>
  <c r="J1161" i="1" s="1"/>
  <c r="H1101" i="1"/>
  <c r="I1101" i="1" s="1"/>
  <c r="J1101" i="1" s="1"/>
  <c r="H909" i="1"/>
  <c r="I909" i="1" s="1"/>
  <c r="J909" i="1" s="1"/>
  <c r="H657" i="1"/>
  <c r="I657" i="1" s="1"/>
  <c r="J657" i="1" s="1"/>
  <c r="H597" i="1"/>
  <c r="I597" i="1" s="1"/>
  <c r="J597" i="1" s="1"/>
  <c r="H237" i="1"/>
  <c r="I237" i="1" s="1"/>
  <c r="J237" i="1" s="1"/>
  <c r="H213" i="1"/>
  <c r="I213" i="1" s="1"/>
  <c r="J213" i="1" s="1"/>
  <c r="H129" i="1"/>
  <c r="I129" i="1" s="1"/>
  <c r="J129" i="1" s="1"/>
  <c r="H81" i="1"/>
  <c r="I81" i="1" s="1"/>
  <c r="J81" i="1" s="1"/>
  <c r="H33" i="1"/>
  <c r="I33" i="1" s="1"/>
  <c r="J33" i="1" s="1"/>
  <c r="H1988" i="1"/>
  <c r="I1988" i="1" s="1"/>
  <c r="J1988" i="1" s="1"/>
  <c r="H1856" i="1"/>
  <c r="I1856" i="1" s="1"/>
  <c r="J1856" i="1" s="1"/>
  <c r="H1628" i="1"/>
  <c r="I1628" i="1" s="1"/>
  <c r="J1628" i="1" s="1"/>
  <c r="H1388" i="1"/>
  <c r="I1388" i="1" s="1"/>
  <c r="J1388" i="1" s="1"/>
  <c r="H1196" i="1"/>
  <c r="I1196" i="1" s="1"/>
  <c r="J1196" i="1" s="1"/>
  <c r="H968" i="1"/>
  <c r="I968" i="1" s="1"/>
  <c r="J968" i="1" s="1"/>
  <c r="H920" i="1"/>
  <c r="I920" i="1" s="1"/>
  <c r="J920" i="1" s="1"/>
  <c r="I848" i="1"/>
  <c r="J848" i="1" s="1"/>
  <c r="H428" i="1"/>
  <c r="I428" i="1" s="1"/>
  <c r="J428" i="1" s="1"/>
  <c r="H392" i="1"/>
  <c r="I392" i="1" s="1"/>
  <c r="J392" i="1" s="1"/>
  <c r="H200" i="1"/>
  <c r="I200" i="1" s="1"/>
  <c r="J200" i="1" s="1"/>
  <c r="H8" i="1"/>
  <c r="I8" i="1" s="1"/>
  <c r="J8" i="1" s="1"/>
  <c r="H1711" i="1"/>
  <c r="I1711" i="1" s="1"/>
  <c r="J1711" i="1" s="1"/>
  <c r="H1255" i="1"/>
  <c r="I1255" i="1" s="1"/>
  <c r="J1255" i="1" s="1"/>
  <c r="H1183" i="1"/>
  <c r="I1183" i="1" s="1"/>
  <c r="J1183" i="1" s="1"/>
  <c r="H1111" i="1"/>
  <c r="I1111" i="1" s="1"/>
  <c r="J1111" i="1" s="1"/>
  <c r="H895" i="1"/>
  <c r="I895" i="1" s="1"/>
  <c r="J895" i="1" s="1"/>
  <c r="H847" i="1"/>
  <c r="I847" i="1" s="1"/>
  <c r="J847" i="1" s="1"/>
  <c r="H535" i="1"/>
  <c r="I535" i="1" s="1"/>
  <c r="J535" i="1" s="1"/>
  <c r="H391" i="1"/>
  <c r="I391" i="1" s="1"/>
  <c r="J391" i="1" s="1"/>
  <c r="H343" i="1"/>
  <c r="I343" i="1" s="1"/>
  <c r="J343" i="1" s="1"/>
  <c r="H199" i="1"/>
  <c r="I199" i="1" s="1"/>
  <c r="J199" i="1" s="1"/>
  <c r="H151" i="1"/>
  <c r="I151" i="1" s="1"/>
  <c r="J151" i="1" s="1"/>
  <c r="K1386" i="1"/>
  <c r="H1986" i="1"/>
  <c r="I1986" i="1" s="1"/>
  <c r="J1986" i="1" s="1"/>
  <c r="H1398" i="1"/>
  <c r="I1398" i="1" s="1"/>
  <c r="J1398" i="1" s="1"/>
  <c r="H1278" i="1"/>
  <c r="I1278" i="1" s="1"/>
  <c r="J1278" i="1" s="1"/>
  <c r="H1230" i="1"/>
  <c r="I1230" i="1" s="1"/>
  <c r="J1230" i="1" s="1"/>
  <c r="H1122" i="1"/>
  <c r="I1122" i="1" s="1"/>
  <c r="J1122" i="1" s="1"/>
  <c r="H1074" i="1"/>
  <c r="I1074" i="1" s="1"/>
  <c r="J1074" i="1" s="1"/>
  <c r="H906" i="1"/>
  <c r="I906" i="1" s="1"/>
  <c r="J906" i="1" s="1"/>
  <c r="H510" i="1"/>
  <c r="I510" i="1" s="1"/>
  <c r="J510" i="1" s="1"/>
  <c r="H462" i="1"/>
  <c r="I462" i="1" s="1"/>
  <c r="J462" i="1" s="1"/>
  <c r="I1985" i="1"/>
  <c r="J1985" i="1" s="1"/>
  <c r="I1925" i="1"/>
  <c r="J1925" i="1" s="1"/>
  <c r="I1865" i="1"/>
  <c r="J1865" i="1" s="1"/>
  <c r="H1805" i="1"/>
  <c r="I1805" i="1" s="1"/>
  <c r="J1805" i="1" s="1"/>
  <c r="H1769" i="1"/>
  <c r="I1769" i="1" s="1"/>
  <c r="J1769" i="1" s="1"/>
  <c r="H1697" i="1"/>
  <c r="I1697" i="1" s="1"/>
  <c r="J1697" i="1" s="1"/>
  <c r="H1457" i="1"/>
  <c r="I1457" i="1" s="1"/>
  <c r="J1457" i="1" s="1"/>
  <c r="H1229" i="1"/>
  <c r="I1229" i="1" s="1"/>
  <c r="J1229" i="1" s="1"/>
  <c r="H1193" i="1"/>
  <c r="I1193" i="1" s="1"/>
  <c r="J1193" i="1" s="1"/>
  <c r="H989" i="1"/>
  <c r="I989" i="1" s="1"/>
  <c r="J989" i="1" s="1"/>
  <c r="H809" i="1"/>
  <c r="I809" i="1" s="1"/>
  <c r="J809" i="1" s="1"/>
  <c r="H773" i="1"/>
  <c r="I773" i="1" s="1"/>
  <c r="J773" i="1" s="1"/>
  <c r="H401" i="1"/>
  <c r="I401" i="1" s="1"/>
  <c r="J401" i="1" s="1"/>
  <c r="H149" i="1"/>
  <c r="I149" i="1" s="1"/>
  <c r="J149" i="1" s="1"/>
  <c r="I1983" i="1"/>
  <c r="J1983" i="1" s="1"/>
  <c r="H1935" i="1"/>
  <c r="I1935" i="1" s="1"/>
  <c r="J1935" i="1" s="1"/>
  <c r="H1899" i="1"/>
  <c r="I1899" i="1" s="1"/>
  <c r="J1899" i="1" s="1"/>
  <c r="H1851" i="1"/>
  <c r="I1851" i="1" s="1"/>
  <c r="J1851" i="1" s="1"/>
  <c r="H1827" i="1"/>
  <c r="I1827" i="1" s="1"/>
  <c r="J1827" i="1" s="1"/>
  <c r="H1803" i="1"/>
  <c r="I1803" i="1" s="1"/>
  <c r="J1803" i="1" s="1"/>
  <c r="H1779" i="1"/>
  <c r="I1779" i="1" s="1"/>
  <c r="J1779" i="1" s="1"/>
  <c r="H1731" i="1"/>
  <c r="I1731" i="1" s="1"/>
  <c r="J1731" i="1" s="1"/>
  <c r="I1695" i="1"/>
  <c r="J1695" i="1" s="1"/>
  <c r="I1659" i="1"/>
  <c r="J1659" i="1" s="1"/>
  <c r="H1623" i="1"/>
  <c r="I1623" i="1" s="1"/>
  <c r="J1623" i="1" s="1"/>
  <c r="H1599" i="1"/>
  <c r="I1599" i="1" s="1"/>
  <c r="J1599" i="1" s="1"/>
  <c r="H1575" i="1"/>
  <c r="I1575" i="1" s="1"/>
  <c r="J1575" i="1" s="1"/>
  <c r="H1551" i="1"/>
  <c r="I1551" i="1" s="1"/>
  <c r="J1551" i="1" s="1"/>
  <c r="H1527" i="1"/>
  <c r="I1527" i="1" s="1"/>
  <c r="J1527" i="1" s="1"/>
  <c r="H1431" i="1"/>
  <c r="I1431" i="1" s="1"/>
  <c r="J1431" i="1" s="1"/>
  <c r="H663" i="1"/>
  <c r="I663" i="1" s="1"/>
  <c r="J663" i="1" s="1"/>
  <c r="H1652" i="1"/>
  <c r="I1652" i="1" s="1"/>
  <c r="J1652" i="1" s="1"/>
  <c r="H1521" i="1"/>
  <c r="I1521" i="1" s="1"/>
  <c r="J1521" i="1" s="1"/>
  <c r="H1113" i="1"/>
  <c r="I1113" i="1" s="1"/>
  <c r="J1113" i="1" s="1"/>
  <c r="H656" i="1"/>
  <c r="I656" i="1" s="1"/>
  <c r="J656" i="1" s="1"/>
  <c r="H1701" i="1"/>
  <c r="I1701" i="1" s="1"/>
  <c r="J1701" i="1" s="1"/>
  <c r="H1473" i="1"/>
  <c r="I1473" i="1" s="1"/>
  <c r="J1473" i="1" s="1"/>
  <c r="H1245" i="1"/>
  <c r="I1245" i="1" s="1"/>
  <c r="J1245" i="1" s="1"/>
  <c r="H1185" i="1"/>
  <c r="I1185" i="1" s="1"/>
  <c r="J1185" i="1" s="1"/>
  <c r="H825" i="1"/>
  <c r="I825" i="1" s="1"/>
  <c r="J825" i="1" s="1"/>
  <c r="H681" i="1"/>
  <c r="I681" i="1" s="1"/>
  <c r="J681" i="1" s="1"/>
  <c r="H645" i="1"/>
  <c r="I645" i="1" s="1"/>
  <c r="J645" i="1" s="1"/>
  <c r="H573" i="1"/>
  <c r="I573" i="1" s="1"/>
  <c r="J573" i="1" s="1"/>
  <c r="H357" i="1"/>
  <c r="I357" i="1" s="1"/>
  <c r="J357" i="1" s="1"/>
  <c r="H309" i="1"/>
  <c r="I309" i="1" s="1"/>
  <c r="J309" i="1" s="1"/>
  <c r="H105" i="1"/>
  <c r="I105" i="1" s="1"/>
  <c r="J105" i="1" s="1"/>
  <c r="H45" i="1"/>
  <c r="I45" i="1" s="1"/>
  <c r="J45" i="1" s="1"/>
  <c r="H1772" i="1"/>
  <c r="I1772" i="1" s="1"/>
  <c r="J1772" i="1" s="1"/>
  <c r="H1580" i="1"/>
  <c r="I1580" i="1" s="1"/>
  <c r="J1580" i="1" s="1"/>
  <c r="H1472" i="1"/>
  <c r="I1472" i="1" s="1"/>
  <c r="J1472" i="1" s="1"/>
  <c r="H1400" i="1"/>
  <c r="I1400" i="1" s="1"/>
  <c r="J1400" i="1" s="1"/>
  <c r="H1244" i="1"/>
  <c r="I1244" i="1" s="1"/>
  <c r="J1244" i="1" s="1"/>
  <c r="H992" i="1"/>
  <c r="I992" i="1" s="1"/>
  <c r="J992" i="1" s="1"/>
  <c r="H668" i="1"/>
  <c r="I668" i="1" s="1"/>
  <c r="J668" i="1" s="1"/>
  <c r="H620" i="1"/>
  <c r="I620" i="1" s="1"/>
  <c r="J620" i="1" s="1"/>
  <c r="H572" i="1"/>
  <c r="I572" i="1" s="1"/>
  <c r="J572" i="1" s="1"/>
  <c r="H536" i="1"/>
  <c r="I536" i="1" s="1"/>
  <c r="J536" i="1" s="1"/>
  <c r="H476" i="1"/>
  <c r="I476" i="1" s="1"/>
  <c r="J476" i="1" s="1"/>
  <c r="H308" i="1"/>
  <c r="I308" i="1" s="1"/>
  <c r="J308" i="1" s="1"/>
  <c r="H32" i="1"/>
  <c r="I32" i="1" s="1"/>
  <c r="J32" i="1" s="1"/>
  <c r="H1915" i="1"/>
  <c r="I1915" i="1" s="1"/>
  <c r="J1915" i="1" s="1"/>
  <c r="H1771" i="1"/>
  <c r="I1771" i="1" s="1"/>
  <c r="J1771" i="1" s="1"/>
  <c r="H1159" i="1"/>
  <c r="I1159" i="1" s="1"/>
  <c r="J1159" i="1" s="1"/>
  <c r="H1123" i="1"/>
  <c r="I1123" i="1" s="1"/>
  <c r="J1123" i="1" s="1"/>
  <c r="H1075" i="1"/>
  <c r="I1075" i="1" s="1"/>
  <c r="J1075" i="1" s="1"/>
  <c r="H931" i="1"/>
  <c r="I931" i="1" s="1"/>
  <c r="J931" i="1" s="1"/>
  <c r="H763" i="1"/>
  <c r="I763" i="1" s="1"/>
  <c r="J763" i="1" s="1"/>
  <c r="H559" i="1"/>
  <c r="I559" i="1" s="1"/>
  <c r="J559" i="1" s="1"/>
  <c r="H487" i="1"/>
  <c r="I487" i="1" s="1"/>
  <c r="J487" i="1" s="1"/>
  <c r="H331" i="1"/>
  <c r="I331" i="1" s="1"/>
  <c r="J331" i="1" s="1"/>
  <c r="H271" i="1"/>
  <c r="I271" i="1" s="1"/>
  <c r="J271" i="1" s="1"/>
  <c r="H211" i="1"/>
  <c r="I211" i="1" s="1"/>
  <c r="J211" i="1" s="1"/>
  <c r="H1461" i="1"/>
  <c r="I1461" i="1" s="1"/>
  <c r="J1461" i="1" s="1"/>
  <c r="H1926" i="1"/>
  <c r="I1926" i="1" s="1"/>
  <c r="J1926" i="1" s="1"/>
  <c r="H1698" i="1"/>
  <c r="I1698" i="1" s="1"/>
  <c r="J1698" i="1" s="1"/>
  <c r="H1518" i="1"/>
  <c r="I1518" i="1" s="1"/>
  <c r="J1518" i="1" s="1"/>
  <c r="H894" i="1"/>
  <c r="I894" i="1" s="1"/>
  <c r="J894" i="1" s="1"/>
  <c r="H678" i="1"/>
  <c r="I678" i="1" s="1"/>
  <c r="J678" i="1" s="1"/>
  <c r="H618" i="1"/>
  <c r="I618" i="1" s="1"/>
  <c r="J618" i="1" s="1"/>
  <c r="H474" i="1"/>
  <c r="I474" i="1" s="1"/>
  <c r="J474" i="1" s="1"/>
  <c r="K1994" i="1"/>
  <c r="L1994" i="1"/>
  <c r="H1961" i="1"/>
  <c r="I1961" i="1" s="1"/>
  <c r="J1961" i="1" s="1"/>
  <c r="H1901" i="1"/>
  <c r="I1901" i="1" s="1"/>
  <c r="J1901" i="1" s="1"/>
  <c r="H1817" i="1"/>
  <c r="I1817" i="1" s="1"/>
  <c r="J1817" i="1" s="1"/>
  <c r="I1745" i="1"/>
  <c r="J1745" i="1" s="1"/>
  <c r="H1673" i="1"/>
  <c r="I1673" i="1" s="1"/>
  <c r="J1673" i="1" s="1"/>
  <c r="H1241" i="1"/>
  <c r="I1241" i="1" s="1"/>
  <c r="J1241" i="1" s="1"/>
  <c r="H1145" i="1"/>
  <c r="I1145" i="1" s="1"/>
  <c r="J1145" i="1" s="1"/>
  <c r="H1097" i="1"/>
  <c r="I1097" i="1" s="1"/>
  <c r="J1097" i="1" s="1"/>
  <c r="H977" i="1"/>
  <c r="I977" i="1" s="1"/>
  <c r="J977" i="1" s="1"/>
  <c r="H761" i="1"/>
  <c r="I761" i="1" s="1"/>
  <c r="J761" i="1" s="1"/>
  <c r="H473" i="1"/>
  <c r="I473" i="1" s="1"/>
  <c r="J473" i="1" s="1"/>
  <c r="H377" i="1"/>
  <c r="I377" i="1" s="1"/>
  <c r="J377" i="1" s="1"/>
  <c r="H329" i="1"/>
  <c r="I329" i="1" s="1"/>
  <c r="J329" i="1" s="1"/>
  <c r="H221" i="1"/>
  <c r="I221" i="1" s="1"/>
  <c r="J221" i="1" s="1"/>
  <c r="H173" i="1"/>
  <c r="I173" i="1" s="1"/>
  <c r="J173" i="1" s="1"/>
  <c r="H1971" i="1"/>
  <c r="I1971" i="1" s="1"/>
  <c r="J1971" i="1" s="1"/>
  <c r="H1923" i="1"/>
  <c r="I1923" i="1" s="1"/>
  <c r="J1923" i="1" s="1"/>
  <c r="H1887" i="1"/>
  <c r="I1887" i="1" s="1"/>
  <c r="J1887" i="1" s="1"/>
  <c r="H1755" i="1"/>
  <c r="I1755" i="1" s="1"/>
  <c r="J1755" i="1" s="1"/>
  <c r="H1071" i="1"/>
  <c r="I1071" i="1" s="1"/>
  <c r="J1071" i="1" s="1"/>
  <c r="H1520" i="1"/>
  <c r="I1520" i="1" s="1"/>
  <c r="J1520" i="1" s="1"/>
  <c r="H1399" i="1"/>
  <c r="I1399" i="1" s="1"/>
  <c r="J1399" i="1" s="1"/>
  <c r="H1112" i="1"/>
  <c r="I1112" i="1" s="1"/>
  <c r="J1112" i="1" s="1"/>
  <c r="H963" i="1"/>
  <c r="I963" i="1" s="1"/>
  <c r="J963" i="1" s="1"/>
  <c r="H800" i="1"/>
  <c r="I800" i="1" s="1"/>
  <c r="J800" i="1" s="1"/>
  <c r="H1773" i="1"/>
  <c r="I1773" i="1" s="1"/>
  <c r="J1773" i="1" s="1"/>
  <c r="H1569" i="1"/>
  <c r="I1569" i="1" s="1"/>
  <c r="J1569" i="1" s="1"/>
  <c r="H1341" i="1"/>
  <c r="I1341" i="1" s="1"/>
  <c r="J1341" i="1" s="1"/>
  <c r="H1077" i="1"/>
  <c r="I1077" i="1" s="1"/>
  <c r="J1077" i="1" s="1"/>
  <c r="H1017" i="1"/>
  <c r="I1017" i="1" s="1"/>
  <c r="J1017" i="1" s="1"/>
  <c r="H933" i="1"/>
  <c r="I933" i="1" s="1"/>
  <c r="J933" i="1" s="1"/>
  <c r="H801" i="1"/>
  <c r="I801" i="1" s="1"/>
  <c r="J801" i="1" s="1"/>
  <c r="H765" i="1"/>
  <c r="I765" i="1" s="1"/>
  <c r="J765" i="1" s="1"/>
  <c r="H621" i="1"/>
  <c r="I621" i="1" s="1"/>
  <c r="J621" i="1" s="1"/>
  <c r="H561" i="1"/>
  <c r="I561" i="1" s="1"/>
  <c r="J561" i="1" s="1"/>
  <c r="H513" i="1"/>
  <c r="I513" i="1" s="1"/>
  <c r="J513" i="1" s="1"/>
  <c r="H453" i="1"/>
  <c r="I453" i="1" s="1"/>
  <c r="J453" i="1" s="1"/>
  <c r="H393" i="1"/>
  <c r="I393" i="1" s="1"/>
  <c r="J393" i="1" s="1"/>
  <c r="H333" i="1"/>
  <c r="I333" i="1" s="1"/>
  <c r="J333" i="1" s="1"/>
  <c r="H285" i="1"/>
  <c r="I285" i="1" s="1"/>
  <c r="J285" i="1" s="1"/>
  <c r="H1928" i="1"/>
  <c r="I1928" i="1" s="1"/>
  <c r="J1928" i="1" s="1"/>
  <c r="H1700" i="1"/>
  <c r="I1700" i="1" s="1"/>
  <c r="J1700" i="1" s="1"/>
  <c r="H1352" i="1"/>
  <c r="I1352" i="1" s="1"/>
  <c r="J1352" i="1" s="1"/>
  <c r="H932" i="1"/>
  <c r="I932" i="1" s="1"/>
  <c r="J932" i="1" s="1"/>
  <c r="H680" i="1"/>
  <c r="I680" i="1" s="1"/>
  <c r="J680" i="1" s="1"/>
  <c r="H632" i="1"/>
  <c r="I632" i="1" s="1"/>
  <c r="J632" i="1" s="1"/>
  <c r="H488" i="1"/>
  <c r="I488" i="1" s="1"/>
  <c r="J488" i="1" s="1"/>
  <c r="H272" i="1"/>
  <c r="I272" i="1" s="1"/>
  <c r="J272" i="1" s="1"/>
  <c r="H1843" i="1"/>
  <c r="I1843" i="1" s="1"/>
  <c r="J1843" i="1" s="1"/>
  <c r="H1795" i="1"/>
  <c r="I1795" i="1" s="1"/>
  <c r="J1795" i="1" s="1"/>
  <c r="H1747" i="1"/>
  <c r="I1747" i="1" s="1"/>
  <c r="J1747" i="1" s="1"/>
  <c r="H1471" i="1"/>
  <c r="I1471" i="1" s="1"/>
  <c r="J1471" i="1" s="1"/>
  <c r="H1327" i="1"/>
  <c r="I1327" i="1" s="1"/>
  <c r="J1327" i="1" s="1"/>
  <c r="H1279" i="1"/>
  <c r="I1279" i="1" s="1"/>
  <c r="J1279" i="1" s="1"/>
  <c r="H1231" i="1"/>
  <c r="I1231" i="1" s="1"/>
  <c r="J1231" i="1" s="1"/>
  <c r="I1051" i="1"/>
  <c r="J1051" i="1" s="1"/>
  <c r="H1015" i="1"/>
  <c r="I1015" i="1" s="1"/>
  <c r="J1015" i="1" s="1"/>
  <c r="H991" i="1"/>
  <c r="I991" i="1" s="1"/>
  <c r="J991" i="1" s="1"/>
  <c r="H919" i="1"/>
  <c r="I919" i="1" s="1"/>
  <c r="J919" i="1" s="1"/>
  <c r="H583" i="1"/>
  <c r="I583" i="1" s="1"/>
  <c r="J583" i="1" s="1"/>
  <c r="H451" i="1"/>
  <c r="I451" i="1" s="1"/>
  <c r="J451" i="1" s="1"/>
  <c r="H415" i="1"/>
  <c r="I415" i="1" s="1"/>
  <c r="J415" i="1" s="1"/>
  <c r="H367" i="1"/>
  <c r="I367" i="1" s="1"/>
  <c r="J367" i="1" s="1"/>
  <c r="H307" i="1"/>
  <c r="I307" i="1" s="1"/>
  <c r="J307" i="1" s="1"/>
  <c r="H283" i="1"/>
  <c r="I283" i="1" s="1"/>
  <c r="J283" i="1" s="1"/>
  <c r="H1770" i="1"/>
  <c r="I1770" i="1" s="1"/>
  <c r="J1770" i="1" s="1"/>
  <c r="I1710" i="1"/>
  <c r="J1710" i="1" s="1"/>
  <c r="H1662" i="1"/>
  <c r="I1662" i="1" s="1"/>
  <c r="J1662" i="1" s="1"/>
  <c r="I1314" i="1"/>
  <c r="J1314" i="1" s="1"/>
  <c r="H1254" i="1"/>
  <c r="I1254" i="1" s="1"/>
  <c r="J1254" i="1" s="1"/>
  <c r="I1050" i="1"/>
  <c r="J1050" i="1" s="1"/>
  <c r="H1014" i="1"/>
  <c r="I1014" i="1" s="1"/>
  <c r="J1014" i="1" s="1"/>
  <c r="H978" i="1"/>
  <c r="I978" i="1" s="1"/>
  <c r="J978" i="1" s="1"/>
  <c r="H930" i="1"/>
  <c r="I930" i="1" s="1"/>
  <c r="J930" i="1" s="1"/>
  <c r="H738" i="1"/>
  <c r="I738" i="1" s="1"/>
  <c r="J738" i="1" s="1"/>
  <c r="H690" i="1"/>
  <c r="I690" i="1" s="1"/>
  <c r="J690" i="1" s="1"/>
  <c r="H534" i="1"/>
  <c r="I534" i="1" s="1"/>
  <c r="J534" i="1" s="1"/>
  <c r="H270" i="1"/>
  <c r="I270" i="1" s="1"/>
  <c r="J270" i="1" s="1"/>
  <c r="H222" i="1"/>
  <c r="I222" i="1" s="1"/>
  <c r="J222" i="1" s="1"/>
  <c r="H30" i="1"/>
  <c r="I30" i="1" s="1"/>
  <c r="J30" i="1" s="1"/>
  <c r="I1973" i="1"/>
  <c r="J1973" i="1" s="1"/>
  <c r="H1937" i="1"/>
  <c r="I1937" i="1" s="1"/>
  <c r="J1937" i="1" s="1"/>
  <c r="H1877" i="1"/>
  <c r="I1877" i="1" s="1"/>
  <c r="J1877" i="1" s="1"/>
  <c r="H1613" i="1"/>
  <c r="I1613" i="1" s="1"/>
  <c r="J1613" i="1" s="1"/>
  <c r="H1565" i="1"/>
  <c r="I1565" i="1" s="1"/>
  <c r="J1565" i="1" s="1"/>
  <c r="H1349" i="1"/>
  <c r="I1349" i="1" s="1"/>
  <c r="J1349" i="1" s="1"/>
  <c r="H545" i="1"/>
  <c r="I545" i="1" s="1"/>
  <c r="J545" i="1" s="1"/>
  <c r="H389" i="1"/>
  <c r="I389" i="1" s="1"/>
  <c r="J389" i="1" s="1"/>
  <c r="H341" i="1"/>
  <c r="I341" i="1" s="1"/>
  <c r="J341" i="1" s="1"/>
  <c r="H1947" i="1"/>
  <c r="I1947" i="1" s="1"/>
  <c r="J1947" i="1" s="1"/>
  <c r="H1875" i="1"/>
  <c r="I1875" i="1" s="1"/>
  <c r="J1875" i="1" s="1"/>
  <c r="H1767" i="1"/>
  <c r="I1767" i="1" s="1"/>
  <c r="J1767" i="1" s="1"/>
  <c r="H1083" i="1"/>
  <c r="I1083" i="1" s="1"/>
  <c r="J1083" i="1" s="1"/>
  <c r="H1233" i="1"/>
  <c r="I1233" i="1" s="1"/>
  <c r="J1233" i="1" s="1"/>
  <c r="H1929" i="1"/>
  <c r="I1929" i="1" s="1"/>
  <c r="J1929" i="1" s="1"/>
  <c r="H1869" i="1"/>
  <c r="I1869" i="1" s="1"/>
  <c r="J1869" i="1" s="1"/>
  <c r="H1713" i="1"/>
  <c r="I1713" i="1" s="1"/>
  <c r="J1713" i="1" s="1"/>
  <c r="H1401" i="1"/>
  <c r="I1401" i="1" s="1"/>
  <c r="J1401" i="1" s="1"/>
  <c r="H1221" i="1"/>
  <c r="I1221" i="1" s="1"/>
  <c r="J1221" i="1" s="1"/>
  <c r="H1149" i="1"/>
  <c r="I1149" i="1" s="1"/>
  <c r="J1149" i="1" s="1"/>
  <c r="H993" i="1"/>
  <c r="I993" i="1" s="1"/>
  <c r="J993" i="1" s="1"/>
  <c r="H885" i="1"/>
  <c r="I885" i="1" s="1"/>
  <c r="J885" i="1" s="1"/>
  <c r="H741" i="1"/>
  <c r="I741" i="1" s="1"/>
  <c r="J741" i="1" s="1"/>
  <c r="H477" i="1"/>
  <c r="I477" i="1" s="1"/>
  <c r="J477" i="1" s="1"/>
  <c r="H417" i="1"/>
  <c r="I417" i="1" s="1"/>
  <c r="J417" i="1" s="1"/>
  <c r="H369" i="1"/>
  <c r="I369" i="1" s="1"/>
  <c r="J369" i="1" s="1"/>
  <c r="H201" i="1"/>
  <c r="I201" i="1" s="1"/>
  <c r="J201" i="1" s="1"/>
  <c r="H141" i="1"/>
  <c r="I141" i="1" s="1"/>
  <c r="J141" i="1" s="1"/>
  <c r="H69" i="1"/>
  <c r="I69" i="1" s="1"/>
  <c r="J69" i="1" s="1"/>
  <c r="H9" i="1"/>
  <c r="I9" i="1" s="1"/>
  <c r="J9" i="1" s="1"/>
  <c r="H1916" i="1"/>
  <c r="I1916" i="1" s="1"/>
  <c r="J1916" i="1" s="1"/>
  <c r="I1868" i="1"/>
  <c r="J1868" i="1" s="1"/>
  <c r="I1796" i="1"/>
  <c r="J1796" i="1" s="1"/>
  <c r="H1436" i="1"/>
  <c r="I1436" i="1" s="1"/>
  <c r="J1436" i="1" s="1"/>
  <c r="H1052" i="1"/>
  <c r="I1052" i="1" s="1"/>
  <c r="J1052" i="1" s="1"/>
  <c r="H980" i="1"/>
  <c r="I980" i="1" s="1"/>
  <c r="J980" i="1" s="1"/>
  <c r="H764" i="1"/>
  <c r="I764" i="1" s="1"/>
  <c r="J764" i="1" s="1"/>
  <c r="H716" i="1"/>
  <c r="I716" i="1" s="1"/>
  <c r="J716" i="1" s="1"/>
  <c r="H644" i="1"/>
  <c r="I644" i="1" s="1"/>
  <c r="J644" i="1" s="1"/>
  <c r="H416" i="1"/>
  <c r="I416" i="1" s="1"/>
  <c r="J416" i="1" s="1"/>
  <c r="H368" i="1"/>
  <c r="I368" i="1" s="1"/>
  <c r="J368" i="1" s="1"/>
  <c r="H104" i="1"/>
  <c r="I104" i="1" s="1"/>
  <c r="J104" i="1" s="1"/>
  <c r="H56" i="1"/>
  <c r="I56" i="1" s="1"/>
  <c r="J56" i="1" s="1"/>
  <c r="H1987" i="1"/>
  <c r="I1987" i="1" s="1"/>
  <c r="J1987" i="1" s="1"/>
  <c r="H1639" i="1"/>
  <c r="I1639" i="1" s="1"/>
  <c r="J1639" i="1" s="1"/>
  <c r="H679" i="1"/>
  <c r="I679" i="1" s="1"/>
  <c r="J679" i="1" s="1"/>
  <c r="H631" i="1"/>
  <c r="I631" i="1" s="1"/>
  <c r="J631" i="1" s="1"/>
  <c r="H475" i="1"/>
  <c r="I475" i="1" s="1"/>
  <c r="J475" i="1" s="1"/>
  <c r="H1434" i="1"/>
  <c r="I1434" i="1" s="1"/>
  <c r="J1434" i="1" s="1"/>
  <c r="H1386" i="1"/>
  <c r="I1386" i="1" s="1"/>
  <c r="J1386" i="1" s="1"/>
  <c r="H426" i="1"/>
  <c r="I426" i="1" s="1"/>
  <c r="J426" i="1" s="1"/>
  <c r="H390" i="1"/>
  <c r="I390" i="1" s="1"/>
  <c r="J390" i="1" s="1"/>
  <c r="H366" i="1"/>
  <c r="I366" i="1" s="1"/>
  <c r="J366" i="1" s="1"/>
  <c r="H306" i="1"/>
  <c r="I306" i="1" s="1"/>
  <c r="J306" i="1" s="1"/>
  <c r="H186" i="1"/>
  <c r="I186" i="1" s="1"/>
  <c r="J186" i="1" s="1"/>
  <c r="H126" i="1"/>
  <c r="I126" i="1" s="1"/>
  <c r="J126" i="1" s="1"/>
  <c r="H42" i="1"/>
  <c r="I42" i="1" s="1"/>
  <c r="J42" i="1" s="1"/>
  <c r="I1949" i="1"/>
  <c r="J1949" i="1" s="1"/>
  <c r="H1889" i="1"/>
  <c r="I1889" i="1" s="1"/>
  <c r="J1889" i="1" s="1"/>
  <c r="H1829" i="1"/>
  <c r="I1829" i="1" s="1"/>
  <c r="J1829" i="1" s="1"/>
  <c r="H1781" i="1"/>
  <c r="I1781" i="1" s="1"/>
  <c r="J1781" i="1" s="1"/>
  <c r="H1721" i="1"/>
  <c r="I1721" i="1" s="1"/>
  <c r="J1721" i="1" s="1"/>
  <c r="H1685" i="1"/>
  <c r="I1685" i="1" s="1"/>
  <c r="J1685" i="1" s="1"/>
  <c r="H1625" i="1"/>
  <c r="I1625" i="1" s="1"/>
  <c r="J1625" i="1" s="1"/>
  <c r="H1577" i="1"/>
  <c r="I1577" i="1" s="1"/>
  <c r="J1577" i="1" s="1"/>
  <c r="H845" i="1"/>
  <c r="I845" i="1" s="1"/>
  <c r="J845" i="1" s="1"/>
  <c r="H533" i="1"/>
  <c r="I533" i="1" s="1"/>
  <c r="J533" i="1" s="1"/>
  <c r="H257" i="1"/>
  <c r="I257" i="1" s="1"/>
  <c r="J257" i="1" s="1"/>
  <c r="H185" i="1"/>
  <c r="I185" i="1" s="1"/>
  <c r="J185" i="1" s="1"/>
  <c r="H77" i="1"/>
  <c r="I77" i="1" s="1"/>
  <c r="J77" i="1" s="1"/>
  <c r="H1425" i="1"/>
  <c r="I1425" i="1" s="1"/>
  <c r="J1425" i="1" s="1"/>
  <c r="H1305" i="1"/>
  <c r="I1305" i="1" s="1"/>
  <c r="J1305" i="1" s="1"/>
  <c r="H1443" i="1"/>
  <c r="I1443" i="1" s="1"/>
  <c r="J1443" i="1" s="1"/>
  <c r="H1712" i="1"/>
  <c r="I1712" i="1" s="1"/>
  <c r="J1712" i="1" s="1"/>
  <c r="H1611" i="1"/>
  <c r="I1611" i="1" s="1"/>
  <c r="J1611" i="1" s="1"/>
  <c r="H1505" i="1"/>
  <c r="I1505" i="1" s="1"/>
  <c r="J1505" i="1" s="1"/>
  <c r="H1232" i="1"/>
  <c r="I1232" i="1" s="1"/>
  <c r="J1232" i="1" s="1"/>
  <c r="H1107" i="1"/>
  <c r="I1107" i="1" s="1"/>
  <c r="J1107" i="1" s="1"/>
  <c r="H1996" i="1"/>
  <c r="I1996" i="1" s="1"/>
  <c r="J1996" i="1" s="1"/>
  <c r="H1984" i="1"/>
  <c r="I1984" i="1" s="1"/>
  <c r="J1984" i="1" s="1"/>
  <c r="I1948" i="1"/>
  <c r="J1948" i="1" s="1"/>
  <c r="H1924" i="1"/>
  <c r="I1924" i="1" s="1"/>
  <c r="J1924" i="1" s="1"/>
  <c r="I1912" i="1"/>
  <c r="J1912" i="1" s="1"/>
  <c r="H1900" i="1"/>
  <c r="I1900" i="1" s="1"/>
  <c r="J1900" i="1" s="1"/>
  <c r="H1888" i="1"/>
  <c r="I1888" i="1" s="1"/>
  <c r="J1888" i="1" s="1"/>
  <c r="H1876" i="1"/>
  <c r="I1876" i="1" s="1"/>
  <c r="J1876" i="1" s="1"/>
  <c r="H1864" i="1"/>
  <c r="I1864" i="1" s="1"/>
  <c r="J1864" i="1" s="1"/>
  <c r="H1840" i="1"/>
  <c r="I1840" i="1" s="1"/>
  <c r="J1840" i="1" s="1"/>
  <c r="H1816" i="1"/>
  <c r="I1816" i="1" s="1"/>
  <c r="J1816" i="1" s="1"/>
  <c r="H1792" i="1"/>
  <c r="I1792" i="1" s="1"/>
  <c r="J1792" i="1" s="1"/>
  <c r="H1780" i="1"/>
  <c r="I1780" i="1" s="1"/>
  <c r="J1780" i="1" s="1"/>
  <c r="H1756" i="1"/>
  <c r="I1756" i="1" s="1"/>
  <c r="J1756" i="1" s="1"/>
  <c r="H1744" i="1"/>
  <c r="I1744" i="1" s="1"/>
  <c r="J1744" i="1" s="1"/>
  <c r="H1720" i="1"/>
  <c r="I1720" i="1" s="1"/>
  <c r="J1720" i="1" s="1"/>
  <c r="H1708" i="1"/>
  <c r="I1708" i="1" s="1"/>
  <c r="J1708" i="1" s="1"/>
  <c r="H1696" i="1"/>
  <c r="I1696" i="1" s="1"/>
  <c r="J1696" i="1" s="1"/>
  <c r="H1684" i="1"/>
  <c r="I1684" i="1" s="1"/>
  <c r="J1684" i="1" s="1"/>
  <c r="H1672" i="1"/>
  <c r="I1672" i="1" s="1"/>
  <c r="J1672" i="1" s="1"/>
  <c r="H1660" i="1"/>
  <c r="I1660" i="1" s="1"/>
  <c r="J1660" i="1" s="1"/>
  <c r="H1636" i="1"/>
  <c r="I1636" i="1" s="1"/>
  <c r="J1636" i="1" s="1"/>
  <c r="H1612" i="1"/>
  <c r="I1612" i="1" s="1"/>
  <c r="J1612" i="1" s="1"/>
  <c r="H1600" i="1"/>
  <c r="I1600" i="1" s="1"/>
  <c r="J1600" i="1" s="1"/>
  <c r="H1576" i="1"/>
  <c r="I1576" i="1" s="1"/>
  <c r="J1576" i="1" s="1"/>
  <c r="H1564" i="1"/>
  <c r="I1564" i="1" s="1"/>
  <c r="J1564" i="1" s="1"/>
  <c r="H1468" i="1"/>
  <c r="I1468" i="1" s="1"/>
  <c r="J1468" i="1" s="1"/>
  <c r="H1456" i="1"/>
  <c r="I1456" i="1" s="1"/>
  <c r="J1456" i="1" s="1"/>
  <c r="H1384" i="1"/>
  <c r="I1384" i="1" s="1"/>
  <c r="J1384" i="1" s="1"/>
  <c r="H1348" i="1"/>
  <c r="I1348" i="1" s="1"/>
  <c r="J1348" i="1" s="1"/>
  <c r="H1312" i="1"/>
  <c r="I1312" i="1" s="1"/>
  <c r="J1312" i="1" s="1"/>
  <c r="H1300" i="1"/>
  <c r="I1300" i="1" s="1"/>
  <c r="J1300" i="1" s="1"/>
  <c r="H1264" i="1"/>
  <c r="I1264" i="1" s="1"/>
  <c r="J1264" i="1" s="1"/>
  <c r="I1228" i="1"/>
  <c r="J1228" i="1" s="1"/>
  <c r="I1096" i="1"/>
  <c r="J1096" i="1" s="1"/>
  <c r="H1072" i="1"/>
  <c r="I1072" i="1" s="1"/>
  <c r="J1072" i="1" s="1"/>
  <c r="H1048" i="1"/>
  <c r="I1048" i="1" s="1"/>
  <c r="J1048" i="1" s="1"/>
  <c r="I1036" i="1"/>
  <c r="J1036" i="1" s="1"/>
  <c r="H988" i="1"/>
  <c r="I988" i="1" s="1"/>
  <c r="J988" i="1" s="1"/>
  <c r="H952" i="1"/>
  <c r="I952" i="1" s="1"/>
  <c r="J952" i="1" s="1"/>
  <c r="H904" i="1"/>
  <c r="I904" i="1" s="1"/>
  <c r="J904" i="1" s="1"/>
  <c r="I892" i="1"/>
  <c r="J892" i="1" s="1"/>
  <c r="I880" i="1"/>
  <c r="J880" i="1" s="1"/>
  <c r="H868" i="1"/>
  <c r="I868" i="1" s="1"/>
  <c r="J868" i="1" s="1"/>
  <c r="H820" i="1"/>
  <c r="I820" i="1" s="1"/>
  <c r="J820" i="1" s="1"/>
  <c r="H808" i="1"/>
  <c r="I808" i="1" s="1"/>
  <c r="J808" i="1" s="1"/>
  <c r="H772" i="1"/>
  <c r="I772" i="1" s="1"/>
  <c r="J772" i="1" s="1"/>
  <c r="H748" i="1"/>
  <c r="I748" i="1" s="1"/>
  <c r="J748" i="1" s="1"/>
  <c r="H724" i="1"/>
  <c r="I724" i="1" s="1"/>
  <c r="J724" i="1" s="1"/>
  <c r="H700" i="1"/>
  <c r="I700" i="1" s="1"/>
  <c r="J700" i="1" s="1"/>
  <c r="H676" i="1"/>
  <c r="I676" i="1" s="1"/>
  <c r="J676" i="1" s="1"/>
  <c r="H652" i="1"/>
  <c r="I652" i="1" s="1"/>
  <c r="J652" i="1" s="1"/>
  <c r="H640" i="1"/>
  <c r="I640" i="1" s="1"/>
  <c r="J640" i="1" s="1"/>
  <c r="H616" i="1"/>
  <c r="I616" i="1" s="1"/>
  <c r="J616" i="1" s="1"/>
  <c r="H604" i="1"/>
  <c r="I604" i="1" s="1"/>
  <c r="J604" i="1" s="1"/>
  <c r="H556" i="1"/>
  <c r="I556" i="1" s="1"/>
  <c r="J556" i="1" s="1"/>
  <c r="H532" i="1"/>
  <c r="I532" i="1" s="1"/>
  <c r="J532" i="1" s="1"/>
  <c r="H496" i="1"/>
  <c r="I496" i="1" s="1"/>
  <c r="J496" i="1" s="1"/>
  <c r="H472" i="1"/>
  <c r="I472" i="1" s="1"/>
  <c r="J472" i="1" s="1"/>
  <c r="H460" i="1"/>
  <c r="I460" i="1" s="1"/>
  <c r="J460" i="1" s="1"/>
  <c r="H412" i="1"/>
  <c r="I412" i="1" s="1"/>
  <c r="J412" i="1" s="1"/>
  <c r="H388" i="1"/>
  <c r="I388" i="1" s="1"/>
  <c r="J388" i="1" s="1"/>
  <c r="H376" i="1"/>
  <c r="I376" i="1" s="1"/>
  <c r="J376" i="1" s="1"/>
  <c r="H340" i="1"/>
  <c r="I340" i="1" s="1"/>
  <c r="J340" i="1" s="1"/>
  <c r="H328" i="1"/>
  <c r="I328" i="1" s="1"/>
  <c r="J328" i="1" s="1"/>
  <c r="H316" i="1"/>
  <c r="I316" i="1" s="1"/>
  <c r="J316" i="1" s="1"/>
  <c r="H304" i="1"/>
  <c r="I304" i="1" s="1"/>
  <c r="J304" i="1" s="1"/>
  <c r="H256" i="1"/>
  <c r="I256" i="1" s="1"/>
  <c r="J256" i="1" s="1"/>
  <c r="H244" i="1"/>
  <c r="I244" i="1" s="1"/>
  <c r="J244" i="1" s="1"/>
  <c r="H220" i="1"/>
  <c r="I220" i="1" s="1"/>
  <c r="J220" i="1" s="1"/>
  <c r="H184" i="1"/>
  <c r="I184" i="1" s="1"/>
  <c r="J184" i="1" s="1"/>
  <c r="H172" i="1"/>
  <c r="I172" i="1" s="1"/>
  <c r="J172" i="1" s="1"/>
  <c r="H148" i="1"/>
  <c r="I148" i="1" s="1"/>
  <c r="J148" i="1" s="1"/>
  <c r="H136" i="1"/>
  <c r="I136" i="1" s="1"/>
  <c r="J136" i="1" s="1"/>
  <c r="H124" i="1"/>
  <c r="I124" i="1" s="1"/>
  <c r="J124" i="1" s="1"/>
  <c r="H100" i="1"/>
  <c r="I100" i="1" s="1"/>
  <c r="J100" i="1" s="1"/>
  <c r="H64" i="1"/>
  <c r="I64" i="1" s="1"/>
  <c r="J64" i="1" s="1"/>
  <c r="H28" i="1"/>
  <c r="I28" i="1" s="1"/>
  <c r="J28" i="1" s="1"/>
  <c r="H16" i="1"/>
  <c r="I16" i="1" s="1"/>
  <c r="J16" i="1" s="1"/>
  <c r="H1972" i="1"/>
  <c r="I1972" i="1" s="1"/>
  <c r="J1972" i="1" s="1"/>
  <c r="H1552" i="1"/>
  <c r="I1552" i="1" s="1"/>
  <c r="J1552" i="1" s="1"/>
  <c r="H844" i="1"/>
  <c r="I844" i="1" s="1"/>
  <c r="J844" i="1" s="1"/>
  <c r="H483" i="1"/>
  <c r="I483" i="1" s="1"/>
  <c r="J483" i="1" s="1"/>
  <c r="H435" i="1"/>
  <c r="I435" i="1" s="1"/>
  <c r="J435" i="1" s="1"/>
  <c r="H399" i="1"/>
  <c r="I399" i="1" s="1"/>
  <c r="J399" i="1" s="1"/>
  <c r="H351" i="1"/>
  <c r="I351" i="1" s="1"/>
  <c r="J351" i="1" s="1"/>
  <c r="H279" i="1"/>
  <c r="I279" i="1" s="1"/>
  <c r="J279" i="1" s="1"/>
  <c r="H207" i="1"/>
  <c r="I207" i="1" s="1"/>
  <c r="J207" i="1" s="1"/>
  <c r="H135" i="1"/>
  <c r="I135" i="1" s="1"/>
  <c r="J135" i="1" s="1"/>
  <c r="H15" i="1"/>
  <c r="I15" i="1" s="1"/>
  <c r="J15" i="1" s="1"/>
  <c r="H1994" i="1"/>
  <c r="I1994" i="1" s="1"/>
  <c r="J1994" i="1" s="1"/>
  <c r="I1982" i="1"/>
  <c r="J1982" i="1" s="1"/>
  <c r="I1970" i="1"/>
  <c r="J1970" i="1" s="1"/>
  <c r="I1946" i="1"/>
  <c r="J1946" i="1" s="1"/>
  <c r="H1934" i="1"/>
  <c r="I1934" i="1" s="1"/>
  <c r="J1934" i="1" s="1"/>
  <c r="I1922" i="1"/>
  <c r="J1922" i="1" s="1"/>
  <c r="I1910" i="1"/>
  <c r="J1910" i="1" s="1"/>
  <c r="H1886" i="1"/>
  <c r="I1886" i="1" s="1"/>
  <c r="J1886" i="1" s="1"/>
  <c r="H1874" i="1"/>
  <c r="I1874" i="1" s="1"/>
  <c r="J1874" i="1" s="1"/>
  <c r="H1862" i="1"/>
  <c r="I1862" i="1" s="1"/>
  <c r="J1862" i="1" s="1"/>
  <c r="I1850" i="1"/>
  <c r="J1850" i="1" s="1"/>
  <c r="I1826" i="1"/>
  <c r="J1826" i="1" s="1"/>
  <c r="H1814" i="1"/>
  <c r="I1814" i="1" s="1"/>
  <c r="J1814" i="1" s="1"/>
  <c r="I1790" i="1"/>
  <c r="J1790" i="1" s="1"/>
  <c r="H1778" i="1"/>
  <c r="I1778" i="1" s="1"/>
  <c r="J1778" i="1" s="1"/>
  <c r="H1766" i="1"/>
  <c r="I1766" i="1" s="1"/>
  <c r="J1766" i="1" s="1"/>
  <c r="H1754" i="1"/>
  <c r="I1754" i="1" s="1"/>
  <c r="J1754" i="1" s="1"/>
  <c r="H1742" i="1"/>
  <c r="I1742" i="1" s="1"/>
  <c r="J1742" i="1" s="1"/>
  <c r="H1730" i="1"/>
  <c r="I1730" i="1" s="1"/>
  <c r="J1730" i="1" s="1"/>
  <c r="H1706" i="1"/>
  <c r="I1706" i="1" s="1"/>
  <c r="J1706" i="1" s="1"/>
  <c r="I1694" i="1"/>
  <c r="J1694" i="1" s="1"/>
  <c r="H1670" i="1"/>
  <c r="I1670" i="1" s="1"/>
  <c r="J1670" i="1" s="1"/>
  <c r="I1658" i="1"/>
  <c r="J1658" i="1" s="1"/>
  <c r="H1646" i="1"/>
  <c r="I1646" i="1" s="1"/>
  <c r="J1646" i="1" s="1"/>
  <c r="H1622" i="1"/>
  <c r="I1622" i="1" s="1"/>
  <c r="J1622" i="1" s="1"/>
  <c r="I1610" i="1"/>
  <c r="J1610" i="1" s="1"/>
  <c r="H1598" i="1"/>
  <c r="I1598" i="1" s="1"/>
  <c r="J1598" i="1" s="1"/>
  <c r="H1574" i="1"/>
  <c r="I1574" i="1" s="1"/>
  <c r="J1574" i="1" s="1"/>
  <c r="H1550" i="1"/>
  <c r="I1550" i="1" s="1"/>
  <c r="J1550" i="1" s="1"/>
  <c r="H1538" i="1"/>
  <c r="I1538" i="1" s="1"/>
  <c r="J1538" i="1" s="1"/>
  <c r="I1526" i="1"/>
  <c r="J1526" i="1" s="1"/>
  <c r="H1514" i="1"/>
  <c r="I1514" i="1" s="1"/>
  <c r="J1514" i="1" s="1"/>
  <c r="H1502" i="1"/>
  <c r="I1502" i="1" s="1"/>
  <c r="J1502" i="1" s="1"/>
  <c r="H1490" i="1"/>
  <c r="I1490" i="1" s="1"/>
  <c r="J1490" i="1" s="1"/>
  <c r="H1478" i="1"/>
  <c r="I1478" i="1" s="1"/>
  <c r="J1478" i="1" s="1"/>
  <c r="I1466" i="1"/>
  <c r="J1466" i="1" s="1"/>
  <c r="H1454" i="1"/>
  <c r="I1454" i="1" s="1"/>
  <c r="J1454" i="1" s="1"/>
  <c r="H1430" i="1"/>
  <c r="I1430" i="1" s="1"/>
  <c r="J1430" i="1" s="1"/>
  <c r="I1418" i="1"/>
  <c r="J1418" i="1" s="1"/>
  <c r="H1406" i="1"/>
  <c r="I1406" i="1" s="1"/>
  <c r="J1406" i="1" s="1"/>
  <c r="H1394" i="1"/>
  <c r="I1394" i="1" s="1"/>
  <c r="J1394" i="1" s="1"/>
  <c r="H1382" i="1"/>
  <c r="I1382" i="1" s="1"/>
  <c r="J1382" i="1" s="1"/>
  <c r="I1370" i="1"/>
  <c r="J1370" i="1" s="1"/>
  <c r="H1358" i="1"/>
  <c r="I1358" i="1" s="1"/>
  <c r="J1358" i="1" s="1"/>
  <c r="H1346" i="1"/>
  <c r="I1346" i="1" s="1"/>
  <c r="J1346" i="1" s="1"/>
  <c r="H1334" i="1"/>
  <c r="I1334" i="1" s="1"/>
  <c r="J1334" i="1" s="1"/>
  <c r="H1322" i="1"/>
  <c r="I1322" i="1" s="1"/>
  <c r="J1322" i="1" s="1"/>
  <c r="H1310" i="1"/>
  <c r="I1310" i="1" s="1"/>
  <c r="J1310" i="1" s="1"/>
  <c r="H1298" i="1"/>
  <c r="I1298" i="1" s="1"/>
  <c r="J1298" i="1" s="1"/>
  <c r="I1286" i="1"/>
  <c r="J1286" i="1" s="1"/>
  <c r="H1274" i="1"/>
  <c r="I1274" i="1" s="1"/>
  <c r="J1274" i="1" s="1"/>
  <c r="H1262" i="1"/>
  <c r="I1262" i="1" s="1"/>
  <c r="J1262" i="1" s="1"/>
  <c r="H1250" i="1"/>
  <c r="I1250" i="1" s="1"/>
  <c r="J1250" i="1" s="1"/>
  <c r="H1238" i="1"/>
  <c r="I1238" i="1" s="1"/>
  <c r="J1238" i="1" s="1"/>
  <c r="H1226" i="1"/>
  <c r="I1226" i="1" s="1"/>
  <c r="J1226" i="1" s="1"/>
  <c r="H1214" i="1"/>
  <c r="I1214" i="1" s="1"/>
  <c r="J1214" i="1" s="1"/>
  <c r="H1190" i="1"/>
  <c r="I1190" i="1" s="1"/>
  <c r="J1190" i="1" s="1"/>
  <c r="I1178" i="1"/>
  <c r="J1178" i="1" s="1"/>
  <c r="H1166" i="1"/>
  <c r="I1166" i="1" s="1"/>
  <c r="J1166" i="1" s="1"/>
  <c r="H1154" i="1"/>
  <c r="I1154" i="1" s="1"/>
  <c r="J1154" i="1" s="1"/>
  <c r="H1142" i="1"/>
  <c r="I1142" i="1" s="1"/>
  <c r="J1142" i="1" s="1"/>
  <c r="H1130" i="1"/>
  <c r="I1130" i="1" s="1"/>
  <c r="J1130" i="1" s="1"/>
  <c r="H1118" i="1"/>
  <c r="I1118" i="1" s="1"/>
  <c r="J1118" i="1" s="1"/>
  <c r="H1106" i="1"/>
  <c r="I1106" i="1" s="1"/>
  <c r="J1106" i="1" s="1"/>
  <c r="I1094" i="1"/>
  <c r="J1094" i="1" s="1"/>
  <c r="H1082" i="1"/>
  <c r="I1082" i="1" s="1"/>
  <c r="J1082" i="1" s="1"/>
  <c r="H1070" i="1"/>
  <c r="I1070" i="1" s="1"/>
  <c r="J1070" i="1" s="1"/>
  <c r="H1058" i="1"/>
  <c r="I1058" i="1" s="1"/>
  <c r="J1058" i="1" s="1"/>
  <c r="H1034" i="1"/>
  <c r="I1034" i="1" s="1"/>
  <c r="J1034" i="1" s="1"/>
  <c r="H1022" i="1"/>
  <c r="I1022" i="1" s="1"/>
  <c r="J1022" i="1" s="1"/>
  <c r="H1010" i="1"/>
  <c r="I1010" i="1" s="1"/>
  <c r="J1010" i="1" s="1"/>
  <c r="H998" i="1"/>
  <c r="I998" i="1" s="1"/>
  <c r="J998" i="1" s="1"/>
  <c r="H986" i="1"/>
  <c r="I986" i="1" s="1"/>
  <c r="J986" i="1" s="1"/>
  <c r="H974" i="1"/>
  <c r="I974" i="1" s="1"/>
  <c r="J974" i="1" s="1"/>
  <c r="I962" i="1"/>
  <c r="J962" i="1" s="1"/>
  <c r="H950" i="1"/>
  <c r="I950" i="1" s="1"/>
  <c r="J950" i="1" s="1"/>
  <c r="H938" i="1"/>
  <c r="I938" i="1" s="1"/>
  <c r="J938" i="1" s="1"/>
  <c r="H926" i="1"/>
  <c r="I926" i="1" s="1"/>
  <c r="J926" i="1" s="1"/>
  <c r="H914" i="1"/>
  <c r="I914" i="1" s="1"/>
  <c r="J914" i="1" s="1"/>
  <c r="H902" i="1"/>
  <c r="I902" i="1" s="1"/>
  <c r="J902" i="1" s="1"/>
  <c r="H890" i="1"/>
  <c r="I890" i="1" s="1"/>
  <c r="J890" i="1" s="1"/>
  <c r="H878" i="1"/>
  <c r="I878" i="1" s="1"/>
  <c r="J878" i="1" s="1"/>
  <c r="H866" i="1"/>
  <c r="I866" i="1" s="1"/>
  <c r="J866" i="1" s="1"/>
  <c r="H854" i="1"/>
  <c r="I854" i="1" s="1"/>
  <c r="J854" i="1" s="1"/>
  <c r="H842" i="1"/>
  <c r="I842" i="1" s="1"/>
  <c r="J842" i="1" s="1"/>
  <c r="H830" i="1"/>
  <c r="I830" i="1" s="1"/>
  <c r="J830" i="1" s="1"/>
  <c r="H818" i="1"/>
  <c r="I818" i="1" s="1"/>
  <c r="J818" i="1" s="1"/>
  <c r="H806" i="1"/>
  <c r="I806" i="1" s="1"/>
  <c r="J806" i="1" s="1"/>
  <c r="H794" i="1"/>
  <c r="I794" i="1" s="1"/>
  <c r="J794" i="1" s="1"/>
  <c r="I782" i="1"/>
  <c r="J782" i="1" s="1"/>
  <c r="I770" i="1"/>
  <c r="J770" i="1" s="1"/>
  <c r="H746" i="1"/>
  <c r="I746" i="1" s="1"/>
  <c r="J746" i="1" s="1"/>
  <c r="H734" i="1"/>
  <c r="I734" i="1" s="1"/>
  <c r="J734" i="1" s="1"/>
  <c r="H722" i="1"/>
  <c r="I722" i="1" s="1"/>
  <c r="J722" i="1" s="1"/>
  <c r="H710" i="1"/>
  <c r="I710" i="1" s="1"/>
  <c r="J710" i="1" s="1"/>
  <c r="I698" i="1"/>
  <c r="J698" i="1" s="1"/>
  <c r="H686" i="1"/>
  <c r="I686" i="1" s="1"/>
  <c r="J686" i="1" s="1"/>
  <c r="H662" i="1"/>
  <c r="I662" i="1" s="1"/>
  <c r="J662" i="1" s="1"/>
  <c r="I650" i="1"/>
  <c r="J650" i="1" s="1"/>
  <c r="H638" i="1"/>
  <c r="I638" i="1" s="1"/>
  <c r="J638" i="1" s="1"/>
  <c r="H626" i="1"/>
  <c r="I626" i="1" s="1"/>
  <c r="J626" i="1" s="1"/>
  <c r="H614" i="1"/>
  <c r="I614" i="1" s="1"/>
  <c r="J614" i="1" s="1"/>
  <c r="H602" i="1"/>
  <c r="I602" i="1" s="1"/>
  <c r="J602" i="1" s="1"/>
  <c r="H590" i="1"/>
  <c r="I590" i="1" s="1"/>
  <c r="J590" i="1" s="1"/>
  <c r="H578" i="1"/>
  <c r="I578" i="1" s="1"/>
  <c r="J578" i="1" s="1"/>
  <c r="H566" i="1"/>
  <c r="I566" i="1" s="1"/>
  <c r="J566" i="1" s="1"/>
  <c r="H554" i="1"/>
  <c r="I554" i="1" s="1"/>
  <c r="J554" i="1" s="1"/>
  <c r="H542" i="1"/>
  <c r="I542" i="1" s="1"/>
  <c r="J542" i="1" s="1"/>
  <c r="H530" i="1"/>
  <c r="I530" i="1" s="1"/>
  <c r="J530" i="1" s="1"/>
  <c r="H518" i="1"/>
  <c r="I518" i="1" s="1"/>
  <c r="J518" i="1" s="1"/>
  <c r="H506" i="1"/>
  <c r="I506" i="1" s="1"/>
  <c r="J506" i="1" s="1"/>
  <c r="H494" i="1"/>
  <c r="I494" i="1" s="1"/>
  <c r="J494" i="1" s="1"/>
  <c r="H482" i="1"/>
  <c r="I482" i="1" s="1"/>
  <c r="J482" i="1" s="1"/>
  <c r="H470" i="1"/>
  <c r="I470" i="1" s="1"/>
  <c r="J470" i="1" s="1"/>
  <c r="H458" i="1"/>
  <c r="I458" i="1" s="1"/>
  <c r="J458" i="1" s="1"/>
  <c r="H446" i="1"/>
  <c r="I446" i="1" s="1"/>
  <c r="J446" i="1" s="1"/>
  <c r="H434" i="1"/>
  <c r="I434" i="1" s="1"/>
  <c r="J434" i="1" s="1"/>
  <c r="H422" i="1"/>
  <c r="I422" i="1" s="1"/>
  <c r="J422" i="1" s="1"/>
  <c r="H410" i="1"/>
  <c r="I410" i="1" s="1"/>
  <c r="J410" i="1" s="1"/>
  <c r="H398" i="1"/>
  <c r="I398" i="1" s="1"/>
  <c r="J398" i="1" s="1"/>
  <c r="H386" i="1"/>
  <c r="I386" i="1" s="1"/>
  <c r="J386" i="1" s="1"/>
  <c r="H350" i="1"/>
  <c r="I350" i="1" s="1"/>
  <c r="J350" i="1" s="1"/>
  <c r="H338" i="1"/>
  <c r="I338" i="1" s="1"/>
  <c r="J338" i="1" s="1"/>
  <c r="H326" i="1"/>
  <c r="I326" i="1" s="1"/>
  <c r="J326" i="1" s="1"/>
  <c r="H314" i="1"/>
  <c r="I314" i="1" s="1"/>
  <c r="J314" i="1" s="1"/>
  <c r="I302" i="1"/>
  <c r="J302" i="1" s="1"/>
  <c r="H290" i="1"/>
  <c r="I290" i="1" s="1"/>
  <c r="J290" i="1" s="1"/>
  <c r="H278" i="1"/>
  <c r="I278" i="1" s="1"/>
  <c r="J278" i="1" s="1"/>
  <c r="H266" i="1"/>
  <c r="I266" i="1" s="1"/>
  <c r="J266" i="1" s="1"/>
  <c r="H254" i="1"/>
  <c r="I254" i="1" s="1"/>
  <c r="J254" i="1" s="1"/>
  <c r="H242" i="1"/>
  <c r="I242" i="1" s="1"/>
  <c r="J242" i="1" s="1"/>
  <c r="H230" i="1"/>
  <c r="I230" i="1" s="1"/>
  <c r="J230" i="1" s="1"/>
  <c r="H218" i="1"/>
  <c r="I218" i="1" s="1"/>
  <c r="J218" i="1" s="1"/>
  <c r="H194" i="1"/>
  <c r="I194" i="1" s="1"/>
  <c r="J194" i="1" s="1"/>
  <c r="H182" i="1"/>
  <c r="I182" i="1" s="1"/>
  <c r="J182" i="1" s="1"/>
  <c r="H170" i="1"/>
  <c r="I170" i="1" s="1"/>
  <c r="J170" i="1" s="1"/>
  <c r="H158" i="1"/>
  <c r="I158" i="1" s="1"/>
  <c r="J158" i="1" s="1"/>
  <c r="H134" i="1"/>
  <c r="I134" i="1" s="1"/>
  <c r="J134" i="1" s="1"/>
  <c r="H122" i="1"/>
  <c r="I122" i="1" s="1"/>
  <c r="J122" i="1" s="1"/>
  <c r="H110" i="1"/>
  <c r="I110" i="1" s="1"/>
  <c r="J110" i="1" s="1"/>
  <c r="H98" i="1"/>
  <c r="I98" i="1" s="1"/>
  <c r="J98" i="1" s="1"/>
  <c r="H86" i="1"/>
  <c r="I86" i="1" s="1"/>
  <c r="J86" i="1" s="1"/>
  <c r="H74" i="1"/>
  <c r="I74" i="1" s="1"/>
  <c r="J74" i="1" s="1"/>
  <c r="H50" i="1"/>
  <c r="I50" i="1" s="1"/>
  <c r="J50" i="1" s="1"/>
  <c r="H38" i="1"/>
  <c r="I38" i="1" s="1"/>
  <c r="J38" i="1" s="1"/>
  <c r="H26" i="1"/>
  <c r="I26" i="1" s="1"/>
  <c r="J26" i="1" s="1"/>
  <c r="H14" i="1"/>
  <c r="I14" i="1" s="1"/>
  <c r="J14" i="1" s="1"/>
  <c r="H1396" i="1"/>
  <c r="I1396" i="1" s="1"/>
  <c r="J1396" i="1" s="1"/>
  <c r="H1144" i="1"/>
  <c r="I1144" i="1" s="1"/>
  <c r="J1144" i="1" s="1"/>
  <c r="H928" i="1"/>
  <c r="I928" i="1" s="1"/>
  <c r="J928" i="1" s="1"/>
  <c r="H374" i="1"/>
  <c r="I374" i="1" s="1"/>
  <c r="J374" i="1" s="1"/>
  <c r="H423" i="1"/>
  <c r="I423" i="1" s="1"/>
  <c r="J423" i="1" s="1"/>
  <c r="H291" i="1"/>
  <c r="I291" i="1" s="1"/>
  <c r="J291" i="1" s="1"/>
  <c r="H243" i="1"/>
  <c r="I243" i="1" s="1"/>
  <c r="J243" i="1" s="1"/>
  <c r="H219" i="1"/>
  <c r="I219" i="1" s="1"/>
  <c r="J219" i="1" s="1"/>
  <c r="H159" i="1"/>
  <c r="I159" i="1" s="1"/>
  <c r="J159" i="1" s="1"/>
  <c r="H99" i="1"/>
  <c r="I99" i="1" s="1"/>
  <c r="J99" i="1" s="1"/>
  <c r="H39" i="1"/>
  <c r="I39" i="1" s="1"/>
  <c r="J39" i="1" s="1"/>
  <c r="H1993" i="1"/>
  <c r="I1993" i="1" s="1"/>
  <c r="J1993" i="1" s="1"/>
  <c r="H1981" i="1"/>
  <c r="I1981" i="1" s="1"/>
  <c r="J1981" i="1" s="1"/>
  <c r="I1969" i="1"/>
  <c r="J1969" i="1" s="1"/>
  <c r="H1957" i="1"/>
  <c r="I1957" i="1" s="1"/>
  <c r="J1957" i="1" s="1"/>
  <c r="H1945" i="1"/>
  <c r="I1945" i="1" s="1"/>
  <c r="J1945" i="1" s="1"/>
  <c r="I1921" i="1"/>
  <c r="J1921" i="1" s="1"/>
  <c r="I1909" i="1"/>
  <c r="J1909" i="1" s="1"/>
  <c r="H1897" i="1"/>
  <c r="I1897" i="1" s="1"/>
  <c r="J1897" i="1" s="1"/>
  <c r="I1885" i="1"/>
  <c r="J1885" i="1" s="1"/>
  <c r="H1873" i="1"/>
  <c r="I1873" i="1" s="1"/>
  <c r="J1873" i="1" s="1"/>
  <c r="H1861" i="1"/>
  <c r="I1861" i="1" s="1"/>
  <c r="J1861" i="1" s="1"/>
  <c r="I1849" i="1"/>
  <c r="J1849" i="1" s="1"/>
  <c r="I1825" i="1"/>
  <c r="J1825" i="1" s="1"/>
  <c r="H1813" i="1"/>
  <c r="I1813" i="1" s="1"/>
  <c r="J1813" i="1" s="1"/>
  <c r="I1789" i="1"/>
  <c r="J1789" i="1" s="1"/>
  <c r="H1777" i="1"/>
  <c r="I1777" i="1" s="1"/>
  <c r="J1777" i="1" s="1"/>
  <c r="H1765" i="1"/>
  <c r="I1765" i="1" s="1"/>
  <c r="J1765" i="1" s="1"/>
  <c r="I1753" i="1"/>
  <c r="J1753" i="1" s="1"/>
  <c r="H1741" i="1"/>
  <c r="I1741" i="1" s="1"/>
  <c r="J1741" i="1" s="1"/>
  <c r="H1729" i="1"/>
  <c r="I1729" i="1" s="1"/>
  <c r="J1729" i="1" s="1"/>
  <c r="H1705" i="1"/>
  <c r="I1705" i="1" s="1"/>
  <c r="J1705" i="1" s="1"/>
  <c r="H1693" i="1"/>
  <c r="I1693" i="1" s="1"/>
  <c r="J1693" i="1" s="1"/>
  <c r="H1681" i="1"/>
  <c r="I1681" i="1" s="1"/>
  <c r="J1681" i="1" s="1"/>
  <c r="H1669" i="1"/>
  <c r="I1669" i="1" s="1"/>
  <c r="J1669" i="1" s="1"/>
  <c r="I1657" i="1"/>
  <c r="J1657" i="1" s="1"/>
  <c r="H1645" i="1"/>
  <c r="I1645" i="1" s="1"/>
  <c r="J1645" i="1" s="1"/>
  <c r="H1621" i="1"/>
  <c r="I1621" i="1" s="1"/>
  <c r="J1621" i="1" s="1"/>
  <c r="H1609" i="1"/>
  <c r="I1609" i="1" s="1"/>
  <c r="J1609" i="1" s="1"/>
  <c r="H1597" i="1"/>
  <c r="I1597" i="1" s="1"/>
  <c r="J1597" i="1" s="1"/>
  <c r="H1585" i="1"/>
  <c r="I1585" i="1" s="1"/>
  <c r="J1585" i="1" s="1"/>
  <c r="H1573" i="1"/>
  <c r="I1573" i="1" s="1"/>
  <c r="J1573" i="1" s="1"/>
  <c r="H1561" i="1"/>
  <c r="I1561" i="1" s="1"/>
  <c r="J1561" i="1" s="1"/>
  <c r="H1549" i="1"/>
  <c r="I1549" i="1" s="1"/>
  <c r="J1549" i="1" s="1"/>
  <c r="H1537" i="1"/>
  <c r="I1537" i="1" s="1"/>
  <c r="J1537" i="1" s="1"/>
  <c r="H1525" i="1"/>
  <c r="I1525" i="1" s="1"/>
  <c r="J1525" i="1" s="1"/>
  <c r="H1513" i="1"/>
  <c r="I1513" i="1" s="1"/>
  <c r="J1513" i="1" s="1"/>
  <c r="H1501" i="1"/>
  <c r="I1501" i="1" s="1"/>
  <c r="J1501" i="1" s="1"/>
  <c r="H1477" i="1"/>
  <c r="I1477" i="1" s="1"/>
  <c r="J1477" i="1" s="1"/>
  <c r="I1465" i="1"/>
  <c r="J1465" i="1" s="1"/>
  <c r="H1453" i="1"/>
  <c r="I1453" i="1" s="1"/>
  <c r="J1453" i="1" s="1"/>
  <c r="H1429" i="1"/>
  <c r="I1429" i="1" s="1"/>
  <c r="J1429" i="1" s="1"/>
  <c r="H1417" i="1"/>
  <c r="I1417" i="1" s="1"/>
  <c r="J1417" i="1" s="1"/>
  <c r="H1405" i="1"/>
  <c r="I1405" i="1" s="1"/>
  <c r="J1405" i="1" s="1"/>
  <c r="H1381" i="1"/>
  <c r="I1381" i="1" s="1"/>
  <c r="J1381" i="1" s="1"/>
  <c r="I1369" i="1"/>
  <c r="J1369" i="1" s="1"/>
  <c r="H1357" i="1"/>
  <c r="I1357" i="1" s="1"/>
  <c r="J1357" i="1" s="1"/>
  <c r="H1345" i="1"/>
  <c r="I1345" i="1" s="1"/>
  <c r="J1345" i="1" s="1"/>
  <c r="H1333" i="1"/>
  <c r="I1333" i="1" s="1"/>
  <c r="J1333" i="1" s="1"/>
  <c r="I1309" i="1"/>
  <c r="J1309" i="1" s="1"/>
  <c r="H1297" i="1"/>
  <c r="I1297" i="1" s="1"/>
  <c r="J1297" i="1" s="1"/>
  <c r="H1285" i="1"/>
  <c r="I1285" i="1" s="1"/>
  <c r="J1285" i="1" s="1"/>
  <c r="H1273" i="1"/>
  <c r="I1273" i="1" s="1"/>
  <c r="J1273" i="1" s="1"/>
  <c r="H1261" i="1"/>
  <c r="I1261" i="1" s="1"/>
  <c r="J1261" i="1" s="1"/>
  <c r="H1249" i="1"/>
  <c r="I1249" i="1" s="1"/>
  <c r="J1249" i="1" s="1"/>
  <c r="I1237" i="1"/>
  <c r="J1237" i="1" s="1"/>
  <c r="I1225" i="1"/>
  <c r="J1225" i="1" s="1"/>
  <c r="H1213" i="1"/>
  <c r="I1213" i="1" s="1"/>
  <c r="J1213" i="1" s="1"/>
  <c r="H1201" i="1"/>
  <c r="I1201" i="1" s="1"/>
  <c r="J1201" i="1" s="1"/>
  <c r="H1189" i="1"/>
  <c r="I1189" i="1" s="1"/>
  <c r="J1189" i="1" s="1"/>
  <c r="H1177" i="1"/>
  <c r="I1177" i="1" s="1"/>
  <c r="J1177" i="1" s="1"/>
  <c r="H1165" i="1"/>
  <c r="I1165" i="1" s="1"/>
  <c r="J1165" i="1" s="1"/>
  <c r="H1153" i="1"/>
  <c r="I1153" i="1" s="1"/>
  <c r="J1153" i="1" s="1"/>
  <c r="H1129" i="1"/>
  <c r="I1129" i="1" s="1"/>
  <c r="J1129" i="1" s="1"/>
  <c r="H1117" i="1"/>
  <c r="I1117" i="1" s="1"/>
  <c r="J1117" i="1" s="1"/>
  <c r="H1105" i="1"/>
  <c r="I1105" i="1" s="1"/>
  <c r="J1105" i="1" s="1"/>
  <c r="H1093" i="1"/>
  <c r="I1093" i="1" s="1"/>
  <c r="J1093" i="1" s="1"/>
  <c r="H1081" i="1"/>
  <c r="I1081" i="1" s="1"/>
  <c r="J1081" i="1" s="1"/>
  <c r="H1069" i="1"/>
  <c r="I1069" i="1" s="1"/>
  <c r="J1069" i="1" s="1"/>
  <c r="H1057" i="1"/>
  <c r="I1057" i="1" s="1"/>
  <c r="J1057" i="1" s="1"/>
  <c r="H1045" i="1"/>
  <c r="I1045" i="1" s="1"/>
  <c r="J1045" i="1" s="1"/>
  <c r="H1033" i="1"/>
  <c r="I1033" i="1" s="1"/>
  <c r="J1033" i="1" s="1"/>
  <c r="I1021" i="1"/>
  <c r="J1021" i="1" s="1"/>
  <c r="H997" i="1"/>
  <c r="I997" i="1" s="1"/>
  <c r="J997" i="1" s="1"/>
  <c r="H985" i="1"/>
  <c r="I985" i="1" s="1"/>
  <c r="J985" i="1" s="1"/>
  <c r="H973" i="1"/>
  <c r="I973" i="1" s="1"/>
  <c r="J973" i="1" s="1"/>
  <c r="H961" i="1"/>
  <c r="I961" i="1" s="1"/>
  <c r="J961" i="1" s="1"/>
  <c r="I949" i="1"/>
  <c r="J949" i="1" s="1"/>
  <c r="H937" i="1"/>
  <c r="I937" i="1" s="1"/>
  <c r="J937" i="1" s="1"/>
  <c r="H925" i="1"/>
  <c r="I925" i="1" s="1"/>
  <c r="J925" i="1" s="1"/>
  <c r="H913" i="1"/>
  <c r="I913" i="1" s="1"/>
  <c r="J913" i="1" s="1"/>
  <c r="H901" i="1"/>
  <c r="I901" i="1" s="1"/>
  <c r="J901" i="1" s="1"/>
  <c r="H889" i="1"/>
  <c r="I889" i="1" s="1"/>
  <c r="J889" i="1" s="1"/>
  <c r="H877" i="1"/>
  <c r="I877" i="1" s="1"/>
  <c r="J877" i="1" s="1"/>
  <c r="H865" i="1"/>
  <c r="I865" i="1" s="1"/>
  <c r="J865" i="1" s="1"/>
  <c r="H853" i="1"/>
  <c r="I853" i="1" s="1"/>
  <c r="J853" i="1" s="1"/>
  <c r="H841" i="1"/>
  <c r="I841" i="1" s="1"/>
  <c r="J841" i="1" s="1"/>
  <c r="H817" i="1"/>
  <c r="I817" i="1" s="1"/>
  <c r="J817" i="1" s="1"/>
  <c r="H793" i="1"/>
  <c r="I793" i="1" s="1"/>
  <c r="J793" i="1" s="1"/>
  <c r="I781" i="1"/>
  <c r="J781" i="1" s="1"/>
  <c r="H769" i="1"/>
  <c r="I769" i="1" s="1"/>
  <c r="J769" i="1" s="1"/>
  <c r="H757" i="1"/>
  <c r="I757" i="1" s="1"/>
  <c r="J757" i="1" s="1"/>
  <c r="H745" i="1"/>
  <c r="I745" i="1" s="1"/>
  <c r="J745" i="1" s="1"/>
  <c r="H733" i="1"/>
  <c r="I733" i="1" s="1"/>
  <c r="J733" i="1" s="1"/>
  <c r="H721" i="1"/>
  <c r="I721" i="1" s="1"/>
  <c r="J721" i="1" s="1"/>
  <c r="H709" i="1"/>
  <c r="I709" i="1" s="1"/>
  <c r="J709" i="1" s="1"/>
  <c r="H697" i="1"/>
  <c r="I697" i="1" s="1"/>
  <c r="J697" i="1" s="1"/>
  <c r="H685" i="1"/>
  <c r="I685" i="1" s="1"/>
  <c r="J685" i="1" s="1"/>
  <c r="H673" i="1"/>
  <c r="I673" i="1" s="1"/>
  <c r="J673" i="1" s="1"/>
  <c r="I661" i="1"/>
  <c r="J661" i="1" s="1"/>
  <c r="H649" i="1"/>
  <c r="I649" i="1" s="1"/>
  <c r="J649" i="1" s="1"/>
  <c r="H637" i="1"/>
  <c r="I637" i="1" s="1"/>
  <c r="J637" i="1" s="1"/>
  <c r="H625" i="1"/>
  <c r="I625" i="1" s="1"/>
  <c r="J625" i="1" s="1"/>
  <c r="H613" i="1"/>
  <c r="I613" i="1" s="1"/>
  <c r="J613" i="1" s="1"/>
  <c r="H589" i="1"/>
  <c r="I589" i="1" s="1"/>
  <c r="J589" i="1" s="1"/>
  <c r="H577" i="1"/>
  <c r="I577" i="1" s="1"/>
  <c r="J577" i="1" s="1"/>
  <c r="H565" i="1"/>
  <c r="I565" i="1" s="1"/>
  <c r="J565" i="1" s="1"/>
  <c r="H553" i="1"/>
  <c r="I553" i="1" s="1"/>
  <c r="J553" i="1" s="1"/>
  <c r="I541" i="1"/>
  <c r="J541" i="1" s="1"/>
  <c r="H529" i="1"/>
  <c r="I529" i="1" s="1"/>
  <c r="J529" i="1" s="1"/>
  <c r="H517" i="1"/>
  <c r="I517" i="1" s="1"/>
  <c r="J517" i="1" s="1"/>
  <c r="H505" i="1"/>
  <c r="I505" i="1" s="1"/>
  <c r="J505" i="1" s="1"/>
  <c r="H493" i="1"/>
  <c r="I493" i="1" s="1"/>
  <c r="J493" i="1" s="1"/>
  <c r="H481" i="1"/>
  <c r="I481" i="1" s="1"/>
  <c r="J481" i="1" s="1"/>
  <c r="H469" i="1"/>
  <c r="I469" i="1" s="1"/>
  <c r="J469" i="1" s="1"/>
  <c r="H457" i="1"/>
  <c r="I457" i="1" s="1"/>
  <c r="J457" i="1" s="1"/>
  <c r="H445" i="1"/>
  <c r="I445" i="1" s="1"/>
  <c r="J445" i="1" s="1"/>
  <c r="H433" i="1"/>
  <c r="I433" i="1" s="1"/>
  <c r="J433" i="1" s="1"/>
  <c r="H421" i="1"/>
  <c r="I421" i="1" s="1"/>
  <c r="J421" i="1" s="1"/>
  <c r="H409" i="1"/>
  <c r="I409" i="1" s="1"/>
  <c r="J409" i="1" s="1"/>
  <c r="H397" i="1"/>
  <c r="I397" i="1" s="1"/>
  <c r="J397" i="1" s="1"/>
  <c r="I385" i="1"/>
  <c r="J385" i="1" s="1"/>
  <c r="H361" i="1"/>
  <c r="I361" i="1" s="1"/>
  <c r="J361" i="1" s="1"/>
  <c r="H349" i="1"/>
  <c r="I349" i="1" s="1"/>
  <c r="J349" i="1" s="1"/>
  <c r="H337" i="1"/>
  <c r="I337" i="1" s="1"/>
  <c r="J337" i="1" s="1"/>
  <c r="H325" i="1"/>
  <c r="I325" i="1" s="1"/>
  <c r="J325" i="1" s="1"/>
  <c r="H313" i="1"/>
  <c r="I313" i="1" s="1"/>
  <c r="J313" i="1" s="1"/>
  <c r="I301" i="1"/>
  <c r="J301" i="1" s="1"/>
  <c r="H289" i="1"/>
  <c r="I289" i="1" s="1"/>
  <c r="J289" i="1" s="1"/>
  <c r="H277" i="1"/>
  <c r="I277" i="1" s="1"/>
  <c r="J277" i="1" s="1"/>
  <c r="I265" i="1"/>
  <c r="J265" i="1" s="1"/>
  <c r="H253" i="1"/>
  <c r="I253" i="1" s="1"/>
  <c r="J253" i="1" s="1"/>
  <c r="H241" i="1"/>
  <c r="I241" i="1" s="1"/>
  <c r="J241" i="1" s="1"/>
  <c r="H229" i="1"/>
  <c r="I229" i="1" s="1"/>
  <c r="J229" i="1" s="1"/>
  <c r="H217" i="1"/>
  <c r="I217" i="1" s="1"/>
  <c r="J217" i="1" s="1"/>
  <c r="H193" i="1"/>
  <c r="I193" i="1" s="1"/>
  <c r="J193" i="1" s="1"/>
  <c r="H181" i="1"/>
  <c r="I181" i="1" s="1"/>
  <c r="J181" i="1" s="1"/>
  <c r="H169" i="1"/>
  <c r="I169" i="1" s="1"/>
  <c r="J169" i="1" s="1"/>
  <c r="I157" i="1"/>
  <c r="J157" i="1" s="1"/>
  <c r="H145" i="1"/>
  <c r="I145" i="1" s="1"/>
  <c r="J145" i="1" s="1"/>
  <c r="H133" i="1"/>
  <c r="I133" i="1" s="1"/>
  <c r="J133" i="1" s="1"/>
  <c r="H121" i="1"/>
  <c r="I121" i="1" s="1"/>
  <c r="J121" i="1" s="1"/>
  <c r="H109" i="1"/>
  <c r="I109" i="1" s="1"/>
  <c r="J109" i="1" s="1"/>
  <c r="H85" i="1"/>
  <c r="I85" i="1" s="1"/>
  <c r="J85" i="1" s="1"/>
  <c r="H73" i="1"/>
  <c r="I73" i="1" s="1"/>
  <c r="J73" i="1" s="1"/>
  <c r="H49" i="1"/>
  <c r="I49" i="1" s="1"/>
  <c r="J49" i="1" s="1"/>
  <c r="H37" i="1"/>
  <c r="I37" i="1" s="1"/>
  <c r="J37" i="1" s="1"/>
  <c r="H25" i="1"/>
  <c r="I25" i="1" s="1"/>
  <c r="J25" i="1" s="1"/>
  <c r="H13" i="1"/>
  <c r="I13" i="1" s="1"/>
  <c r="J13" i="1" s="1"/>
  <c r="H1933" i="1"/>
  <c r="I1933" i="1" s="1"/>
  <c r="J1933" i="1" s="1"/>
  <c r="H1718" i="1"/>
  <c r="I1718" i="1" s="1"/>
  <c r="J1718" i="1" s="1"/>
  <c r="H1682" i="1"/>
  <c r="I1682" i="1" s="1"/>
  <c r="J1682" i="1" s="1"/>
  <c r="H1634" i="1"/>
  <c r="I1634" i="1" s="1"/>
  <c r="J1634" i="1" s="1"/>
  <c r="H1442" i="1"/>
  <c r="I1442" i="1" s="1"/>
  <c r="J1442" i="1" s="1"/>
  <c r="H1321" i="1"/>
  <c r="I1321" i="1" s="1"/>
  <c r="J1321" i="1" s="1"/>
  <c r="H1009" i="1"/>
  <c r="I1009" i="1" s="1"/>
  <c r="J1009" i="1" s="1"/>
  <c r="H373" i="1"/>
  <c r="I373" i="1" s="1"/>
  <c r="J373" i="1" s="1"/>
  <c r="H97" i="1"/>
  <c r="I97" i="1" s="1"/>
  <c r="J97" i="1" s="1"/>
  <c r="H495" i="1"/>
  <c r="I495" i="1" s="1"/>
  <c r="J495" i="1" s="1"/>
  <c r="H459" i="1"/>
  <c r="I459" i="1" s="1"/>
  <c r="J459" i="1" s="1"/>
  <c r="H411" i="1"/>
  <c r="I411" i="1" s="1"/>
  <c r="J411" i="1" s="1"/>
  <c r="H375" i="1"/>
  <c r="I375" i="1" s="1"/>
  <c r="J375" i="1" s="1"/>
  <c r="H315" i="1"/>
  <c r="I315" i="1" s="1"/>
  <c r="J315" i="1" s="1"/>
  <c r="H255" i="1"/>
  <c r="I255" i="1" s="1"/>
  <c r="J255" i="1" s="1"/>
  <c r="H183" i="1"/>
  <c r="I183" i="1" s="1"/>
  <c r="J183" i="1" s="1"/>
  <c r="H123" i="1"/>
  <c r="I123" i="1" s="1"/>
  <c r="J123" i="1" s="1"/>
  <c r="H75" i="1"/>
  <c r="I75" i="1" s="1"/>
  <c r="J75" i="1" s="1"/>
  <c r="H3" i="1"/>
  <c r="I3" i="1" s="1"/>
  <c r="J3" i="1" s="1"/>
  <c r="H1992" i="1"/>
  <c r="I1992" i="1" s="1"/>
  <c r="J1992" i="1" s="1"/>
  <c r="H1980" i="1"/>
  <c r="I1980" i="1" s="1"/>
  <c r="J1980" i="1" s="1"/>
  <c r="H1968" i="1"/>
  <c r="I1968" i="1" s="1"/>
  <c r="J1968" i="1" s="1"/>
  <c r="H1956" i="1"/>
  <c r="I1956" i="1" s="1"/>
  <c r="J1956" i="1" s="1"/>
  <c r="I1944" i="1"/>
  <c r="J1944" i="1" s="1"/>
  <c r="I1920" i="1"/>
  <c r="J1920" i="1" s="1"/>
  <c r="I1908" i="1"/>
  <c r="J1908" i="1" s="1"/>
  <c r="H1896" i="1"/>
  <c r="I1896" i="1" s="1"/>
  <c r="J1896" i="1" s="1"/>
  <c r="H1884" i="1"/>
  <c r="I1884" i="1" s="1"/>
  <c r="J1884" i="1" s="1"/>
  <c r="I1872" i="1"/>
  <c r="J1872" i="1" s="1"/>
  <c r="H1860" i="1"/>
  <c r="I1860" i="1" s="1"/>
  <c r="J1860" i="1" s="1"/>
  <c r="H1848" i="1"/>
  <c r="I1848" i="1" s="1"/>
  <c r="J1848" i="1" s="1"/>
  <c r="H1836" i="1"/>
  <c r="I1836" i="1" s="1"/>
  <c r="J1836" i="1" s="1"/>
  <c r="I1824" i="1"/>
  <c r="J1824" i="1" s="1"/>
  <c r="H1812" i="1"/>
  <c r="I1812" i="1" s="1"/>
  <c r="J1812" i="1" s="1"/>
  <c r="H1800" i="1"/>
  <c r="I1800" i="1" s="1"/>
  <c r="J1800" i="1" s="1"/>
  <c r="H1788" i="1"/>
  <c r="I1788" i="1" s="1"/>
  <c r="J1788" i="1" s="1"/>
  <c r="H1776" i="1"/>
  <c r="I1776" i="1" s="1"/>
  <c r="J1776" i="1" s="1"/>
  <c r="H1764" i="1"/>
  <c r="I1764" i="1" s="1"/>
  <c r="J1764" i="1" s="1"/>
  <c r="H1752" i="1"/>
  <c r="I1752" i="1" s="1"/>
  <c r="J1752" i="1" s="1"/>
  <c r="H1740" i="1"/>
  <c r="I1740" i="1" s="1"/>
  <c r="J1740" i="1" s="1"/>
  <c r="H1728" i="1"/>
  <c r="I1728" i="1" s="1"/>
  <c r="J1728" i="1" s="1"/>
  <c r="H1716" i="1"/>
  <c r="I1716" i="1" s="1"/>
  <c r="J1716" i="1" s="1"/>
  <c r="H1704" i="1"/>
  <c r="I1704" i="1" s="1"/>
  <c r="J1704" i="1" s="1"/>
  <c r="H1692" i="1"/>
  <c r="I1692" i="1" s="1"/>
  <c r="J1692" i="1" s="1"/>
  <c r="H1680" i="1"/>
  <c r="I1680" i="1" s="1"/>
  <c r="J1680" i="1" s="1"/>
  <c r="H1668" i="1"/>
  <c r="I1668" i="1" s="1"/>
  <c r="J1668" i="1" s="1"/>
  <c r="H1656" i="1"/>
  <c r="I1656" i="1" s="1"/>
  <c r="J1656" i="1" s="1"/>
  <c r="H1644" i="1"/>
  <c r="I1644" i="1" s="1"/>
  <c r="J1644" i="1" s="1"/>
  <c r="H1632" i="1"/>
  <c r="I1632" i="1" s="1"/>
  <c r="J1632" i="1" s="1"/>
  <c r="H1608" i="1"/>
  <c r="I1608" i="1" s="1"/>
  <c r="J1608" i="1" s="1"/>
  <c r="H1596" i="1"/>
  <c r="I1596" i="1" s="1"/>
  <c r="J1596" i="1" s="1"/>
  <c r="H1584" i="1"/>
  <c r="I1584" i="1" s="1"/>
  <c r="J1584" i="1" s="1"/>
  <c r="H1572" i="1"/>
  <c r="I1572" i="1" s="1"/>
  <c r="J1572" i="1" s="1"/>
  <c r="H1560" i="1"/>
  <c r="I1560" i="1" s="1"/>
  <c r="J1560" i="1" s="1"/>
  <c r="H1536" i="1"/>
  <c r="I1536" i="1" s="1"/>
  <c r="J1536" i="1" s="1"/>
  <c r="H1524" i="1"/>
  <c r="I1524" i="1" s="1"/>
  <c r="J1524" i="1" s="1"/>
  <c r="H1512" i="1"/>
  <c r="I1512" i="1" s="1"/>
  <c r="J1512" i="1" s="1"/>
  <c r="H1500" i="1"/>
  <c r="I1500" i="1" s="1"/>
  <c r="J1500" i="1" s="1"/>
  <c r="H1488" i="1"/>
  <c r="I1488" i="1" s="1"/>
  <c r="J1488" i="1" s="1"/>
  <c r="H1476" i="1"/>
  <c r="I1476" i="1" s="1"/>
  <c r="J1476" i="1" s="1"/>
  <c r="H1464" i="1"/>
  <c r="I1464" i="1" s="1"/>
  <c r="J1464" i="1" s="1"/>
  <c r="H1452" i="1"/>
  <c r="I1452" i="1" s="1"/>
  <c r="J1452" i="1" s="1"/>
  <c r="H1440" i="1"/>
  <c r="I1440" i="1" s="1"/>
  <c r="J1440" i="1" s="1"/>
  <c r="H1428" i="1"/>
  <c r="I1428" i="1" s="1"/>
  <c r="J1428" i="1" s="1"/>
  <c r="H1416" i="1"/>
  <c r="I1416" i="1" s="1"/>
  <c r="J1416" i="1" s="1"/>
  <c r="H1404" i="1"/>
  <c r="I1404" i="1" s="1"/>
  <c r="J1404" i="1" s="1"/>
  <c r="H1392" i="1"/>
  <c r="I1392" i="1" s="1"/>
  <c r="J1392" i="1" s="1"/>
  <c r="H1380" i="1"/>
  <c r="I1380" i="1" s="1"/>
  <c r="J1380" i="1" s="1"/>
  <c r="H1368" i="1"/>
  <c r="I1368" i="1" s="1"/>
  <c r="J1368" i="1" s="1"/>
  <c r="H1356" i="1"/>
  <c r="I1356" i="1" s="1"/>
  <c r="J1356" i="1" s="1"/>
  <c r="H1344" i="1"/>
  <c r="I1344" i="1" s="1"/>
  <c r="J1344" i="1" s="1"/>
  <c r="H1332" i="1"/>
  <c r="I1332" i="1" s="1"/>
  <c r="J1332" i="1" s="1"/>
  <c r="H1320" i="1"/>
  <c r="I1320" i="1" s="1"/>
  <c r="J1320" i="1" s="1"/>
  <c r="H1308" i="1"/>
  <c r="I1308" i="1" s="1"/>
  <c r="J1308" i="1" s="1"/>
  <c r="H1296" i="1"/>
  <c r="I1296" i="1" s="1"/>
  <c r="J1296" i="1" s="1"/>
  <c r="H1284" i="1"/>
  <c r="I1284" i="1" s="1"/>
  <c r="J1284" i="1" s="1"/>
  <c r="H1272" i="1"/>
  <c r="I1272" i="1" s="1"/>
  <c r="J1272" i="1" s="1"/>
  <c r="H1260" i="1"/>
  <c r="I1260" i="1" s="1"/>
  <c r="J1260" i="1" s="1"/>
  <c r="H1248" i="1"/>
  <c r="I1248" i="1" s="1"/>
  <c r="J1248" i="1" s="1"/>
  <c r="H1236" i="1"/>
  <c r="I1236" i="1" s="1"/>
  <c r="J1236" i="1" s="1"/>
  <c r="H1224" i="1"/>
  <c r="I1224" i="1" s="1"/>
  <c r="J1224" i="1" s="1"/>
  <c r="H1212" i="1"/>
  <c r="I1212" i="1" s="1"/>
  <c r="J1212" i="1" s="1"/>
  <c r="H1200" i="1"/>
  <c r="I1200" i="1" s="1"/>
  <c r="J1200" i="1" s="1"/>
  <c r="H1188" i="1"/>
  <c r="I1188" i="1" s="1"/>
  <c r="J1188" i="1" s="1"/>
  <c r="H1176" i="1"/>
  <c r="I1176" i="1" s="1"/>
  <c r="J1176" i="1" s="1"/>
  <c r="H1164" i="1"/>
  <c r="I1164" i="1" s="1"/>
  <c r="J1164" i="1" s="1"/>
  <c r="H1152" i="1"/>
  <c r="I1152" i="1" s="1"/>
  <c r="J1152" i="1" s="1"/>
  <c r="H1140" i="1"/>
  <c r="I1140" i="1" s="1"/>
  <c r="J1140" i="1" s="1"/>
  <c r="H1128" i="1"/>
  <c r="I1128" i="1" s="1"/>
  <c r="J1128" i="1" s="1"/>
  <c r="H1116" i="1"/>
  <c r="I1116" i="1" s="1"/>
  <c r="J1116" i="1" s="1"/>
  <c r="H1092" i="1"/>
  <c r="I1092" i="1" s="1"/>
  <c r="J1092" i="1" s="1"/>
  <c r="H1080" i="1"/>
  <c r="I1080" i="1" s="1"/>
  <c r="J1080" i="1" s="1"/>
  <c r="H1068" i="1"/>
  <c r="I1068" i="1" s="1"/>
  <c r="J1068" i="1" s="1"/>
  <c r="H1056" i="1"/>
  <c r="I1056" i="1" s="1"/>
  <c r="J1056" i="1" s="1"/>
  <c r="H1044" i="1"/>
  <c r="I1044" i="1" s="1"/>
  <c r="J1044" i="1" s="1"/>
  <c r="H1032" i="1"/>
  <c r="I1032" i="1" s="1"/>
  <c r="J1032" i="1" s="1"/>
  <c r="H1020" i="1"/>
  <c r="I1020" i="1" s="1"/>
  <c r="J1020" i="1" s="1"/>
  <c r="H1008" i="1"/>
  <c r="I1008" i="1" s="1"/>
  <c r="J1008" i="1" s="1"/>
  <c r="H996" i="1"/>
  <c r="I996" i="1" s="1"/>
  <c r="J996" i="1" s="1"/>
  <c r="H984" i="1"/>
  <c r="I984" i="1" s="1"/>
  <c r="J984" i="1" s="1"/>
  <c r="H972" i="1"/>
  <c r="I972" i="1" s="1"/>
  <c r="J972" i="1" s="1"/>
  <c r="H960" i="1"/>
  <c r="I960" i="1" s="1"/>
  <c r="J960" i="1" s="1"/>
  <c r="I948" i="1"/>
  <c r="J948" i="1" s="1"/>
  <c r="H936" i="1"/>
  <c r="I936" i="1" s="1"/>
  <c r="J936" i="1" s="1"/>
  <c r="H924" i="1"/>
  <c r="I924" i="1" s="1"/>
  <c r="J924" i="1" s="1"/>
  <c r="H912" i="1"/>
  <c r="I912" i="1" s="1"/>
  <c r="J912" i="1" s="1"/>
  <c r="H900" i="1"/>
  <c r="I900" i="1" s="1"/>
  <c r="J900" i="1" s="1"/>
  <c r="H888" i="1"/>
  <c r="I888" i="1" s="1"/>
  <c r="J888" i="1" s="1"/>
  <c r="H876" i="1"/>
  <c r="I876" i="1" s="1"/>
  <c r="J876" i="1" s="1"/>
  <c r="H864" i="1"/>
  <c r="I864" i="1" s="1"/>
  <c r="J864" i="1" s="1"/>
  <c r="H852" i="1"/>
  <c r="I852" i="1" s="1"/>
  <c r="J852" i="1" s="1"/>
  <c r="I840" i="1"/>
  <c r="J840" i="1" s="1"/>
  <c r="H828" i="1"/>
  <c r="I828" i="1" s="1"/>
  <c r="J828" i="1" s="1"/>
  <c r="H816" i="1"/>
  <c r="I816" i="1" s="1"/>
  <c r="J816" i="1" s="1"/>
  <c r="H804" i="1"/>
  <c r="I804" i="1" s="1"/>
  <c r="J804" i="1" s="1"/>
  <c r="H792" i="1"/>
  <c r="I792" i="1" s="1"/>
  <c r="J792" i="1" s="1"/>
  <c r="H780" i="1"/>
  <c r="I780" i="1" s="1"/>
  <c r="J780" i="1" s="1"/>
  <c r="H768" i="1"/>
  <c r="I768" i="1" s="1"/>
  <c r="J768" i="1" s="1"/>
  <c r="H756" i="1"/>
  <c r="I756" i="1" s="1"/>
  <c r="J756" i="1" s="1"/>
  <c r="H744" i="1"/>
  <c r="I744" i="1" s="1"/>
  <c r="J744" i="1" s="1"/>
  <c r="H732" i="1"/>
  <c r="I732" i="1" s="1"/>
  <c r="J732" i="1" s="1"/>
  <c r="H720" i="1"/>
  <c r="I720" i="1" s="1"/>
  <c r="J720" i="1" s="1"/>
  <c r="H708" i="1"/>
  <c r="I708" i="1" s="1"/>
  <c r="J708" i="1" s="1"/>
  <c r="H696" i="1"/>
  <c r="I696" i="1" s="1"/>
  <c r="J696" i="1" s="1"/>
  <c r="H684" i="1"/>
  <c r="I684" i="1" s="1"/>
  <c r="J684" i="1" s="1"/>
  <c r="H672" i="1"/>
  <c r="I672" i="1" s="1"/>
  <c r="J672" i="1" s="1"/>
  <c r="H660" i="1"/>
  <c r="I660" i="1" s="1"/>
  <c r="J660" i="1" s="1"/>
  <c r="H648" i="1"/>
  <c r="I648" i="1" s="1"/>
  <c r="J648" i="1" s="1"/>
  <c r="H636" i="1"/>
  <c r="I636" i="1" s="1"/>
  <c r="J636" i="1" s="1"/>
  <c r="H624" i="1"/>
  <c r="I624" i="1" s="1"/>
  <c r="J624" i="1" s="1"/>
  <c r="H612" i="1"/>
  <c r="I612" i="1" s="1"/>
  <c r="J612" i="1" s="1"/>
  <c r="H600" i="1"/>
  <c r="I600" i="1" s="1"/>
  <c r="J600" i="1" s="1"/>
  <c r="H588" i="1"/>
  <c r="I588" i="1" s="1"/>
  <c r="J588" i="1" s="1"/>
  <c r="H576" i="1"/>
  <c r="I576" i="1" s="1"/>
  <c r="J576" i="1" s="1"/>
  <c r="H564" i="1"/>
  <c r="I564" i="1" s="1"/>
  <c r="J564" i="1" s="1"/>
  <c r="H552" i="1"/>
  <c r="I552" i="1" s="1"/>
  <c r="J552" i="1" s="1"/>
  <c r="I540" i="1"/>
  <c r="J540" i="1" s="1"/>
  <c r="I528" i="1"/>
  <c r="J528" i="1" s="1"/>
  <c r="H516" i="1"/>
  <c r="I516" i="1" s="1"/>
  <c r="J516" i="1" s="1"/>
  <c r="H504" i="1"/>
  <c r="I504" i="1" s="1"/>
  <c r="J504" i="1" s="1"/>
  <c r="H492" i="1"/>
  <c r="I492" i="1" s="1"/>
  <c r="J492" i="1" s="1"/>
  <c r="H480" i="1"/>
  <c r="I480" i="1" s="1"/>
  <c r="J480" i="1" s="1"/>
  <c r="H444" i="1"/>
  <c r="I444" i="1" s="1"/>
  <c r="J444" i="1" s="1"/>
  <c r="H432" i="1"/>
  <c r="I432" i="1" s="1"/>
  <c r="J432" i="1" s="1"/>
  <c r="H420" i="1"/>
  <c r="I420" i="1" s="1"/>
  <c r="J420" i="1" s="1"/>
  <c r="H408" i="1"/>
  <c r="I408" i="1" s="1"/>
  <c r="J408" i="1" s="1"/>
  <c r="H396" i="1"/>
  <c r="I396" i="1" s="1"/>
  <c r="J396" i="1" s="1"/>
  <c r="I384" i="1"/>
  <c r="J384" i="1" s="1"/>
  <c r="H372" i="1"/>
  <c r="I372" i="1" s="1"/>
  <c r="J372" i="1" s="1"/>
  <c r="H360" i="1"/>
  <c r="I360" i="1" s="1"/>
  <c r="J360" i="1" s="1"/>
  <c r="H348" i="1"/>
  <c r="I348" i="1" s="1"/>
  <c r="J348" i="1" s="1"/>
  <c r="H336" i="1"/>
  <c r="I336" i="1" s="1"/>
  <c r="J336" i="1" s="1"/>
  <c r="I324" i="1"/>
  <c r="J324" i="1" s="1"/>
  <c r="H312" i="1"/>
  <c r="I312" i="1" s="1"/>
  <c r="J312" i="1" s="1"/>
  <c r="H300" i="1"/>
  <c r="I300" i="1" s="1"/>
  <c r="J300" i="1" s="1"/>
  <c r="I288" i="1"/>
  <c r="J288" i="1" s="1"/>
  <c r="H276" i="1"/>
  <c r="I276" i="1" s="1"/>
  <c r="J276" i="1" s="1"/>
  <c r="I264" i="1"/>
  <c r="J264" i="1" s="1"/>
  <c r="H252" i="1"/>
  <c r="I252" i="1" s="1"/>
  <c r="J252" i="1" s="1"/>
  <c r="H240" i="1"/>
  <c r="I240" i="1" s="1"/>
  <c r="J240" i="1" s="1"/>
  <c r="H228" i="1"/>
  <c r="I228" i="1" s="1"/>
  <c r="J228" i="1" s="1"/>
  <c r="H216" i="1"/>
  <c r="I216" i="1" s="1"/>
  <c r="J216" i="1" s="1"/>
  <c r="I204" i="1"/>
  <c r="J204" i="1" s="1"/>
  <c r="H192" i="1"/>
  <c r="I192" i="1" s="1"/>
  <c r="J192" i="1" s="1"/>
  <c r="H180" i="1"/>
  <c r="I180" i="1" s="1"/>
  <c r="J180" i="1" s="1"/>
  <c r="H168" i="1"/>
  <c r="I168" i="1" s="1"/>
  <c r="J168" i="1" s="1"/>
  <c r="H156" i="1"/>
  <c r="I156" i="1" s="1"/>
  <c r="J156" i="1" s="1"/>
  <c r="H144" i="1"/>
  <c r="I144" i="1" s="1"/>
  <c r="J144" i="1" s="1"/>
  <c r="H132" i="1"/>
  <c r="I132" i="1" s="1"/>
  <c r="J132" i="1" s="1"/>
  <c r="H120" i="1"/>
  <c r="I120" i="1" s="1"/>
  <c r="J120" i="1" s="1"/>
  <c r="H108" i="1"/>
  <c r="I108" i="1" s="1"/>
  <c r="J108" i="1" s="1"/>
  <c r="H96" i="1"/>
  <c r="I96" i="1" s="1"/>
  <c r="J96" i="1" s="1"/>
  <c r="H84" i="1"/>
  <c r="I84" i="1" s="1"/>
  <c r="J84" i="1" s="1"/>
  <c r="H72" i="1"/>
  <c r="I72" i="1" s="1"/>
  <c r="J72" i="1" s="1"/>
  <c r="H60" i="1"/>
  <c r="I60" i="1" s="1"/>
  <c r="J60" i="1" s="1"/>
  <c r="H48" i="1"/>
  <c r="I48" i="1" s="1"/>
  <c r="J48" i="1" s="1"/>
  <c r="H36" i="1"/>
  <c r="I36" i="1" s="1"/>
  <c r="J36" i="1" s="1"/>
  <c r="H24" i="1"/>
  <c r="I24" i="1" s="1"/>
  <c r="J24" i="1" s="1"/>
  <c r="H12" i="1"/>
  <c r="I12" i="1" s="1"/>
  <c r="J12" i="1" s="1"/>
  <c r="H1932" i="1"/>
  <c r="I1932" i="1" s="1"/>
  <c r="J1932" i="1" s="1"/>
  <c r="H1717" i="1"/>
  <c r="I1717" i="1" s="1"/>
  <c r="J1717" i="1" s="1"/>
  <c r="H1633" i="1"/>
  <c r="I1633" i="1" s="1"/>
  <c r="J1633" i="1" s="1"/>
  <c r="H1489" i="1"/>
  <c r="I1489" i="1" s="1"/>
  <c r="J1489" i="1" s="1"/>
  <c r="H1441" i="1"/>
  <c r="I1441" i="1" s="1"/>
  <c r="J1441" i="1" s="1"/>
  <c r="H1393" i="1"/>
  <c r="I1393" i="1" s="1"/>
  <c r="J1393" i="1" s="1"/>
  <c r="H1202" i="1"/>
  <c r="I1202" i="1" s="1"/>
  <c r="J1202" i="1" s="1"/>
  <c r="H1141" i="1"/>
  <c r="I1141" i="1" s="1"/>
  <c r="J1141" i="1" s="1"/>
  <c r="H601" i="1"/>
  <c r="I601" i="1" s="1"/>
  <c r="J601" i="1" s="1"/>
  <c r="H447" i="1"/>
  <c r="I447" i="1" s="1"/>
  <c r="J447" i="1" s="1"/>
  <c r="H363" i="1"/>
  <c r="I363" i="1" s="1"/>
  <c r="J363" i="1" s="1"/>
  <c r="H327" i="1"/>
  <c r="I327" i="1" s="1"/>
  <c r="J327" i="1" s="1"/>
  <c r="H267" i="1"/>
  <c r="I267" i="1" s="1"/>
  <c r="J267" i="1" s="1"/>
  <c r="H195" i="1"/>
  <c r="I195" i="1" s="1"/>
  <c r="J195" i="1" s="1"/>
  <c r="H147" i="1"/>
  <c r="I147" i="1" s="1"/>
  <c r="J147" i="1" s="1"/>
  <c r="H87" i="1"/>
  <c r="I87" i="1" s="1"/>
  <c r="J87" i="1" s="1"/>
  <c r="H27" i="1"/>
  <c r="I27" i="1" s="1"/>
  <c r="J27" i="1" s="1"/>
  <c r="H1991" i="1"/>
  <c r="I1991" i="1" s="1"/>
  <c r="J1991" i="1" s="1"/>
  <c r="I1943" i="1"/>
  <c r="J1943" i="1" s="1"/>
  <c r="H1919" i="1"/>
  <c r="I1919" i="1" s="1"/>
  <c r="J1919" i="1" s="1"/>
  <c r="I1883" i="1"/>
  <c r="J1883" i="1" s="1"/>
  <c r="I1871" i="1"/>
  <c r="J1871" i="1" s="1"/>
  <c r="I1859" i="1"/>
  <c r="J1859" i="1" s="1"/>
  <c r="H1847" i="1"/>
  <c r="I1847" i="1" s="1"/>
  <c r="J1847" i="1" s="1"/>
  <c r="I1811" i="1"/>
  <c r="J1811" i="1" s="1"/>
  <c r="H1799" i="1"/>
  <c r="I1799" i="1" s="1"/>
  <c r="J1799" i="1" s="1"/>
  <c r="H1787" i="1"/>
  <c r="I1787" i="1" s="1"/>
  <c r="J1787" i="1" s="1"/>
  <c r="I1775" i="1"/>
  <c r="J1775" i="1" s="1"/>
  <c r="H1763" i="1"/>
  <c r="I1763" i="1" s="1"/>
  <c r="J1763" i="1" s="1"/>
  <c r="I1739" i="1"/>
  <c r="J1739" i="1" s="1"/>
  <c r="H1727" i="1"/>
  <c r="I1727" i="1" s="1"/>
  <c r="J1727" i="1" s="1"/>
  <c r="H1703" i="1"/>
  <c r="I1703" i="1" s="1"/>
  <c r="J1703" i="1" s="1"/>
  <c r="H1667" i="1"/>
  <c r="I1667" i="1" s="1"/>
  <c r="J1667" i="1" s="1"/>
  <c r="H1655" i="1"/>
  <c r="I1655" i="1" s="1"/>
  <c r="J1655" i="1" s="1"/>
  <c r="H1643" i="1"/>
  <c r="I1643" i="1" s="1"/>
  <c r="J1643" i="1" s="1"/>
  <c r="H1631" i="1"/>
  <c r="I1631" i="1" s="1"/>
  <c r="J1631" i="1" s="1"/>
  <c r="H1595" i="1"/>
  <c r="I1595" i="1" s="1"/>
  <c r="J1595" i="1" s="1"/>
  <c r="H1583" i="1"/>
  <c r="I1583" i="1" s="1"/>
  <c r="J1583" i="1" s="1"/>
  <c r="H1571" i="1"/>
  <c r="I1571" i="1" s="1"/>
  <c r="J1571" i="1" s="1"/>
  <c r="H1559" i="1"/>
  <c r="I1559" i="1" s="1"/>
  <c r="J1559" i="1" s="1"/>
  <c r="H1535" i="1"/>
  <c r="I1535" i="1" s="1"/>
  <c r="J1535" i="1" s="1"/>
  <c r="H1523" i="1"/>
  <c r="I1523" i="1" s="1"/>
  <c r="J1523" i="1" s="1"/>
  <c r="H1511" i="1"/>
  <c r="I1511" i="1" s="1"/>
  <c r="J1511" i="1" s="1"/>
  <c r="H1499" i="1"/>
  <c r="I1499" i="1" s="1"/>
  <c r="J1499" i="1" s="1"/>
  <c r="H1487" i="1"/>
  <c r="I1487" i="1" s="1"/>
  <c r="J1487" i="1" s="1"/>
  <c r="H1475" i="1"/>
  <c r="I1475" i="1" s="1"/>
  <c r="J1475" i="1" s="1"/>
  <c r="H1463" i="1"/>
  <c r="I1463" i="1" s="1"/>
  <c r="J1463" i="1" s="1"/>
  <c r="H1439" i="1"/>
  <c r="I1439" i="1" s="1"/>
  <c r="J1439" i="1" s="1"/>
  <c r="H1427" i="1"/>
  <c r="I1427" i="1" s="1"/>
  <c r="J1427" i="1" s="1"/>
  <c r="H1415" i="1"/>
  <c r="I1415" i="1" s="1"/>
  <c r="J1415" i="1" s="1"/>
  <c r="H1403" i="1"/>
  <c r="I1403" i="1" s="1"/>
  <c r="J1403" i="1" s="1"/>
  <c r="H1367" i="1"/>
  <c r="I1367" i="1" s="1"/>
  <c r="J1367" i="1" s="1"/>
  <c r="H1355" i="1"/>
  <c r="I1355" i="1" s="1"/>
  <c r="J1355" i="1" s="1"/>
  <c r="H1343" i="1"/>
  <c r="I1343" i="1" s="1"/>
  <c r="J1343" i="1" s="1"/>
  <c r="H1319" i="1"/>
  <c r="I1319" i="1" s="1"/>
  <c r="J1319" i="1" s="1"/>
  <c r="H1307" i="1"/>
  <c r="I1307" i="1" s="1"/>
  <c r="J1307" i="1" s="1"/>
  <c r="H1283" i="1"/>
  <c r="I1283" i="1" s="1"/>
  <c r="J1283" i="1" s="1"/>
  <c r="H1271" i="1"/>
  <c r="I1271" i="1" s="1"/>
  <c r="J1271" i="1" s="1"/>
  <c r="H1259" i="1"/>
  <c r="I1259" i="1" s="1"/>
  <c r="J1259" i="1" s="1"/>
  <c r="H1247" i="1"/>
  <c r="I1247" i="1" s="1"/>
  <c r="J1247" i="1" s="1"/>
  <c r="H1235" i="1"/>
  <c r="I1235" i="1" s="1"/>
  <c r="J1235" i="1" s="1"/>
  <c r="H1223" i="1"/>
  <c r="I1223" i="1" s="1"/>
  <c r="J1223" i="1" s="1"/>
  <c r="H1211" i="1"/>
  <c r="I1211" i="1" s="1"/>
  <c r="J1211" i="1" s="1"/>
  <c r="H1199" i="1"/>
  <c r="I1199" i="1" s="1"/>
  <c r="J1199" i="1" s="1"/>
  <c r="H1163" i="1"/>
  <c r="I1163" i="1" s="1"/>
  <c r="J1163" i="1" s="1"/>
  <c r="H1151" i="1"/>
  <c r="I1151" i="1" s="1"/>
  <c r="J1151" i="1" s="1"/>
  <c r="H1127" i="1"/>
  <c r="I1127" i="1" s="1"/>
  <c r="J1127" i="1" s="1"/>
  <c r="H1115" i="1"/>
  <c r="I1115" i="1" s="1"/>
  <c r="J1115" i="1" s="1"/>
  <c r="H1091" i="1"/>
  <c r="I1091" i="1" s="1"/>
  <c r="J1091" i="1" s="1"/>
  <c r="H1079" i="1"/>
  <c r="I1079" i="1" s="1"/>
  <c r="J1079" i="1" s="1"/>
  <c r="H1067" i="1"/>
  <c r="I1067" i="1" s="1"/>
  <c r="J1067" i="1" s="1"/>
  <c r="H1055" i="1"/>
  <c r="I1055" i="1" s="1"/>
  <c r="J1055" i="1" s="1"/>
  <c r="H1043" i="1"/>
  <c r="I1043" i="1" s="1"/>
  <c r="J1043" i="1" s="1"/>
  <c r="H1031" i="1"/>
  <c r="I1031" i="1" s="1"/>
  <c r="J1031" i="1" s="1"/>
  <c r="H1019" i="1"/>
  <c r="I1019" i="1" s="1"/>
  <c r="J1019" i="1" s="1"/>
  <c r="I1007" i="1"/>
  <c r="J1007" i="1" s="1"/>
  <c r="H995" i="1"/>
  <c r="I995" i="1" s="1"/>
  <c r="J995" i="1" s="1"/>
  <c r="H983" i="1"/>
  <c r="I983" i="1" s="1"/>
  <c r="J983" i="1" s="1"/>
  <c r="H971" i="1"/>
  <c r="I971" i="1" s="1"/>
  <c r="J971" i="1" s="1"/>
  <c r="H959" i="1"/>
  <c r="I959" i="1" s="1"/>
  <c r="J959" i="1" s="1"/>
  <c r="H947" i="1"/>
  <c r="I947" i="1" s="1"/>
  <c r="J947" i="1" s="1"/>
  <c r="H935" i="1"/>
  <c r="I935" i="1" s="1"/>
  <c r="J935" i="1" s="1"/>
  <c r="H923" i="1"/>
  <c r="I923" i="1" s="1"/>
  <c r="J923" i="1" s="1"/>
  <c r="H911" i="1"/>
  <c r="I911" i="1" s="1"/>
  <c r="J911" i="1" s="1"/>
  <c r="H899" i="1"/>
  <c r="I899" i="1" s="1"/>
  <c r="J899" i="1" s="1"/>
  <c r="I887" i="1"/>
  <c r="J887" i="1" s="1"/>
  <c r="H875" i="1"/>
  <c r="I875" i="1" s="1"/>
  <c r="J875" i="1" s="1"/>
  <c r="H863" i="1"/>
  <c r="I863" i="1" s="1"/>
  <c r="J863" i="1" s="1"/>
  <c r="H851" i="1"/>
  <c r="I851" i="1" s="1"/>
  <c r="J851" i="1" s="1"/>
  <c r="I839" i="1"/>
  <c r="J839" i="1" s="1"/>
  <c r="H827" i="1"/>
  <c r="I827" i="1" s="1"/>
  <c r="J827" i="1" s="1"/>
  <c r="H815" i="1"/>
  <c r="I815" i="1" s="1"/>
  <c r="J815" i="1" s="1"/>
  <c r="H803" i="1"/>
  <c r="I803" i="1" s="1"/>
  <c r="J803" i="1" s="1"/>
  <c r="H791" i="1"/>
  <c r="I791" i="1" s="1"/>
  <c r="J791" i="1" s="1"/>
  <c r="H779" i="1"/>
  <c r="I779" i="1" s="1"/>
  <c r="J779" i="1" s="1"/>
  <c r="H767" i="1"/>
  <c r="I767" i="1" s="1"/>
  <c r="J767" i="1" s="1"/>
  <c r="H755" i="1"/>
  <c r="I755" i="1" s="1"/>
  <c r="J755" i="1" s="1"/>
  <c r="H743" i="1"/>
  <c r="I743" i="1" s="1"/>
  <c r="J743" i="1" s="1"/>
  <c r="H731" i="1"/>
  <c r="I731" i="1" s="1"/>
  <c r="J731" i="1" s="1"/>
  <c r="H719" i="1"/>
  <c r="I719" i="1" s="1"/>
  <c r="J719" i="1" s="1"/>
  <c r="H695" i="1"/>
  <c r="I695" i="1" s="1"/>
  <c r="J695" i="1" s="1"/>
  <c r="H683" i="1"/>
  <c r="I683" i="1" s="1"/>
  <c r="J683" i="1" s="1"/>
  <c r="H671" i="1"/>
  <c r="I671" i="1" s="1"/>
  <c r="J671" i="1" s="1"/>
  <c r="H659" i="1"/>
  <c r="I659" i="1" s="1"/>
  <c r="J659" i="1" s="1"/>
  <c r="H647" i="1"/>
  <c r="I647" i="1" s="1"/>
  <c r="J647" i="1" s="1"/>
  <c r="H635" i="1"/>
  <c r="I635" i="1" s="1"/>
  <c r="J635" i="1" s="1"/>
  <c r="H623" i="1"/>
  <c r="I623" i="1" s="1"/>
  <c r="J623" i="1" s="1"/>
  <c r="H611" i="1"/>
  <c r="I611" i="1" s="1"/>
  <c r="J611" i="1" s="1"/>
  <c r="H599" i="1"/>
  <c r="I599" i="1" s="1"/>
  <c r="J599" i="1" s="1"/>
  <c r="H587" i="1"/>
  <c r="I587" i="1" s="1"/>
  <c r="J587" i="1" s="1"/>
  <c r="H575" i="1"/>
  <c r="I575" i="1" s="1"/>
  <c r="J575" i="1" s="1"/>
  <c r="H563" i="1"/>
  <c r="I563" i="1" s="1"/>
  <c r="J563" i="1" s="1"/>
  <c r="I551" i="1"/>
  <c r="J551" i="1" s="1"/>
  <c r="I539" i="1"/>
  <c r="J539" i="1" s="1"/>
  <c r="H527" i="1"/>
  <c r="I527" i="1" s="1"/>
  <c r="J527" i="1" s="1"/>
  <c r="H503" i="1"/>
  <c r="I503" i="1" s="1"/>
  <c r="J503" i="1" s="1"/>
  <c r="H491" i="1"/>
  <c r="I491" i="1" s="1"/>
  <c r="J491" i="1" s="1"/>
  <c r="H479" i="1"/>
  <c r="I479" i="1" s="1"/>
  <c r="J479" i="1" s="1"/>
  <c r="H443" i="1"/>
  <c r="I443" i="1" s="1"/>
  <c r="J443" i="1" s="1"/>
  <c r="I431" i="1"/>
  <c r="J431" i="1" s="1"/>
  <c r="H419" i="1"/>
  <c r="I419" i="1" s="1"/>
  <c r="J419" i="1" s="1"/>
  <c r="H407" i="1"/>
  <c r="I407" i="1" s="1"/>
  <c r="J407" i="1" s="1"/>
  <c r="I371" i="1"/>
  <c r="J371" i="1" s="1"/>
  <c r="H359" i="1"/>
  <c r="I359" i="1" s="1"/>
  <c r="J359" i="1" s="1"/>
  <c r="H347" i="1"/>
  <c r="I347" i="1" s="1"/>
  <c r="J347" i="1" s="1"/>
  <c r="H335" i="1"/>
  <c r="I335" i="1" s="1"/>
  <c r="J335" i="1" s="1"/>
  <c r="H311" i="1"/>
  <c r="I311" i="1" s="1"/>
  <c r="J311" i="1" s="1"/>
  <c r="H299" i="1"/>
  <c r="I299" i="1" s="1"/>
  <c r="J299" i="1" s="1"/>
  <c r="H287" i="1"/>
  <c r="I287" i="1" s="1"/>
  <c r="J287" i="1" s="1"/>
  <c r="H275" i="1"/>
  <c r="I275" i="1" s="1"/>
  <c r="J275" i="1" s="1"/>
  <c r="H263" i="1"/>
  <c r="I263" i="1" s="1"/>
  <c r="J263" i="1" s="1"/>
  <c r="H251" i="1"/>
  <c r="I251" i="1" s="1"/>
  <c r="J251" i="1" s="1"/>
  <c r="H239" i="1"/>
  <c r="I239" i="1" s="1"/>
  <c r="J239" i="1" s="1"/>
  <c r="H227" i="1"/>
  <c r="I227" i="1" s="1"/>
  <c r="J227" i="1" s="1"/>
  <c r="H215" i="1"/>
  <c r="I215" i="1" s="1"/>
  <c r="J215" i="1" s="1"/>
  <c r="H203" i="1"/>
  <c r="I203" i="1" s="1"/>
  <c r="J203" i="1" s="1"/>
  <c r="H191" i="1"/>
  <c r="I191" i="1" s="1"/>
  <c r="J191" i="1" s="1"/>
  <c r="H167" i="1"/>
  <c r="I167" i="1" s="1"/>
  <c r="J167" i="1" s="1"/>
  <c r="H155" i="1"/>
  <c r="I155" i="1" s="1"/>
  <c r="J155" i="1" s="1"/>
  <c r="H143" i="1"/>
  <c r="I143" i="1" s="1"/>
  <c r="J143" i="1" s="1"/>
  <c r="H131" i="1"/>
  <c r="I131" i="1" s="1"/>
  <c r="J131" i="1" s="1"/>
  <c r="H119" i="1"/>
  <c r="I119" i="1" s="1"/>
  <c r="J119" i="1" s="1"/>
  <c r="I107" i="1"/>
  <c r="J107" i="1" s="1"/>
  <c r="H95" i="1"/>
  <c r="I95" i="1" s="1"/>
  <c r="J95" i="1" s="1"/>
  <c r="H83" i="1"/>
  <c r="I83" i="1" s="1"/>
  <c r="J83" i="1" s="1"/>
  <c r="H71" i="1"/>
  <c r="I71" i="1" s="1"/>
  <c r="J71" i="1" s="1"/>
  <c r="H59" i="1"/>
  <c r="I59" i="1" s="1"/>
  <c r="J59" i="1" s="1"/>
  <c r="H47" i="1"/>
  <c r="I47" i="1" s="1"/>
  <c r="J47" i="1" s="1"/>
  <c r="H35" i="1"/>
  <c r="I35" i="1" s="1"/>
  <c r="J35" i="1" s="1"/>
  <c r="H23" i="1"/>
  <c r="I23" i="1" s="1"/>
  <c r="J23" i="1" s="1"/>
  <c r="H11" i="1"/>
  <c r="I11" i="1" s="1"/>
  <c r="J11" i="1" s="1"/>
  <c r="H1931" i="1"/>
  <c r="I1931" i="1" s="1"/>
  <c r="J1931" i="1" s="1"/>
  <c r="H1838" i="1"/>
  <c r="I1838" i="1" s="1"/>
  <c r="J1838" i="1" s="1"/>
  <c r="H1802" i="1"/>
  <c r="I1802" i="1" s="1"/>
  <c r="J1802" i="1" s="1"/>
  <c r="H1715" i="1"/>
  <c r="I1715" i="1" s="1"/>
  <c r="J1715" i="1" s="1"/>
  <c r="H1586" i="1"/>
  <c r="I1586" i="1" s="1"/>
  <c r="J1586" i="1" s="1"/>
  <c r="H1391" i="1"/>
  <c r="I1391" i="1" s="1"/>
  <c r="J1391" i="1" s="1"/>
  <c r="H1192" i="1"/>
  <c r="I1192" i="1" s="1"/>
  <c r="J1192" i="1" s="1"/>
  <c r="H829" i="1"/>
  <c r="I829" i="1" s="1"/>
  <c r="J829" i="1" s="1"/>
  <c r="H707" i="1"/>
  <c r="I707" i="1" s="1"/>
  <c r="J707" i="1" s="1"/>
  <c r="H468" i="1"/>
  <c r="I468" i="1" s="1"/>
  <c r="J468" i="1" s="1"/>
  <c r="H362" i="1"/>
  <c r="I362" i="1" s="1"/>
  <c r="J362" i="1" s="1"/>
  <c r="H206" i="1"/>
  <c r="I206" i="1" s="1"/>
  <c r="J206" i="1" s="1"/>
  <c r="H62" i="1"/>
  <c r="I62" i="1" s="1"/>
  <c r="J62" i="1" s="1"/>
  <c r="H471" i="1"/>
  <c r="I471" i="1" s="1"/>
  <c r="J471" i="1" s="1"/>
  <c r="H387" i="1"/>
  <c r="I387" i="1" s="1"/>
  <c r="J387" i="1" s="1"/>
  <c r="H303" i="1"/>
  <c r="I303" i="1" s="1"/>
  <c r="J303" i="1" s="1"/>
  <c r="H231" i="1"/>
  <c r="I231" i="1" s="1"/>
  <c r="J231" i="1" s="1"/>
  <c r="H171" i="1"/>
  <c r="I171" i="1" s="1"/>
  <c r="J171" i="1" s="1"/>
  <c r="H111" i="1"/>
  <c r="I111" i="1" s="1"/>
  <c r="J111" i="1" s="1"/>
  <c r="H63" i="1"/>
  <c r="I63" i="1" s="1"/>
  <c r="J63" i="1" s="1"/>
  <c r="H1990" i="1"/>
  <c r="I1990" i="1" s="1"/>
  <c r="J1990" i="1" s="1"/>
  <c r="H1942" i="1"/>
  <c r="I1942" i="1" s="1"/>
  <c r="J1942" i="1" s="1"/>
  <c r="H1918" i="1"/>
  <c r="I1918" i="1" s="1"/>
  <c r="J1918" i="1" s="1"/>
  <c r="I1882" i="1"/>
  <c r="J1882" i="1" s="1"/>
  <c r="H1858" i="1"/>
  <c r="I1858" i="1" s="1"/>
  <c r="J1858" i="1" s="1"/>
  <c r="H1846" i="1"/>
  <c r="I1846" i="1" s="1"/>
  <c r="J1846" i="1" s="1"/>
  <c r="H1834" i="1"/>
  <c r="I1834" i="1" s="1"/>
  <c r="J1834" i="1" s="1"/>
  <c r="H1810" i="1"/>
  <c r="I1810" i="1" s="1"/>
  <c r="J1810" i="1" s="1"/>
  <c r="H1798" i="1"/>
  <c r="I1798" i="1" s="1"/>
  <c r="J1798" i="1" s="1"/>
  <c r="H1774" i="1"/>
  <c r="I1774" i="1" s="1"/>
  <c r="J1774" i="1" s="1"/>
  <c r="H1750" i="1"/>
  <c r="I1750" i="1" s="1"/>
  <c r="J1750" i="1" s="1"/>
  <c r="H1738" i="1"/>
  <c r="I1738" i="1" s="1"/>
  <c r="J1738" i="1" s="1"/>
  <c r="H1726" i="1"/>
  <c r="I1726" i="1" s="1"/>
  <c r="J1726" i="1" s="1"/>
  <c r="H1714" i="1"/>
  <c r="I1714" i="1" s="1"/>
  <c r="J1714" i="1" s="1"/>
  <c r="H1702" i="1"/>
  <c r="I1702" i="1" s="1"/>
  <c r="J1702" i="1" s="1"/>
  <c r="H1666" i="1"/>
  <c r="I1666" i="1" s="1"/>
  <c r="J1666" i="1" s="1"/>
  <c r="H1654" i="1"/>
  <c r="I1654" i="1" s="1"/>
  <c r="J1654" i="1" s="1"/>
  <c r="H1642" i="1"/>
  <c r="I1642" i="1" s="1"/>
  <c r="J1642" i="1" s="1"/>
  <c r="H1630" i="1"/>
  <c r="I1630" i="1" s="1"/>
  <c r="J1630" i="1" s="1"/>
  <c r="H1594" i="1"/>
  <c r="I1594" i="1" s="1"/>
  <c r="J1594" i="1" s="1"/>
  <c r="H1582" i="1"/>
  <c r="I1582" i="1" s="1"/>
  <c r="J1582" i="1" s="1"/>
  <c r="H1570" i="1"/>
  <c r="I1570" i="1" s="1"/>
  <c r="J1570" i="1" s="1"/>
  <c r="H1558" i="1"/>
  <c r="I1558" i="1" s="1"/>
  <c r="J1558" i="1" s="1"/>
  <c r="H1546" i="1"/>
  <c r="I1546" i="1" s="1"/>
  <c r="J1546" i="1" s="1"/>
  <c r="H1534" i="1"/>
  <c r="I1534" i="1" s="1"/>
  <c r="J1534" i="1" s="1"/>
  <c r="H1510" i="1"/>
  <c r="I1510" i="1" s="1"/>
  <c r="J1510" i="1" s="1"/>
  <c r="H1498" i="1"/>
  <c r="I1498" i="1" s="1"/>
  <c r="J1498" i="1" s="1"/>
  <c r="H1486" i="1"/>
  <c r="I1486" i="1" s="1"/>
  <c r="J1486" i="1" s="1"/>
  <c r="H1462" i="1"/>
  <c r="I1462" i="1" s="1"/>
  <c r="J1462" i="1" s="1"/>
  <c r="H1450" i="1"/>
  <c r="I1450" i="1" s="1"/>
  <c r="J1450" i="1" s="1"/>
  <c r="H1438" i="1"/>
  <c r="I1438" i="1" s="1"/>
  <c r="J1438" i="1" s="1"/>
  <c r="H1426" i="1"/>
  <c r="I1426" i="1" s="1"/>
  <c r="J1426" i="1" s="1"/>
  <c r="H1414" i="1"/>
  <c r="I1414" i="1" s="1"/>
  <c r="J1414" i="1" s="1"/>
  <c r="H1402" i="1"/>
  <c r="I1402" i="1" s="1"/>
  <c r="J1402" i="1" s="1"/>
  <c r="H1378" i="1"/>
  <c r="I1378" i="1" s="1"/>
  <c r="J1378" i="1" s="1"/>
  <c r="H1366" i="1"/>
  <c r="I1366" i="1" s="1"/>
  <c r="J1366" i="1" s="1"/>
  <c r="H1354" i="1"/>
  <c r="I1354" i="1" s="1"/>
  <c r="J1354" i="1" s="1"/>
  <c r="H1342" i="1"/>
  <c r="I1342" i="1" s="1"/>
  <c r="J1342" i="1" s="1"/>
  <c r="H1318" i="1"/>
  <c r="I1318" i="1" s="1"/>
  <c r="J1318" i="1" s="1"/>
  <c r="H1306" i="1"/>
  <c r="I1306" i="1" s="1"/>
  <c r="J1306" i="1" s="1"/>
  <c r="H1294" i="1"/>
  <c r="I1294" i="1" s="1"/>
  <c r="J1294" i="1" s="1"/>
  <c r="H1282" i="1"/>
  <c r="I1282" i="1" s="1"/>
  <c r="J1282" i="1" s="1"/>
  <c r="H1270" i="1"/>
  <c r="I1270" i="1" s="1"/>
  <c r="J1270" i="1" s="1"/>
  <c r="H1258" i="1"/>
  <c r="I1258" i="1" s="1"/>
  <c r="J1258" i="1" s="1"/>
  <c r="H1246" i="1"/>
  <c r="I1246" i="1" s="1"/>
  <c r="J1246" i="1" s="1"/>
  <c r="H1234" i="1"/>
  <c r="I1234" i="1" s="1"/>
  <c r="J1234" i="1" s="1"/>
  <c r="H1222" i="1"/>
  <c r="I1222" i="1" s="1"/>
  <c r="J1222" i="1" s="1"/>
  <c r="H1210" i="1"/>
  <c r="I1210" i="1" s="1"/>
  <c r="J1210" i="1" s="1"/>
  <c r="H1198" i="1"/>
  <c r="I1198" i="1" s="1"/>
  <c r="J1198" i="1" s="1"/>
  <c r="H1186" i="1"/>
  <c r="I1186" i="1" s="1"/>
  <c r="J1186" i="1" s="1"/>
  <c r="H1162" i="1"/>
  <c r="I1162" i="1" s="1"/>
  <c r="J1162" i="1" s="1"/>
  <c r="H1150" i="1"/>
  <c r="I1150" i="1" s="1"/>
  <c r="J1150" i="1" s="1"/>
  <c r="H1114" i="1"/>
  <c r="I1114" i="1" s="1"/>
  <c r="J1114" i="1" s="1"/>
  <c r="H1102" i="1"/>
  <c r="I1102" i="1" s="1"/>
  <c r="J1102" i="1" s="1"/>
  <c r="H1090" i="1"/>
  <c r="I1090" i="1" s="1"/>
  <c r="J1090" i="1" s="1"/>
  <c r="H1078" i="1"/>
  <c r="I1078" i="1" s="1"/>
  <c r="J1078" i="1" s="1"/>
  <c r="H1066" i="1"/>
  <c r="I1066" i="1" s="1"/>
  <c r="J1066" i="1" s="1"/>
  <c r="H1054" i="1"/>
  <c r="I1054" i="1" s="1"/>
  <c r="J1054" i="1" s="1"/>
  <c r="H1030" i="1"/>
  <c r="I1030" i="1" s="1"/>
  <c r="J1030" i="1" s="1"/>
  <c r="H1018" i="1"/>
  <c r="I1018" i="1" s="1"/>
  <c r="J1018" i="1" s="1"/>
  <c r="H1006" i="1"/>
  <c r="I1006" i="1" s="1"/>
  <c r="J1006" i="1" s="1"/>
  <c r="I994" i="1"/>
  <c r="J994" i="1" s="1"/>
  <c r="H982" i="1"/>
  <c r="I982" i="1" s="1"/>
  <c r="J982" i="1" s="1"/>
  <c r="H946" i="1"/>
  <c r="I946" i="1" s="1"/>
  <c r="J946" i="1" s="1"/>
  <c r="H934" i="1"/>
  <c r="I934" i="1" s="1"/>
  <c r="J934" i="1" s="1"/>
  <c r="I910" i="1"/>
  <c r="J910" i="1" s="1"/>
  <c r="H886" i="1"/>
  <c r="I886" i="1" s="1"/>
  <c r="J886" i="1" s="1"/>
  <c r="H874" i="1"/>
  <c r="I874" i="1" s="1"/>
  <c r="J874" i="1" s="1"/>
  <c r="H862" i="1"/>
  <c r="I862" i="1" s="1"/>
  <c r="J862" i="1" s="1"/>
  <c r="H826" i="1"/>
  <c r="I826" i="1" s="1"/>
  <c r="J826" i="1" s="1"/>
  <c r="H802" i="1"/>
  <c r="I802" i="1" s="1"/>
  <c r="J802" i="1" s="1"/>
  <c r="H766" i="1"/>
  <c r="I766" i="1" s="1"/>
  <c r="J766" i="1" s="1"/>
  <c r="I754" i="1"/>
  <c r="J754" i="1" s="1"/>
  <c r="H742" i="1"/>
  <c r="I742" i="1" s="1"/>
  <c r="J742" i="1" s="1"/>
  <c r="H718" i="1"/>
  <c r="I718" i="1" s="1"/>
  <c r="J718" i="1" s="1"/>
  <c r="H682" i="1"/>
  <c r="I682" i="1" s="1"/>
  <c r="J682" i="1" s="1"/>
  <c r="H658" i="1"/>
  <c r="I658" i="1" s="1"/>
  <c r="J658" i="1" s="1"/>
  <c r="H646" i="1"/>
  <c r="I646" i="1" s="1"/>
  <c r="J646" i="1" s="1"/>
  <c r="I634" i="1"/>
  <c r="J634" i="1" s="1"/>
  <c r="H622" i="1"/>
  <c r="I622" i="1" s="1"/>
  <c r="J622" i="1" s="1"/>
  <c r="H610" i="1"/>
  <c r="I610" i="1" s="1"/>
  <c r="J610" i="1" s="1"/>
  <c r="H598" i="1"/>
  <c r="I598" i="1" s="1"/>
  <c r="J598" i="1" s="1"/>
  <c r="H574" i="1"/>
  <c r="I574" i="1" s="1"/>
  <c r="J574" i="1" s="1"/>
  <c r="H562" i="1"/>
  <c r="I562" i="1" s="1"/>
  <c r="J562" i="1" s="1"/>
  <c r="H538" i="1"/>
  <c r="I538" i="1" s="1"/>
  <c r="J538" i="1" s="1"/>
  <c r="H514" i="1"/>
  <c r="I514" i="1" s="1"/>
  <c r="J514" i="1" s="1"/>
  <c r="H502" i="1"/>
  <c r="I502" i="1" s="1"/>
  <c r="J502" i="1" s="1"/>
  <c r="I490" i="1"/>
  <c r="J490" i="1" s="1"/>
  <c r="H478" i="1"/>
  <c r="I478" i="1" s="1"/>
  <c r="J478" i="1" s="1"/>
  <c r="I454" i="1"/>
  <c r="J454" i="1" s="1"/>
  <c r="I430" i="1"/>
  <c r="J430" i="1" s="1"/>
  <c r="H418" i="1"/>
  <c r="I418" i="1" s="1"/>
  <c r="J418" i="1" s="1"/>
  <c r="H406" i="1"/>
  <c r="I406" i="1" s="1"/>
  <c r="J406" i="1" s="1"/>
  <c r="H394" i="1"/>
  <c r="I394" i="1" s="1"/>
  <c r="J394" i="1" s="1"/>
  <c r="H370" i="1"/>
  <c r="I370" i="1" s="1"/>
  <c r="J370" i="1" s="1"/>
  <c r="H358" i="1"/>
  <c r="I358" i="1" s="1"/>
  <c r="J358" i="1" s="1"/>
  <c r="H346" i="1"/>
  <c r="I346" i="1" s="1"/>
  <c r="J346" i="1" s="1"/>
  <c r="H322" i="1"/>
  <c r="I322" i="1" s="1"/>
  <c r="J322" i="1" s="1"/>
  <c r="H310" i="1"/>
  <c r="I310" i="1" s="1"/>
  <c r="J310" i="1" s="1"/>
  <c r="H286" i="1"/>
  <c r="I286" i="1" s="1"/>
  <c r="J286" i="1" s="1"/>
  <c r="I274" i="1"/>
  <c r="J274" i="1" s="1"/>
  <c r="H262" i="1"/>
  <c r="I262" i="1" s="1"/>
  <c r="J262" i="1" s="1"/>
  <c r="H238" i="1"/>
  <c r="I238" i="1" s="1"/>
  <c r="J238" i="1" s="1"/>
  <c r="H226" i="1"/>
  <c r="I226" i="1" s="1"/>
  <c r="J226" i="1" s="1"/>
  <c r="I214" i="1"/>
  <c r="J214" i="1" s="1"/>
  <c r="I202" i="1"/>
  <c r="J202" i="1" s="1"/>
  <c r="H178" i="1"/>
  <c r="I178" i="1" s="1"/>
  <c r="J178" i="1" s="1"/>
  <c r="H166" i="1"/>
  <c r="I166" i="1" s="1"/>
  <c r="J166" i="1" s="1"/>
  <c r="I142" i="1"/>
  <c r="J142" i="1" s="1"/>
  <c r="H130" i="1"/>
  <c r="I130" i="1" s="1"/>
  <c r="J130" i="1" s="1"/>
  <c r="I118" i="1"/>
  <c r="J118" i="1" s="1"/>
  <c r="H82" i="1"/>
  <c r="I82" i="1" s="1"/>
  <c r="J82" i="1" s="1"/>
  <c r="H70" i="1"/>
  <c r="I70" i="1" s="1"/>
  <c r="J70" i="1" s="1"/>
  <c r="H58" i="1"/>
  <c r="I58" i="1" s="1"/>
  <c r="J58" i="1" s="1"/>
  <c r="H46" i="1"/>
  <c r="I46" i="1" s="1"/>
  <c r="J46" i="1" s="1"/>
  <c r="H34" i="1"/>
  <c r="I34" i="1" s="1"/>
  <c r="J34" i="1" s="1"/>
  <c r="H10" i="1"/>
  <c r="I10" i="1" s="1"/>
  <c r="J10" i="1" s="1"/>
  <c r="H1960" i="1"/>
  <c r="I1960" i="1" s="1"/>
  <c r="J1960" i="1" s="1"/>
  <c r="H1930" i="1"/>
  <c r="I1930" i="1" s="1"/>
  <c r="J1930" i="1" s="1"/>
  <c r="H1898" i="1"/>
  <c r="I1898" i="1" s="1"/>
  <c r="J1898" i="1" s="1"/>
  <c r="H1837" i="1"/>
  <c r="I1837" i="1" s="1"/>
  <c r="J1837" i="1" s="1"/>
  <c r="H1801" i="1"/>
  <c r="I1801" i="1" s="1"/>
  <c r="J1801" i="1" s="1"/>
  <c r="H805" i="1"/>
  <c r="I805" i="1" s="1"/>
  <c r="J805" i="1" s="1"/>
  <c r="H706" i="1"/>
  <c r="I706" i="1" s="1"/>
  <c r="J706" i="1" s="1"/>
  <c r="H467" i="1"/>
  <c r="I467" i="1" s="1"/>
  <c r="J467" i="1" s="1"/>
  <c r="H334" i="1"/>
  <c r="I334" i="1" s="1"/>
  <c r="J334" i="1" s="1"/>
  <c r="H205" i="1"/>
  <c r="I205" i="1" s="1"/>
  <c r="J205" i="1" s="1"/>
  <c r="H61" i="1"/>
  <c r="I61" i="1" s="1"/>
  <c r="J61" i="1" s="1"/>
  <c r="K1068" i="1"/>
  <c r="K1978" i="1"/>
  <c r="L1978" i="1"/>
  <c r="K454" i="1"/>
  <c r="L454" i="1"/>
  <c r="K1798" i="1"/>
  <c r="L1798" i="1"/>
  <c r="L1620" i="1"/>
  <c r="K777" i="1"/>
  <c r="L777" i="1"/>
  <c r="K1389" i="1"/>
  <c r="K1954" i="1"/>
  <c r="L1954" i="1"/>
  <c r="K1774" i="1"/>
  <c r="L1774" i="1"/>
  <c r="K1869" i="1"/>
  <c r="L1869" i="1"/>
  <c r="K825" i="1"/>
  <c r="L825" i="1"/>
  <c r="K309" i="1"/>
  <c r="L309" i="1"/>
  <c r="K1872" i="1"/>
  <c r="L1872" i="1"/>
  <c r="K1836" i="1"/>
  <c r="L1836" i="1"/>
  <c r="K1656" i="1"/>
  <c r="L1656" i="1"/>
  <c r="K1548" i="1"/>
  <c r="L1548" i="1"/>
  <c r="K1440" i="1"/>
  <c r="L1440" i="1"/>
  <c r="K1308" i="1"/>
  <c r="L1308" i="1"/>
  <c r="L1152" i="1"/>
  <c r="K1152" i="1"/>
  <c r="L948" i="1"/>
  <c r="K948" i="1"/>
  <c r="L792" i="1"/>
  <c r="K792" i="1"/>
  <c r="K756" i="1"/>
  <c r="L756" i="1"/>
  <c r="L432" i="1"/>
  <c r="K432" i="1"/>
  <c r="L1476" i="1"/>
  <c r="K1906" i="1"/>
  <c r="L1906" i="1"/>
  <c r="K1870" i="1"/>
  <c r="L1870" i="1"/>
  <c r="K250" i="1"/>
  <c r="L250" i="1"/>
  <c r="K561" i="1"/>
  <c r="L561" i="1"/>
  <c r="K1944" i="1"/>
  <c r="L1944" i="1"/>
  <c r="K1908" i="1"/>
  <c r="L1908" i="1"/>
  <c r="K1692" i="1"/>
  <c r="L1692" i="1"/>
  <c r="K1584" i="1"/>
  <c r="L1584" i="1"/>
  <c r="K1512" i="1"/>
  <c r="L1512" i="1"/>
  <c r="L1224" i="1"/>
  <c r="K1224" i="1"/>
  <c r="L1164" i="1"/>
  <c r="K1164" i="1"/>
  <c r="K864" i="1"/>
  <c r="L864" i="1"/>
  <c r="K540" i="1"/>
  <c r="L540" i="1"/>
  <c r="L288" i="1"/>
  <c r="K288" i="1"/>
  <c r="K1547" i="1"/>
  <c r="L1547" i="1"/>
  <c r="K767" i="1"/>
  <c r="L767" i="1"/>
  <c r="K671" i="1"/>
  <c r="L671" i="1"/>
  <c r="L611" i="1"/>
  <c r="K611" i="1"/>
  <c r="K515" i="1"/>
  <c r="L515" i="1"/>
  <c r="K407" i="1"/>
  <c r="L407" i="1"/>
  <c r="K1352" i="1"/>
  <c r="L1352" i="1"/>
  <c r="L1974" i="1"/>
  <c r="K1974" i="1"/>
  <c r="K1542" i="1"/>
  <c r="L1542" i="1"/>
  <c r="K1506" i="1"/>
  <c r="L1506" i="1"/>
  <c r="K1242" i="1"/>
  <c r="L1242" i="1"/>
  <c r="L1121" i="1"/>
  <c r="K1121" i="1"/>
  <c r="K1025" i="1"/>
  <c r="L1025" i="1"/>
  <c r="L1693" i="1"/>
  <c r="K1460" i="1"/>
  <c r="L1460" i="1"/>
  <c r="L1723" i="1"/>
  <c r="K1723" i="1"/>
  <c r="K1351" i="1"/>
  <c r="L1351" i="1"/>
  <c r="K331" i="1"/>
  <c r="L331" i="1"/>
  <c r="L1255" i="1"/>
  <c r="L1122" i="1"/>
  <c r="K1122" i="1"/>
  <c r="K1014" i="1"/>
  <c r="L1014" i="1"/>
  <c r="L678" i="1"/>
  <c r="K678" i="1"/>
  <c r="K1120" i="1"/>
  <c r="L1120" i="1"/>
  <c r="L1711" i="1"/>
  <c r="K1958" i="1"/>
  <c r="L1958" i="1"/>
  <c r="K1850" i="1"/>
  <c r="L1850" i="1"/>
  <c r="K1718" i="1"/>
  <c r="L1718" i="1"/>
  <c r="K1118" i="1"/>
  <c r="L1118" i="1"/>
  <c r="K1022" i="1"/>
  <c r="L1022" i="1"/>
  <c r="K1735" i="1"/>
  <c r="L1736" i="1"/>
  <c r="K1736" i="1"/>
  <c r="K991" i="1"/>
  <c r="L991" i="1"/>
  <c r="K775" i="1"/>
  <c r="L775" i="1"/>
  <c r="K679" i="1"/>
  <c r="L679" i="1"/>
  <c r="K559" i="1"/>
  <c r="L559" i="1"/>
  <c r="K1194" i="1"/>
  <c r="L1194" i="1"/>
  <c r="L1820" i="1"/>
  <c r="L931" i="1"/>
  <c r="K1073" i="1"/>
  <c r="L1073" i="1"/>
  <c r="K1945" i="1"/>
  <c r="L1945" i="1"/>
  <c r="K1909" i="1"/>
  <c r="L1909" i="1"/>
  <c r="K1777" i="1"/>
  <c r="L1777" i="1"/>
  <c r="K1753" i="1"/>
  <c r="L1753" i="1"/>
  <c r="L1561" i="1"/>
  <c r="K1561" i="1"/>
  <c r="K1549" i="1"/>
  <c r="L1549" i="1"/>
  <c r="K1513" i="1"/>
  <c r="L1513" i="1"/>
  <c r="K1477" i="1"/>
  <c r="L1477" i="1"/>
  <c r="K1333" i="1"/>
  <c r="L1333" i="1"/>
  <c r="K1309" i="1"/>
  <c r="L1309" i="1"/>
  <c r="L901" i="1"/>
  <c r="K901" i="1"/>
  <c r="K649" i="1"/>
  <c r="L649" i="1"/>
  <c r="K457" i="1"/>
  <c r="L457" i="1"/>
  <c r="K433" i="1"/>
  <c r="L433" i="1"/>
  <c r="K73" i="1"/>
  <c r="L73" i="1"/>
  <c r="K1406" i="1"/>
  <c r="L1621" i="1"/>
  <c r="L1996" i="1"/>
  <c r="K1937" i="1"/>
  <c r="L1995" i="1"/>
  <c r="K11" i="1"/>
  <c r="L11" i="1"/>
  <c r="K1997" i="1"/>
  <c r="L1997" i="1"/>
  <c r="L1985" i="1"/>
  <c r="K1985" i="1"/>
  <c r="L1973" i="1"/>
  <c r="K1973" i="1"/>
  <c r="K1961" i="1"/>
  <c r="L1961" i="1"/>
  <c r="K1949" i="1"/>
  <c r="L1949" i="1"/>
  <c r="K1925" i="1"/>
  <c r="L1925" i="1"/>
  <c r="K1913" i="1"/>
  <c r="L1913" i="1"/>
  <c r="L1901" i="1"/>
  <c r="K1901" i="1"/>
  <c r="K1889" i="1"/>
  <c r="L1889" i="1"/>
  <c r="K1877" i="1"/>
  <c r="L1877" i="1"/>
  <c r="L1865" i="1"/>
  <c r="K1865" i="1"/>
  <c r="K1853" i="1"/>
  <c r="L1853" i="1"/>
  <c r="K1841" i="1"/>
  <c r="L1841" i="1"/>
  <c r="L1829" i="1"/>
  <c r="K1829" i="1"/>
  <c r="K1817" i="1"/>
  <c r="L1817" i="1"/>
  <c r="K1805" i="1"/>
  <c r="L1805" i="1"/>
  <c r="L1793" i="1"/>
  <c r="K1793" i="1"/>
  <c r="K1781" i="1"/>
  <c r="L1781" i="1"/>
  <c r="K1769" i="1"/>
  <c r="L1769" i="1"/>
  <c r="L1757" i="1"/>
  <c r="K1757" i="1"/>
  <c r="K1745" i="1"/>
  <c r="L1745" i="1"/>
  <c r="K1733" i="1"/>
  <c r="L1733" i="1"/>
  <c r="K1721" i="1"/>
  <c r="L1721" i="1"/>
  <c r="K1709" i="1"/>
  <c r="L1709" i="1"/>
  <c r="K1697" i="1"/>
  <c r="L1697" i="1"/>
  <c r="L1685" i="1"/>
  <c r="K1685" i="1"/>
  <c r="K1673" i="1"/>
  <c r="L1673" i="1"/>
  <c r="K1661" i="1"/>
  <c r="L1661" i="1"/>
  <c r="L1649" i="1"/>
  <c r="K1649" i="1"/>
  <c r="K1637" i="1"/>
  <c r="L1637" i="1"/>
  <c r="L1625" i="1"/>
  <c r="K1625" i="1"/>
  <c r="K1613" i="1"/>
  <c r="L1613" i="1"/>
  <c r="K1601" i="1"/>
  <c r="L1601" i="1"/>
  <c r="K1589" i="1"/>
  <c r="L1589" i="1"/>
  <c r="L1577" i="1"/>
  <c r="K1577" i="1"/>
  <c r="K1565" i="1"/>
  <c r="L1565" i="1"/>
  <c r="L1553" i="1"/>
  <c r="K1553" i="1"/>
  <c r="K1541" i="1"/>
  <c r="L1541" i="1"/>
  <c r="K1529" i="1"/>
  <c r="L1529" i="1"/>
  <c r="L1517" i="1"/>
  <c r="K1517" i="1"/>
  <c r="L1505" i="1"/>
  <c r="K1505" i="1"/>
  <c r="K1493" i="1"/>
  <c r="L1493" i="1"/>
  <c r="K1481" i="1"/>
  <c r="L1481" i="1"/>
  <c r="L1469" i="1"/>
  <c r="K1469" i="1"/>
  <c r="L1457" i="1"/>
  <c r="K1457" i="1"/>
  <c r="K1445" i="1"/>
  <c r="L1445" i="1"/>
  <c r="K1433" i="1"/>
  <c r="L1433" i="1"/>
  <c r="L1421" i="1"/>
  <c r="K1421" i="1"/>
  <c r="K1409" i="1"/>
  <c r="L1409" i="1"/>
  <c r="K1397" i="1"/>
  <c r="L1397" i="1"/>
  <c r="L1385" i="1"/>
  <c r="K1385" i="1"/>
  <c r="K1373" i="1"/>
  <c r="L1373" i="1"/>
  <c r="K1361" i="1"/>
  <c r="L1361" i="1"/>
  <c r="K1349" i="1"/>
  <c r="L1349" i="1"/>
  <c r="L1337" i="1"/>
  <c r="K1337" i="1"/>
  <c r="K1325" i="1"/>
  <c r="L1325" i="1"/>
  <c r="K1313" i="1"/>
  <c r="L1313" i="1"/>
  <c r="K1301" i="1"/>
  <c r="L1301" i="1"/>
  <c r="K1289" i="1"/>
  <c r="L1289" i="1"/>
  <c r="K1277" i="1"/>
  <c r="L1277" i="1"/>
  <c r="K1265" i="1"/>
  <c r="L1265" i="1"/>
  <c r="K1253" i="1"/>
  <c r="L1253" i="1"/>
  <c r="L1241" i="1"/>
  <c r="K1241" i="1"/>
  <c r="K1229" i="1"/>
  <c r="L1229" i="1"/>
  <c r="K1217" i="1"/>
  <c r="L1217" i="1"/>
  <c r="L1205" i="1"/>
  <c r="K1205" i="1"/>
  <c r="K1193" i="1"/>
  <c r="L1193" i="1"/>
  <c r="K1181" i="1"/>
  <c r="L1181" i="1"/>
  <c r="K1169" i="1"/>
  <c r="L1169" i="1"/>
  <c r="K10" i="1"/>
  <c r="L10" i="1"/>
  <c r="L1984" i="1"/>
  <c r="K1984" i="1"/>
  <c r="K1972" i="1"/>
  <c r="L1972" i="1"/>
  <c r="K1960" i="1"/>
  <c r="L1960" i="1"/>
  <c r="K1948" i="1"/>
  <c r="L1948" i="1"/>
  <c r="L1936" i="1"/>
  <c r="K1936" i="1"/>
  <c r="K1924" i="1"/>
  <c r="L1924" i="1"/>
  <c r="K1912" i="1"/>
  <c r="L1912" i="1"/>
  <c r="L1900" i="1"/>
  <c r="K1900" i="1"/>
  <c r="K1888" i="1"/>
  <c r="L1888" i="1"/>
  <c r="K1876" i="1"/>
  <c r="L1876" i="1"/>
  <c r="K1864" i="1"/>
  <c r="L1864" i="1"/>
  <c r="K1852" i="1"/>
  <c r="L1852" i="1"/>
  <c r="K1840" i="1"/>
  <c r="L1840" i="1"/>
  <c r="L1828" i="1"/>
  <c r="K1828" i="1"/>
  <c r="K1816" i="1"/>
  <c r="L1816" i="1"/>
  <c r="K1804" i="1"/>
  <c r="L1804" i="1"/>
  <c r="K1792" i="1"/>
  <c r="L1792" i="1"/>
  <c r="K1780" i="1"/>
  <c r="L1780" i="1"/>
  <c r="K1768" i="1"/>
  <c r="L1768" i="1"/>
  <c r="K1756" i="1"/>
  <c r="L1756" i="1"/>
  <c r="K1744" i="1"/>
  <c r="L1744" i="1"/>
  <c r="K1732" i="1"/>
  <c r="L1732" i="1"/>
  <c r="L1720" i="1"/>
  <c r="K1720" i="1"/>
  <c r="K1708" i="1"/>
  <c r="L1708" i="1"/>
  <c r="K1696" i="1"/>
  <c r="L1696" i="1"/>
  <c r="L1684" i="1"/>
  <c r="K1684" i="1"/>
  <c r="K1672" i="1"/>
  <c r="L1672" i="1"/>
  <c r="K1660" i="1"/>
  <c r="L1660" i="1"/>
  <c r="L1648" i="1"/>
  <c r="K1648" i="1"/>
  <c r="K1636" i="1"/>
  <c r="L1636" i="1"/>
  <c r="L1624" i="1"/>
  <c r="K1624" i="1"/>
  <c r="K1612" i="1"/>
  <c r="L1612" i="1"/>
  <c r="K1600" i="1"/>
  <c r="L1600" i="1"/>
  <c r="K1588" i="1"/>
  <c r="L1588" i="1"/>
  <c r="L1576" i="1"/>
  <c r="K1576" i="1"/>
  <c r="L1552" i="1"/>
  <c r="K1552" i="1"/>
  <c r="K1540" i="1"/>
  <c r="L1540" i="1"/>
  <c r="K1528" i="1"/>
  <c r="L1528" i="1"/>
  <c r="L1516" i="1"/>
  <c r="K1516" i="1"/>
  <c r="L1504" i="1"/>
  <c r="K1504" i="1"/>
  <c r="K1492" i="1"/>
  <c r="L1492" i="1"/>
  <c r="K1480" i="1"/>
  <c r="L1480" i="1"/>
  <c r="L1468" i="1"/>
  <c r="K1468" i="1"/>
  <c r="L1456" i="1"/>
  <c r="K1456" i="1"/>
  <c r="K1444" i="1"/>
  <c r="L1444" i="1"/>
  <c r="K1432" i="1"/>
  <c r="L1432" i="1"/>
  <c r="K1420" i="1"/>
  <c r="L1420" i="1"/>
  <c r="K1408" i="1"/>
  <c r="L1408" i="1"/>
  <c r="K1396" i="1"/>
  <c r="L1396" i="1"/>
  <c r="K1384" i="1"/>
  <c r="L1384" i="1"/>
  <c r="K1372" i="1"/>
  <c r="L1372" i="1"/>
  <c r="K1360" i="1"/>
  <c r="L1360" i="1"/>
  <c r="K1348" i="1"/>
  <c r="L1348" i="1"/>
  <c r="K1336" i="1"/>
  <c r="L1336" i="1"/>
  <c r="K1324" i="1"/>
  <c r="L1324" i="1"/>
  <c r="K1312" i="1"/>
  <c r="L1312" i="1"/>
  <c r="K1300" i="1"/>
  <c r="L1300" i="1"/>
  <c r="K1288" i="1"/>
  <c r="L1288" i="1"/>
  <c r="K1276" i="1"/>
  <c r="L1276" i="1"/>
  <c r="L1264" i="1"/>
  <c r="K1264" i="1"/>
  <c r="K1252" i="1"/>
  <c r="L1252" i="1"/>
  <c r="L1240" i="1"/>
  <c r="K1240" i="1"/>
  <c r="K1228" i="1"/>
  <c r="L1228" i="1"/>
  <c r="K1216" i="1"/>
  <c r="L1216" i="1"/>
  <c r="K1204" i="1"/>
  <c r="L1204" i="1"/>
  <c r="K1192" i="1"/>
  <c r="L1192" i="1"/>
  <c r="K1180" i="1"/>
  <c r="L1180" i="1"/>
  <c r="K1168" i="1"/>
  <c r="L1168" i="1"/>
  <c r="K1156" i="1"/>
  <c r="L1156" i="1"/>
  <c r="K1144" i="1"/>
  <c r="L1144" i="1"/>
  <c r="K1132" i="1"/>
  <c r="L1132" i="1"/>
  <c r="K1108" i="1"/>
  <c r="L1108" i="1"/>
  <c r="K1096" i="1"/>
  <c r="L1096" i="1"/>
  <c r="L1084" i="1"/>
  <c r="K1084" i="1"/>
  <c r="K1072" i="1"/>
  <c r="L1072" i="1"/>
  <c r="K1060" i="1"/>
  <c r="L1060" i="1"/>
  <c r="K1048" i="1"/>
  <c r="L1048" i="1"/>
  <c r="K1036" i="1"/>
  <c r="L1036" i="1"/>
  <c r="K1024" i="1"/>
  <c r="L1024" i="1"/>
  <c r="K1012" i="1"/>
  <c r="L1012" i="1"/>
  <c r="L1000" i="1"/>
  <c r="K1000" i="1"/>
  <c r="K988" i="1"/>
  <c r="L988" i="1"/>
  <c r="K976" i="1"/>
  <c r="L976" i="1"/>
  <c r="K964" i="1"/>
  <c r="L964" i="1"/>
  <c r="K952" i="1"/>
  <c r="L952" i="1"/>
  <c r="K940" i="1"/>
  <c r="L940" i="1"/>
  <c r="K928" i="1"/>
  <c r="L928" i="1"/>
  <c r="K916" i="1"/>
  <c r="L916" i="1"/>
  <c r="L904" i="1"/>
  <c r="K904" i="1"/>
  <c r="K892" i="1"/>
  <c r="L892" i="1"/>
  <c r="L880" i="1"/>
  <c r="K880" i="1"/>
  <c r="K868" i="1"/>
  <c r="L868" i="1"/>
  <c r="K856" i="1"/>
  <c r="L856" i="1"/>
  <c r="K844" i="1"/>
  <c r="L844" i="1"/>
  <c r="L832" i="1"/>
  <c r="K832" i="1"/>
  <c r="K820" i="1"/>
  <c r="L820" i="1"/>
  <c r="K808" i="1"/>
  <c r="L808" i="1"/>
  <c r="K796" i="1"/>
  <c r="L796" i="1"/>
  <c r="K784" i="1"/>
  <c r="L784" i="1"/>
  <c r="L772" i="1"/>
  <c r="K772" i="1"/>
  <c r="K760" i="1"/>
  <c r="L760" i="1"/>
  <c r="K748" i="1"/>
  <c r="L748" i="1"/>
  <c r="L736" i="1"/>
  <c r="K736" i="1"/>
  <c r="L724" i="1"/>
  <c r="K724" i="1"/>
  <c r="K712" i="1"/>
  <c r="L712" i="1"/>
  <c r="K700" i="1"/>
  <c r="L700" i="1"/>
  <c r="K688" i="1"/>
  <c r="L688" i="1"/>
  <c r="L676" i="1"/>
  <c r="K676" i="1"/>
  <c r="K664" i="1"/>
  <c r="L664" i="1"/>
  <c r="L652" i="1"/>
  <c r="K652" i="1"/>
  <c r="K640" i="1"/>
  <c r="L640" i="1"/>
  <c r="K628" i="1"/>
  <c r="L628" i="1"/>
  <c r="L616" i="1"/>
  <c r="K616" i="1"/>
  <c r="K604" i="1"/>
  <c r="L604" i="1"/>
  <c r="K592" i="1"/>
  <c r="L592" i="1"/>
  <c r="K580" i="1"/>
  <c r="L580" i="1"/>
  <c r="K568" i="1"/>
  <c r="L568" i="1"/>
  <c r="L556" i="1"/>
  <c r="K556" i="1"/>
  <c r="K544" i="1"/>
  <c r="L544" i="1"/>
  <c r="L532" i="1"/>
  <c r="K532" i="1"/>
  <c r="K520" i="1"/>
  <c r="L520" i="1"/>
  <c r="K508" i="1"/>
  <c r="L508" i="1"/>
  <c r="K496" i="1"/>
  <c r="L496" i="1"/>
  <c r="L484" i="1"/>
  <c r="K484" i="1"/>
  <c r="K472" i="1"/>
  <c r="L472" i="1"/>
  <c r="K460" i="1"/>
  <c r="L460" i="1"/>
  <c r="K448" i="1"/>
  <c r="L448" i="1"/>
  <c r="L436" i="1"/>
  <c r="K436" i="1"/>
  <c r="K424" i="1"/>
  <c r="L424" i="1"/>
  <c r="L412" i="1"/>
  <c r="K412" i="1"/>
  <c r="K400" i="1"/>
  <c r="L400" i="1"/>
  <c r="K388" i="1"/>
  <c r="L388" i="1"/>
  <c r="L376" i="1"/>
  <c r="K376" i="1"/>
  <c r="L364" i="1"/>
  <c r="K364" i="1"/>
  <c r="K352" i="1"/>
  <c r="L352" i="1"/>
  <c r="K340" i="1"/>
  <c r="L340" i="1"/>
  <c r="K328" i="1"/>
  <c r="L328" i="1"/>
  <c r="L316" i="1"/>
  <c r="K316" i="1"/>
  <c r="K304" i="1"/>
  <c r="L304" i="1"/>
  <c r="L292" i="1"/>
  <c r="K292" i="1"/>
  <c r="K280" i="1"/>
  <c r="L280" i="1"/>
  <c r="K268" i="1"/>
  <c r="L268" i="1"/>
  <c r="K256" i="1"/>
  <c r="L256" i="1"/>
  <c r="L244" i="1"/>
  <c r="K244" i="1"/>
  <c r="K232" i="1"/>
  <c r="L232" i="1"/>
  <c r="K220" i="1"/>
  <c r="L220" i="1"/>
  <c r="K208" i="1"/>
  <c r="L208" i="1"/>
  <c r="L196" i="1"/>
  <c r="K196" i="1"/>
  <c r="K184" i="1"/>
  <c r="L184" i="1"/>
  <c r="K172" i="1"/>
  <c r="L172" i="1"/>
  <c r="K160" i="1"/>
  <c r="L160" i="1"/>
  <c r="K148" i="1"/>
  <c r="L148" i="1"/>
  <c r="K136" i="1"/>
  <c r="L136" i="1"/>
  <c r="L124" i="1"/>
  <c r="K124" i="1"/>
  <c r="L112" i="1"/>
  <c r="K112" i="1"/>
  <c r="K100" i="1"/>
  <c r="L100" i="1"/>
  <c r="K88" i="1"/>
  <c r="L88" i="1"/>
  <c r="L76" i="1"/>
  <c r="K76" i="1"/>
  <c r="K64" i="1"/>
  <c r="L64" i="1"/>
  <c r="L52" i="1"/>
  <c r="K52" i="1"/>
  <c r="K40" i="1"/>
  <c r="L40" i="1"/>
  <c r="K28" i="1"/>
  <c r="L28" i="1"/>
  <c r="K1983" i="1"/>
  <c r="L1983" i="1"/>
  <c r="K1935" i="1"/>
  <c r="L1935" i="1"/>
  <c r="K1899" i="1"/>
  <c r="L1899" i="1"/>
  <c r="K1851" i="1"/>
  <c r="L1851" i="1"/>
  <c r="K1815" i="1"/>
  <c r="L1815" i="1"/>
  <c r="K1767" i="1"/>
  <c r="L1767" i="1"/>
  <c r="K1707" i="1"/>
  <c r="L1707" i="1"/>
  <c r="K1671" i="1"/>
  <c r="L1671" i="1"/>
  <c r="L1623" i="1"/>
  <c r="K1623" i="1"/>
  <c r="L1563" i="1"/>
  <c r="K1563" i="1"/>
  <c r="L1503" i="1"/>
  <c r="K1503" i="1"/>
  <c r="K1479" i="1"/>
  <c r="L1479" i="1"/>
  <c r="L1419" i="1"/>
  <c r="K1419" i="1"/>
  <c r="K1359" i="1"/>
  <c r="L1359" i="1"/>
  <c r="K1299" i="1"/>
  <c r="L1299" i="1"/>
  <c r="K1239" i="1"/>
  <c r="L1239" i="1"/>
  <c r="K1179" i="1"/>
  <c r="L1179" i="1"/>
  <c r="K1119" i="1"/>
  <c r="L1119" i="1"/>
  <c r="K1059" i="1"/>
  <c r="L1059" i="1"/>
  <c r="K999" i="1"/>
  <c r="L999" i="1"/>
  <c r="L939" i="1"/>
  <c r="K939" i="1"/>
  <c r="L879" i="1"/>
  <c r="K879" i="1"/>
  <c r="K855" i="1"/>
  <c r="L855" i="1"/>
  <c r="K807" i="1"/>
  <c r="L807" i="1"/>
  <c r="K747" i="1"/>
  <c r="L747" i="1"/>
  <c r="K699" i="1"/>
  <c r="L699" i="1"/>
  <c r="K651" i="1"/>
  <c r="L651" i="1"/>
  <c r="K603" i="1"/>
  <c r="L603" i="1"/>
  <c r="K567" i="1"/>
  <c r="L567" i="1"/>
  <c r="K519" i="1"/>
  <c r="L519" i="1"/>
  <c r="K483" i="1"/>
  <c r="L483" i="1"/>
  <c r="K435" i="1"/>
  <c r="L435" i="1"/>
  <c r="K399" i="1"/>
  <c r="L399" i="1"/>
  <c r="K375" i="1"/>
  <c r="L375" i="1"/>
  <c r="K339" i="1"/>
  <c r="L339" i="1"/>
  <c r="K315" i="1"/>
  <c r="L315" i="1"/>
  <c r="K279" i="1"/>
  <c r="L279" i="1"/>
  <c r="K255" i="1"/>
  <c r="L255" i="1"/>
  <c r="K231" i="1"/>
  <c r="L231" i="1"/>
  <c r="K207" i="1"/>
  <c r="L207" i="1"/>
  <c r="K183" i="1"/>
  <c r="L183" i="1"/>
  <c r="K159" i="1"/>
  <c r="L159" i="1"/>
  <c r="K111" i="1"/>
  <c r="L111" i="1"/>
  <c r="K87" i="1"/>
  <c r="L87" i="1"/>
  <c r="K63" i="1"/>
  <c r="L63" i="1"/>
  <c r="K27" i="1"/>
  <c r="L27" i="1"/>
  <c r="K1947" i="1"/>
  <c r="L1947" i="1"/>
  <c r="K1887" i="1"/>
  <c r="L1887" i="1"/>
  <c r="K1839" i="1"/>
  <c r="L1839" i="1"/>
  <c r="K1779" i="1"/>
  <c r="L1779" i="1"/>
  <c r="K1719" i="1"/>
  <c r="L1719" i="1"/>
  <c r="L1647" i="1"/>
  <c r="K1647" i="1"/>
  <c r="K1587" i="1"/>
  <c r="L1587" i="1"/>
  <c r="L1539" i="1"/>
  <c r="K1539" i="1"/>
  <c r="L1467" i="1"/>
  <c r="K1467" i="1"/>
  <c r="L1407" i="1"/>
  <c r="K1407" i="1"/>
  <c r="K1347" i="1"/>
  <c r="L1347" i="1"/>
  <c r="K1287" i="1"/>
  <c r="L1287" i="1"/>
  <c r="K1227" i="1"/>
  <c r="L1227" i="1"/>
  <c r="K1167" i="1"/>
  <c r="L1167" i="1"/>
  <c r="K1107" i="1"/>
  <c r="L1107" i="1"/>
  <c r="K1035" i="1"/>
  <c r="L1035" i="1"/>
  <c r="K975" i="1"/>
  <c r="L975" i="1"/>
  <c r="K927" i="1"/>
  <c r="L927" i="1"/>
  <c r="K867" i="1"/>
  <c r="L867" i="1"/>
  <c r="K819" i="1"/>
  <c r="L819" i="1"/>
  <c r="K783" i="1"/>
  <c r="L783" i="1"/>
  <c r="K735" i="1"/>
  <c r="L735" i="1"/>
  <c r="K675" i="1"/>
  <c r="L675" i="1"/>
  <c r="K627" i="1"/>
  <c r="L627" i="1"/>
  <c r="K555" i="1"/>
  <c r="L555" i="1"/>
  <c r="K507" i="1"/>
  <c r="L507" i="1"/>
  <c r="K459" i="1"/>
  <c r="L459" i="1"/>
  <c r="K423" i="1"/>
  <c r="L423" i="1"/>
  <c r="K387" i="1"/>
  <c r="L387" i="1"/>
  <c r="K291" i="1"/>
  <c r="L291" i="1"/>
  <c r="K75" i="1"/>
  <c r="L75" i="1"/>
  <c r="L1827" i="1"/>
  <c r="K1564" i="1"/>
  <c r="K1755" i="1"/>
  <c r="L1755" i="1"/>
  <c r="K1695" i="1"/>
  <c r="L1695" i="1"/>
  <c r="K1635" i="1"/>
  <c r="L1635" i="1"/>
  <c r="L1575" i="1"/>
  <c r="K1575" i="1"/>
  <c r="L1515" i="1"/>
  <c r="K1515" i="1"/>
  <c r="L1491" i="1"/>
  <c r="K1491" i="1"/>
  <c r="K1431" i="1"/>
  <c r="L1431" i="1"/>
  <c r="K1371" i="1"/>
  <c r="L1371" i="1"/>
  <c r="K1323" i="1"/>
  <c r="L1323" i="1"/>
  <c r="K1251" i="1"/>
  <c r="L1251" i="1"/>
  <c r="K1191" i="1"/>
  <c r="L1191" i="1"/>
  <c r="K1143" i="1"/>
  <c r="L1143" i="1"/>
  <c r="K1083" i="1"/>
  <c r="L1083" i="1"/>
  <c r="K1011" i="1"/>
  <c r="L1011" i="1"/>
  <c r="K951" i="1"/>
  <c r="L951" i="1"/>
  <c r="L903" i="1"/>
  <c r="K903" i="1"/>
  <c r="K843" i="1"/>
  <c r="L843" i="1"/>
  <c r="K795" i="1"/>
  <c r="L795" i="1"/>
  <c r="K759" i="1"/>
  <c r="L759" i="1"/>
  <c r="K711" i="1"/>
  <c r="L711" i="1"/>
  <c r="K663" i="1"/>
  <c r="L663" i="1"/>
  <c r="K615" i="1"/>
  <c r="L615" i="1"/>
  <c r="K579" i="1"/>
  <c r="L579" i="1"/>
  <c r="K531" i="1"/>
  <c r="L531" i="1"/>
  <c r="K495" i="1"/>
  <c r="L495" i="1"/>
  <c r="K447" i="1"/>
  <c r="L447" i="1"/>
  <c r="K411" i="1"/>
  <c r="L411" i="1"/>
  <c r="K363" i="1"/>
  <c r="L363" i="1"/>
  <c r="K327" i="1"/>
  <c r="L327" i="1"/>
  <c r="K303" i="1"/>
  <c r="L303" i="1"/>
  <c r="K267" i="1"/>
  <c r="L267" i="1"/>
  <c r="K243" i="1"/>
  <c r="L243" i="1"/>
  <c r="K219" i="1"/>
  <c r="L219" i="1"/>
  <c r="K195" i="1"/>
  <c r="L195" i="1"/>
  <c r="K171" i="1"/>
  <c r="L171" i="1"/>
  <c r="K147" i="1"/>
  <c r="L147" i="1"/>
  <c r="K123" i="1"/>
  <c r="L123" i="1"/>
  <c r="K99" i="1"/>
  <c r="L99" i="1"/>
  <c r="K51" i="1"/>
  <c r="L51" i="1"/>
  <c r="K39" i="1"/>
  <c r="L39" i="1"/>
  <c r="K9" i="1"/>
  <c r="L9" i="1"/>
  <c r="K1959" i="1"/>
  <c r="L1959" i="1"/>
  <c r="K1911" i="1"/>
  <c r="L1911" i="1"/>
  <c r="K1863" i="1"/>
  <c r="L1863" i="1"/>
  <c r="K1791" i="1"/>
  <c r="L1791" i="1"/>
  <c r="K1731" i="1"/>
  <c r="L1731" i="1"/>
  <c r="K1659" i="1"/>
  <c r="L1659" i="1"/>
  <c r="K1611" i="1"/>
  <c r="L1611" i="1"/>
  <c r="L1551" i="1"/>
  <c r="K1551" i="1"/>
  <c r="L1455" i="1"/>
  <c r="K1455" i="1"/>
  <c r="K1395" i="1"/>
  <c r="L1395" i="1"/>
  <c r="L1335" i="1"/>
  <c r="K1335" i="1"/>
  <c r="K1275" i="1"/>
  <c r="L1275" i="1"/>
  <c r="K1203" i="1"/>
  <c r="L1203" i="1"/>
  <c r="K1131" i="1"/>
  <c r="L1131" i="1"/>
  <c r="K1047" i="1"/>
  <c r="L1047" i="1"/>
  <c r="K987" i="1"/>
  <c r="L987" i="1"/>
  <c r="K915" i="1"/>
  <c r="L915" i="1"/>
  <c r="K723" i="1"/>
  <c r="L723" i="1"/>
  <c r="K135" i="1"/>
  <c r="L135" i="1"/>
  <c r="K17" i="1"/>
  <c r="L17" i="1"/>
  <c r="K5" i="1"/>
  <c r="L5" i="1"/>
  <c r="K1991" i="1"/>
  <c r="L1991" i="1"/>
  <c r="K1979" i="1"/>
  <c r="L1979" i="1"/>
  <c r="K1967" i="1"/>
  <c r="L1967" i="1"/>
  <c r="K1955" i="1"/>
  <c r="L1955" i="1"/>
  <c r="K1943" i="1"/>
  <c r="L1943" i="1"/>
  <c r="K1931" i="1"/>
  <c r="L1931" i="1"/>
  <c r="K1919" i="1"/>
  <c r="L1919" i="1"/>
  <c r="K1907" i="1"/>
  <c r="L1907" i="1"/>
  <c r="K1883" i="1"/>
  <c r="L1883" i="1"/>
  <c r="K1871" i="1"/>
  <c r="L1871" i="1"/>
  <c r="K1859" i="1"/>
  <c r="L1859" i="1"/>
  <c r="K1971" i="1"/>
  <c r="L1971" i="1"/>
  <c r="K1923" i="1"/>
  <c r="L1923" i="1"/>
  <c r="K1875" i="1"/>
  <c r="L1875" i="1"/>
  <c r="K1803" i="1"/>
  <c r="L1803" i="1"/>
  <c r="K1743" i="1"/>
  <c r="L1743" i="1"/>
  <c r="K1683" i="1"/>
  <c r="L1683" i="1"/>
  <c r="K1599" i="1"/>
  <c r="L1599" i="1"/>
  <c r="K1527" i="1"/>
  <c r="L1527" i="1"/>
  <c r="L1443" i="1"/>
  <c r="K1443" i="1"/>
  <c r="L1383" i="1"/>
  <c r="K1383" i="1"/>
  <c r="K1311" i="1"/>
  <c r="L1311" i="1"/>
  <c r="K1263" i="1"/>
  <c r="L1263" i="1"/>
  <c r="K1215" i="1"/>
  <c r="L1215" i="1"/>
  <c r="K1155" i="1"/>
  <c r="L1155" i="1"/>
  <c r="K1095" i="1"/>
  <c r="L1095" i="1"/>
  <c r="K1071" i="1"/>
  <c r="L1071" i="1"/>
  <c r="K1023" i="1"/>
  <c r="L1023" i="1"/>
  <c r="K963" i="1"/>
  <c r="L963" i="1"/>
  <c r="K891" i="1"/>
  <c r="L891" i="1"/>
  <c r="L831" i="1"/>
  <c r="K831" i="1"/>
  <c r="L771" i="1"/>
  <c r="K771" i="1"/>
  <c r="K687" i="1"/>
  <c r="L687" i="1"/>
  <c r="K639" i="1"/>
  <c r="L639" i="1"/>
  <c r="K591" i="1"/>
  <c r="L591" i="1"/>
  <c r="K543" i="1"/>
  <c r="L543" i="1"/>
  <c r="K471" i="1"/>
  <c r="L471" i="1"/>
  <c r="K351" i="1"/>
  <c r="L351" i="1"/>
  <c r="L1895" i="1"/>
  <c r="K1895" i="1"/>
  <c r="L1773" i="1"/>
  <c r="L1619" i="1"/>
  <c r="L1532" i="1"/>
  <c r="L1439" i="1"/>
  <c r="K8" i="1"/>
  <c r="L8" i="1"/>
  <c r="K1910" i="1"/>
  <c r="L1910" i="1"/>
  <c r="K1898" i="1"/>
  <c r="L1898" i="1"/>
  <c r="K1874" i="1"/>
  <c r="L1874" i="1"/>
  <c r="K1838" i="1"/>
  <c r="L1838" i="1"/>
  <c r="K1826" i="1"/>
  <c r="L1826" i="1"/>
  <c r="K1802" i="1"/>
  <c r="L1802" i="1"/>
  <c r="K1790" i="1"/>
  <c r="L1790" i="1"/>
  <c r="K1694" i="1"/>
  <c r="L1694" i="1"/>
  <c r="K1682" i="1"/>
  <c r="L1682" i="1"/>
  <c r="K1658" i="1"/>
  <c r="L1658" i="1"/>
  <c r="K1646" i="1"/>
  <c r="L1646" i="1"/>
  <c r="L1622" i="1"/>
  <c r="K1622" i="1"/>
  <c r="L1598" i="1"/>
  <c r="K1598" i="1"/>
  <c r="K1574" i="1"/>
  <c r="L1574" i="1"/>
  <c r="K1550" i="1"/>
  <c r="L1550" i="1"/>
  <c r="K1526" i="1"/>
  <c r="L1526" i="1"/>
  <c r="K1502" i="1"/>
  <c r="L1502" i="1"/>
  <c r="K1454" i="1"/>
  <c r="L1454" i="1"/>
  <c r="K1430" i="1"/>
  <c r="L1430" i="1"/>
  <c r="K1418" i="1"/>
  <c r="L1418" i="1"/>
  <c r="K1382" i="1"/>
  <c r="L1382" i="1"/>
  <c r="K1358" i="1"/>
  <c r="L1358" i="1"/>
  <c r="K1286" i="1"/>
  <c r="L1286" i="1"/>
  <c r="K1202" i="1"/>
  <c r="L1202" i="1"/>
  <c r="K1190" i="1"/>
  <c r="L1190" i="1"/>
  <c r="K1178" i="1"/>
  <c r="L1178" i="1"/>
  <c r="K1154" i="1"/>
  <c r="L1154" i="1"/>
  <c r="K1142" i="1"/>
  <c r="L1142" i="1"/>
  <c r="K1106" i="1"/>
  <c r="L1106" i="1"/>
  <c r="K1094" i="1"/>
  <c r="L1094" i="1"/>
  <c r="K1082" i="1"/>
  <c r="L1082" i="1"/>
  <c r="K1058" i="1"/>
  <c r="L1058" i="1"/>
  <c r="K1903" i="1"/>
  <c r="L1856" i="1"/>
  <c r="L1438" i="1"/>
  <c r="L1111" i="1"/>
  <c r="L947" i="1"/>
  <c r="L249" i="1"/>
  <c r="K19" i="1"/>
  <c r="L19" i="1"/>
  <c r="K7" i="1"/>
  <c r="L7" i="1"/>
  <c r="K1993" i="1"/>
  <c r="L1993" i="1"/>
  <c r="K1969" i="1"/>
  <c r="L1969" i="1"/>
  <c r="K1957" i="1"/>
  <c r="L1957" i="1"/>
  <c r="K1933" i="1"/>
  <c r="L1933" i="1"/>
  <c r="K1921" i="1"/>
  <c r="L1921" i="1"/>
  <c r="K1897" i="1"/>
  <c r="L1897" i="1"/>
  <c r="K1885" i="1"/>
  <c r="L1885" i="1"/>
  <c r="K1861" i="1"/>
  <c r="L1861" i="1"/>
  <c r="K1849" i="1"/>
  <c r="L1849" i="1"/>
  <c r="K1825" i="1"/>
  <c r="L1825" i="1"/>
  <c r="K1813" i="1"/>
  <c r="L1813" i="1"/>
  <c r="K1801" i="1"/>
  <c r="L1801" i="1"/>
  <c r="K1765" i="1"/>
  <c r="L1765" i="1"/>
  <c r="K1741" i="1"/>
  <c r="L1741" i="1"/>
  <c r="K1729" i="1"/>
  <c r="L1729" i="1"/>
  <c r="K1717" i="1"/>
  <c r="L1717" i="1"/>
  <c r="K1705" i="1"/>
  <c r="L1705" i="1"/>
  <c r="K1681" i="1"/>
  <c r="L1681" i="1"/>
  <c r="K1669" i="1"/>
  <c r="L1669" i="1"/>
  <c r="K1902" i="1"/>
  <c r="K1362" i="1"/>
  <c r="K486" i="1"/>
  <c r="L1981" i="1"/>
  <c r="L1942" i="1"/>
  <c r="L1814" i="1"/>
  <c r="L1691" i="1"/>
  <c r="L1604" i="1"/>
  <c r="L1310" i="1"/>
  <c r="L1214" i="1"/>
  <c r="L1098" i="1"/>
  <c r="L946" i="1"/>
  <c r="L466" i="1"/>
  <c r="L247" i="1"/>
  <c r="K2" i="1"/>
  <c r="L2" i="1"/>
  <c r="K1982" i="1"/>
  <c r="L1982" i="1"/>
  <c r="K1970" i="1"/>
  <c r="L1970" i="1"/>
  <c r="K1946" i="1"/>
  <c r="L1946" i="1"/>
  <c r="K1934" i="1"/>
  <c r="L1934" i="1"/>
  <c r="K1862" i="1"/>
  <c r="L1862" i="1"/>
  <c r="K1766" i="1"/>
  <c r="L1766" i="1"/>
  <c r="K1730" i="1"/>
  <c r="L1730" i="1"/>
  <c r="K1706" i="1"/>
  <c r="L1706" i="1"/>
  <c r="K1670" i="1"/>
  <c r="L1670" i="1"/>
  <c r="K1634" i="1"/>
  <c r="L1634" i="1"/>
  <c r="K1610" i="1"/>
  <c r="L1610" i="1"/>
  <c r="K1586" i="1"/>
  <c r="L1586" i="1"/>
  <c r="L1562" i="1"/>
  <c r="K1562" i="1"/>
  <c r="K1538" i="1"/>
  <c r="L1538" i="1"/>
  <c r="K1490" i="1"/>
  <c r="L1490" i="1"/>
  <c r="K1478" i="1"/>
  <c r="L1478" i="1"/>
  <c r="L1442" i="1"/>
  <c r="K1442" i="1"/>
  <c r="K1370" i="1"/>
  <c r="L1370" i="1"/>
  <c r="K1346" i="1"/>
  <c r="L1346" i="1"/>
  <c r="L1334" i="1"/>
  <c r="K1334" i="1"/>
  <c r="K1322" i="1"/>
  <c r="L1322" i="1"/>
  <c r="K1298" i="1"/>
  <c r="L1298" i="1"/>
  <c r="K1274" i="1"/>
  <c r="L1274" i="1"/>
  <c r="K1250" i="1"/>
  <c r="L1250" i="1"/>
  <c r="K1238" i="1"/>
  <c r="L1238" i="1"/>
  <c r="K1226" i="1"/>
  <c r="L1226" i="1"/>
  <c r="K1130" i="1"/>
  <c r="L1130" i="1"/>
  <c r="K1046" i="1"/>
  <c r="L1046" i="1"/>
  <c r="K1034" i="1"/>
  <c r="L1034" i="1"/>
  <c r="K1003" i="1"/>
  <c r="L1990" i="1"/>
  <c r="L1905" i="1"/>
  <c r="L1614" i="1"/>
  <c r="K18" i="1"/>
  <c r="L18" i="1"/>
  <c r="K6" i="1"/>
  <c r="L6" i="1"/>
  <c r="K1992" i="1"/>
  <c r="L1992" i="1"/>
  <c r="K1968" i="1"/>
  <c r="L1968" i="1"/>
  <c r="K1956" i="1"/>
  <c r="L1956" i="1"/>
  <c r="K1932" i="1"/>
  <c r="L1932" i="1"/>
  <c r="K1920" i="1"/>
  <c r="L1920" i="1"/>
  <c r="K1514" i="1"/>
  <c r="K1271" i="1"/>
  <c r="K945" i="1"/>
  <c r="L1980" i="1"/>
  <c r="L1941" i="1"/>
  <c r="L1892" i="1"/>
  <c r="L1809" i="1"/>
  <c r="L1754" i="1"/>
  <c r="L1686" i="1"/>
  <c r="L1511" i="1"/>
  <c r="L1207" i="1"/>
  <c r="L943" i="1"/>
  <c r="L727" i="1"/>
  <c r="L222" i="1"/>
  <c r="K1799" i="1"/>
  <c r="L1799" i="1"/>
  <c r="K1235" i="1"/>
  <c r="L1235" i="1"/>
  <c r="K1187" i="1"/>
  <c r="L1187" i="1"/>
  <c r="K1115" i="1"/>
  <c r="L1115" i="1"/>
  <c r="K1067" i="1"/>
  <c r="L1067" i="1"/>
  <c r="K1055" i="1"/>
  <c r="L1055" i="1"/>
  <c r="K1031" i="1"/>
  <c r="L1031" i="1"/>
  <c r="K1019" i="1"/>
  <c r="L1019" i="1"/>
  <c r="K1007" i="1"/>
  <c r="L1007" i="1"/>
  <c r="K995" i="1"/>
  <c r="L995" i="1"/>
  <c r="K959" i="1"/>
  <c r="L959" i="1"/>
  <c r="K935" i="1"/>
  <c r="L935" i="1"/>
  <c r="K911" i="1"/>
  <c r="L911" i="1"/>
  <c r="K899" i="1"/>
  <c r="L899" i="1"/>
  <c r="K887" i="1"/>
  <c r="L887" i="1"/>
  <c r="K875" i="1"/>
  <c r="L875" i="1"/>
  <c r="K851" i="1"/>
  <c r="L851" i="1"/>
  <c r="K839" i="1"/>
  <c r="L839" i="1"/>
  <c r="K827" i="1"/>
  <c r="L827" i="1"/>
  <c r="K815" i="1"/>
  <c r="L815" i="1"/>
  <c r="L1676" i="1"/>
  <c r="K16" i="1"/>
  <c r="L16" i="1"/>
  <c r="K4" i="1"/>
  <c r="L4" i="1"/>
  <c r="K1966" i="1"/>
  <c r="L1966" i="1"/>
  <c r="K1930" i="1"/>
  <c r="L1930" i="1"/>
  <c r="K1894" i="1"/>
  <c r="L1894" i="1"/>
  <c r="K1858" i="1"/>
  <c r="L1858" i="1"/>
  <c r="K1822" i="1"/>
  <c r="L1822" i="1"/>
  <c r="K1786" i="1"/>
  <c r="L1786" i="1"/>
  <c r="K1762" i="1"/>
  <c r="L1762" i="1"/>
  <c r="K1750" i="1"/>
  <c r="L1750" i="1"/>
  <c r="K1738" i="1"/>
  <c r="L1738" i="1"/>
  <c r="K1714" i="1"/>
  <c r="L1714" i="1"/>
  <c r="K1702" i="1"/>
  <c r="L1702" i="1"/>
  <c r="K1690" i="1"/>
  <c r="L1690" i="1"/>
  <c r="K1678" i="1"/>
  <c r="L1678" i="1"/>
  <c r="L1666" i="1"/>
  <c r="K1666" i="1"/>
  <c r="K1654" i="1"/>
  <c r="L1654" i="1"/>
  <c r="K1642" i="1"/>
  <c r="L1642" i="1"/>
  <c r="K1630" i="1"/>
  <c r="L1630" i="1"/>
  <c r="K1618" i="1"/>
  <c r="L1618" i="1"/>
  <c r="K1606" i="1"/>
  <c r="L1606" i="1"/>
  <c r="K1594" i="1"/>
  <c r="L1594" i="1"/>
  <c r="K1582" i="1"/>
  <c r="L1582" i="1"/>
  <c r="K1570" i="1"/>
  <c r="L1570" i="1"/>
  <c r="K1558" i="1"/>
  <c r="L1558" i="1"/>
  <c r="K1546" i="1"/>
  <c r="L1546" i="1"/>
  <c r="K1534" i="1"/>
  <c r="L1534" i="1"/>
  <c r="K1522" i="1"/>
  <c r="L1522" i="1"/>
  <c r="K1510" i="1"/>
  <c r="L1510" i="1"/>
  <c r="K1498" i="1"/>
  <c r="L1498" i="1"/>
  <c r="K1486" i="1"/>
  <c r="L1486" i="1"/>
  <c r="K1474" i="1"/>
  <c r="L1474" i="1"/>
  <c r="K1462" i="1"/>
  <c r="L1462" i="1"/>
  <c r="K1450" i="1"/>
  <c r="L1450" i="1"/>
  <c r="K1426" i="1"/>
  <c r="L1426" i="1"/>
  <c r="K1414" i="1"/>
  <c r="L1414" i="1"/>
  <c r="K1402" i="1"/>
  <c r="L1402" i="1"/>
  <c r="K1390" i="1"/>
  <c r="L1390" i="1"/>
  <c r="K1378" i="1"/>
  <c r="L1378" i="1"/>
  <c r="K1366" i="1"/>
  <c r="L1366" i="1"/>
  <c r="K1342" i="1"/>
  <c r="L1342" i="1"/>
  <c r="K1330" i="1"/>
  <c r="L1330" i="1"/>
  <c r="K1318" i="1"/>
  <c r="L1318" i="1"/>
  <c r="K1306" i="1"/>
  <c r="L1306" i="1"/>
  <c r="K1294" i="1"/>
  <c r="L1294" i="1"/>
  <c r="K1282" i="1"/>
  <c r="L1282" i="1"/>
  <c r="L1270" i="1"/>
  <c r="K1270" i="1"/>
  <c r="K1258" i="1"/>
  <c r="L1258" i="1"/>
  <c r="K1246" i="1"/>
  <c r="L1246" i="1"/>
  <c r="K1234" i="1"/>
  <c r="L1234" i="1"/>
  <c r="K1222" i="1"/>
  <c r="L1222" i="1"/>
  <c r="K1210" i="1"/>
  <c r="L1210" i="1"/>
  <c r="K1198" i="1"/>
  <c r="L1198" i="1"/>
  <c r="K1186" i="1"/>
  <c r="L1186" i="1"/>
  <c r="K1174" i="1"/>
  <c r="L1174" i="1"/>
  <c r="K1162" i="1"/>
  <c r="L1162" i="1"/>
  <c r="K1150" i="1"/>
  <c r="L1150" i="1"/>
  <c r="K1138" i="1"/>
  <c r="L1138" i="1"/>
  <c r="K1126" i="1"/>
  <c r="L1126" i="1"/>
  <c r="K1114" i="1"/>
  <c r="L1114" i="1"/>
  <c r="K1102" i="1"/>
  <c r="L1102" i="1"/>
  <c r="K1090" i="1"/>
  <c r="L1090" i="1"/>
  <c r="K1078" i="1"/>
  <c r="L1078" i="1"/>
  <c r="K1066" i="1"/>
  <c r="L1066" i="1"/>
  <c r="K1054" i="1"/>
  <c r="L1054" i="1"/>
  <c r="L1042" i="1"/>
  <c r="K1042" i="1"/>
  <c r="K1030" i="1"/>
  <c r="L1030" i="1"/>
  <c r="K1018" i="1"/>
  <c r="L1018" i="1"/>
  <c r="L1006" i="1"/>
  <c r="K1006" i="1"/>
  <c r="K994" i="1"/>
  <c r="L994" i="1"/>
  <c r="K982" i="1"/>
  <c r="L982" i="1"/>
  <c r="K970" i="1"/>
  <c r="L970" i="1"/>
  <c r="K958" i="1"/>
  <c r="L958" i="1"/>
  <c r="K934" i="1"/>
  <c r="L934" i="1"/>
  <c r="K922" i="1"/>
  <c r="L922" i="1"/>
  <c r="K910" i="1"/>
  <c r="L910" i="1"/>
  <c r="K898" i="1"/>
  <c r="L898" i="1"/>
  <c r="K886" i="1"/>
  <c r="L886" i="1"/>
  <c r="K874" i="1"/>
  <c r="L874" i="1"/>
  <c r="K862" i="1"/>
  <c r="L862" i="1"/>
  <c r="K850" i="1"/>
  <c r="L850" i="1"/>
  <c r="K838" i="1"/>
  <c r="L838" i="1"/>
  <c r="K826" i="1"/>
  <c r="L826" i="1"/>
  <c r="K814" i="1"/>
  <c r="L814" i="1"/>
  <c r="K802" i="1"/>
  <c r="L802" i="1"/>
  <c r="K790" i="1"/>
  <c r="L790" i="1"/>
  <c r="K778" i="1"/>
  <c r="L778" i="1"/>
  <c r="K766" i="1"/>
  <c r="L766" i="1"/>
  <c r="K754" i="1"/>
  <c r="L754" i="1"/>
  <c r="K742" i="1"/>
  <c r="L742" i="1"/>
  <c r="L730" i="1"/>
  <c r="K730" i="1"/>
  <c r="K718" i="1"/>
  <c r="L718" i="1"/>
  <c r="K706" i="1"/>
  <c r="L706" i="1"/>
  <c r="K694" i="1"/>
  <c r="L694" i="1"/>
  <c r="K682" i="1"/>
  <c r="L682" i="1"/>
  <c r="K670" i="1"/>
  <c r="L670" i="1"/>
  <c r="K658" i="1"/>
  <c r="L658" i="1"/>
  <c r="K646" i="1"/>
  <c r="L646" i="1"/>
  <c r="K634" i="1"/>
  <c r="L634" i="1"/>
  <c r="K622" i="1"/>
  <c r="L622" i="1"/>
  <c r="K610" i="1"/>
  <c r="L610" i="1"/>
  <c r="K598" i="1"/>
  <c r="L598" i="1"/>
  <c r="K586" i="1"/>
  <c r="L586" i="1"/>
  <c r="K574" i="1"/>
  <c r="L574" i="1"/>
  <c r="L562" i="1"/>
  <c r="K562" i="1"/>
  <c r="K550" i="1"/>
  <c r="L550" i="1"/>
  <c r="K538" i="1"/>
  <c r="L538" i="1"/>
  <c r="K526" i="1"/>
  <c r="L526" i="1"/>
  <c r="K514" i="1"/>
  <c r="L514" i="1"/>
  <c r="K502" i="1"/>
  <c r="L502" i="1"/>
  <c r="K490" i="1"/>
  <c r="L490" i="1"/>
  <c r="K478" i="1"/>
  <c r="L478" i="1"/>
  <c r="K442" i="1"/>
  <c r="L442" i="1"/>
  <c r="K430" i="1"/>
  <c r="L430" i="1"/>
  <c r="K418" i="1"/>
  <c r="L418" i="1"/>
  <c r="K406" i="1"/>
  <c r="L406" i="1"/>
  <c r="K394" i="1"/>
  <c r="L394" i="1"/>
  <c r="K382" i="1"/>
  <c r="L382" i="1"/>
  <c r="K370" i="1"/>
  <c r="L370" i="1"/>
  <c r="K358" i="1"/>
  <c r="L358" i="1"/>
  <c r="K334" i="1"/>
  <c r="L334" i="1"/>
  <c r="K322" i="1"/>
  <c r="L322" i="1"/>
  <c r="L310" i="1"/>
  <c r="K310" i="1"/>
  <c r="K298" i="1"/>
  <c r="L298" i="1"/>
  <c r="K286" i="1"/>
  <c r="L286" i="1"/>
  <c r="K274" i="1"/>
  <c r="L274" i="1"/>
  <c r="K262" i="1"/>
  <c r="L262" i="1"/>
  <c r="K238" i="1"/>
  <c r="L238" i="1"/>
  <c r="K226" i="1"/>
  <c r="L226" i="1"/>
  <c r="K214" i="1"/>
  <c r="L214" i="1"/>
  <c r="K202" i="1"/>
  <c r="L202" i="1"/>
  <c r="K190" i="1"/>
  <c r="L190" i="1"/>
  <c r="K178" i="1"/>
  <c r="L178" i="1"/>
  <c r="K166" i="1"/>
  <c r="L166" i="1"/>
  <c r="K154" i="1"/>
  <c r="L154" i="1"/>
  <c r="K142" i="1"/>
  <c r="L142" i="1"/>
  <c r="K118" i="1"/>
  <c r="L118" i="1"/>
  <c r="K94" i="1"/>
  <c r="L94" i="1"/>
  <c r="K82" i="1"/>
  <c r="L82" i="1"/>
  <c r="K70" i="1"/>
  <c r="L70" i="1"/>
  <c r="K58" i="1"/>
  <c r="L58" i="1"/>
  <c r="K46" i="1"/>
  <c r="L46" i="1"/>
  <c r="K34" i="1"/>
  <c r="L34" i="1"/>
  <c r="K22" i="1"/>
  <c r="L22" i="1"/>
  <c r="K1823" i="1"/>
  <c r="K1466" i="1"/>
  <c r="K1262" i="1"/>
  <c r="L1977" i="1"/>
  <c r="L1928" i="1"/>
  <c r="L1846" i="1"/>
  <c r="L1797" i="1"/>
  <c r="L1749" i="1"/>
  <c r="L1657" i="1"/>
  <c r="L1583" i="1"/>
  <c r="L1496" i="1"/>
  <c r="L1302" i="1"/>
  <c r="L1070" i="1"/>
  <c r="L909" i="1"/>
  <c r="L130" i="1"/>
  <c r="K1703" i="1"/>
  <c r="L1703" i="1"/>
  <c r="K1679" i="1"/>
  <c r="L1679" i="1"/>
  <c r="K1631" i="1"/>
  <c r="L1631" i="1"/>
  <c r="K1607" i="1"/>
  <c r="L1607" i="1"/>
  <c r="K1571" i="1"/>
  <c r="L1571" i="1"/>
  <c r="K1535" i="1"/>
  <c r="L1535" i="1"/>
  <c r="K1499" i="1"/>
  <c r="L1499" i="1"/>
  <c r="K1451" i="1"/>
  <c r="L1451" i="1"/>
  <c r="K1379" i="1"/>
  <c r="L1379" i="1"/>
  <c r="K1319" i="1"/>
  <c r="L1319" i="1"/>
  <c r="K1247" i="1"/>
  <c r="L1247" i="1"/>
  <c r="K1139" i="1"/>
  <c r="L1139" i="1"/>
  <c r="K983" i="1"/>
  <c r="L983" i="1"/>
  <c r="K1989" i="1"/>
  <c r="L1989" i="1"/>
  <c r="K1929" i="1"/>
  <c r="L1929" i="1"/>
  <c r="K1917" i="1"/>
  <c r="L1917" i="1"/>
  <c r="K1893" i="1"/>
  <c r="L1893" i="1"/>
  <c r="K1881" i="1"/>
  <c r="L1881" i="1"/>
  <c r="K1857" i="1"/>
  <c r="L1857" i="1"/>
  <c r="K1845" i="1"/>
  <c r="L1845" i="1"/>
  <c r="K1821" i="1"/>
  <c r="L1821" i="1"/>
  <c r="K1785" i="1"/>
  <c r="L1785" i="1"/>
  <c r="K1761" i="1"/>
  <c r="L1761" i="1"/>
  <c r="K1737" i="1"/>
  <c r="L1737" i="1"/>
  <c r="K1725" i="1"/>
  <c r="L1725" i="1"/>
  <c r="K1713" i="1"/>
  <c r="L1713" i="1"/>
  <c r="K1701" i="1"/>
  <c r="L1701" i="1"/>
  <c r="K1689" i="1"/>
  <c r="L1689" i="1"/>
  <c r="K1677" i="1"/>
  <c r="L1677" i="1"/>
  <c r="L1665" i="1"/>
  <c r="K1665" i="1"/>
  <c r="K1653" i="1"/>
  <c r="L1653" i="1"/>
  <c r="K1641" i="1"/>
  <c r="L1641" i="1"/>
  <c r="K1629" i="1"/>
  <c r="L1629" i="1"/>
  <c r="K1617" i="1"/>
  <c r="L1617" i="1"/>
  <c r="K1605" i="1"/>
  <c r="L1605" i="1"/>
  <c r="K1593" i="1"/>
  <c r="L1593" i="1"/>
  <c r="K1581" i="1"/>
  <c r="L1581" i="1"/>
  <c r="K1569" i="1"/>
  <c r="L1569" i="1"/>
  <c r="K1557" i="1"/>
  <c r="L1557" i="1"/>
  <c r="K1545" i="1"/>
  <c r="L1545" i="1"/>
  <c r="K1533" i="1"/>
  <c r="L1533" i="1"/>
  <c r="K1521" i="1"/>
  <c r="L1521" i="1"/>
  <c r="K1509" i="1"/>
  <c r="L1509" i="1"/>
  <c r="K1497" i="1"/>
  <c r="L1497" i="1"/>
  <c r="K1485" i="1"/>
  <c r="L1485" i="1"/>
  <c r="K1473" i="1"/>
  <c r="L1473" i="1"/>
  <c r="K1461" i="1"/>
  <c r="L1461" i="1"/>
  <c r="K1449" i="1"/>
  <c r="L1449" i="1"/>
  <c r="K1437" i="1"/>
  <c r="L1437" i="1"/>
  <c r="K1425" i="1"/>
  <c r="L1425" i="1"/>
  <c r="K1413" i="1"/>
  <c r="L1413" i="1"/>
  <c r="K1401" i="1"/>
  <c r="L1401" i="1"/>
  <c r="K1377" i="1"/>
  <c r="L1377" i="1"/>
  <c r="L1365" i="1"/>
  <c r="K1365" i="1"/>
  <c r="K1353" i="1"/>
  <c r="L1353" i="1"/>
  <c r="K1341" i="1"/>
  <c r="L1341" i="1"/>
  <c r="K1329" i="1"/>
  <c r="L1329" i="1"/>
  <c r="K1317" i="1"/>
  <c r="L1317" i="1"/>
  <c r="K1305" i="1"/>
  <c r="L1305" i="1"/>
  <c r="K1293" i="1"/>
  <c r="L1293" i="1"/>
  <c r="K1281" i="1"/>
  <c r="L1281" i="1"/>
  <c r="L1269" i="1"/>
  <c r="K1269" i="1"/>
  <c r="K1257" i="1"/>
  <c r="L1257" i="1"/>
  <c r="K1245" i="1"/>
  <c r="L1245" i="1"/>
  <c r="K1233" i="1"/>
  <c r="L1233" i="1"/>
  <c r="K1221" i="1"/>
  <c r="L1221" i="1"/>
  <c r="K1209" i="1"/>
  <c r="L1209" i="1"/>
  <c r="K1197" i="1"/>
  <c r="L1197" i="1"/>
  <c r="K1185" i="1"/>
  <c r="L1185" i="1"/>
  <c r="K1173" i="1"/>
  <c r="L1173" i="1"/>
  <c r="K1161" i="1"/>
  <c r="L1161" i="1"/>
  <c r="K1149" i="1"/>
  <c r="L1149" i="1"/>
  <c r="K1137" i="1"/>
  <c r="L1137" i="1"/>
  <c r="K1125" i="1"/>
  <c r="L1125" i="1"/>
  <c r="K1113" i="1"/>
  <c r="L1113" i="1"/>
  <c r="K1101" i="1"/>
  <c r="L1101" i="1"/>
  <c r="K1089" i="1"/>
  <c r="L1089" i="1"/>
  <c r="K1077" i="1"/>
  <c r="L1077" i="1"/>
  <c r="K1065" i="1"/>
  <c r="L1065" i="1"/>
  <c r="K1053" i="1"/>
  <c r="L1053" i="1"/>
  <c r="L1041" i="1"/>
  <c r="K1041" i="1"/>
  <c r="K1029" i="1"/>
  <c r="L1029" i="1"/>
  <c r="K1017" i="1"/>
  <c r="L1017" i="1"/>
  <c r="K1005" i="1"/>
  <c r="L1005" i="1"/>
  <c r="K993" i="1"/>
  <c r="L993" i="1"/>
  <c r="K981" i="1"/>
  <c r="L981" i="1"/>
  <c r="K969" i="1"/>
  <c r="L969" i="1"/>
  <c r="K957" i="1"/>
  <c r="L957" i="1"/>
  <c r="K933" i="1"/>
  <c r="L933" i="1"/>
  <c r="K921" i="1"/>
  <c r="L921" i="1"/>
  <c r="K897" i="1"/>
  <c r="L897" i="1"/>
  <c r="K885" i="1"/>
  <c r="L885" i="1"/>
  <c r="K873" i="1"/>
  <c r="L873" i="1"/>
  <c r="K837" i="1"/>
  <c r="L837" i="1"/>
  <c r="K813" i="1"/>
  <c r="L813" i="1"/>
  <c r="K801" i="1"/>
  <c r="L801" i="1"/>
  <c r="K789" i="1"/>
  <c r="L789" i="1"/>
  <c r="K765" i="1"/>
  <c r="L765" i="1"/>
  <c r="K753" i="1"/>
  <c r="L753" i="1"/>
  <c r="K741" i="1"/>
  <c r="L741" i="1"/>
  <c r="K729" i="1"/>
  <c r="L729" i="1"/>
  <c r="K717" i="1"/>
  <c r="L717" i="1"/>
  <c r="K705" i="1"/>
  <c r="L705" i="1"/>
  <c r="K693" i="1"/>
  <c r="L693" i="1"/>
  <c r="K681" i="1"/>
  <c r="L681" i="1"/>
  <c r="K669" i="1"/>
  <c r="L669" i="1"/>
  <c r="K657" i="1"/>
  <c r="L657" i="1"/>
  <c r="K645" i="1"/>
  <c r="L645" i="1"/>
  <c r="K633" i="1"/>
  <c r="L633" i="1"/>
  <c r="K609" i="1"/>
  <c r="L609" i="1"/>
  <c r="K597" i="1"/>
  <c r="L597" i="1"/>
  <c r="K585" i="1"/>
  <c r="L585" i="1"/>
  <c r="K549" i="1"/>
  <c r="L549" i="1"/>
  <c r="K537" i="1"/>
  <c r="L537" i="1"/>
  <c r="K525" i="1"/>
  <c r="L525" i="1"/>
  <c r="K513" i="1"/>
  <c r="L513" i="1"/>
  <c r="K501" i="1"/>
  <c r="L501" i="1"/>
  <c r="K489" i="1"/>
  <c r="L489" i="1"/>
  <c r="K477" i="1"/>
  <c r="L477" i="1"/>
  <c r="K465" i="1"/>
  <c r="L465" i="1"/>
  <c r="K453" i="1"/>
  <c r="L453" i="1"/>
  <c r="K441" i="1"/>
  <c r="L441" i="1"/>
  <c r="K429" i="1"/>
  <c r="L429" i="1"/>
  <c r="K417" i="1"/>
  <c r="L417" i="1"/>
  <c r="K405" i="1"/>
  <c r="L405" i="1"/>
  <c r="K393" i="1"/>
  <c r="L393" i="1"/>
  <c r="K381" i="1"/>
  <c r="L381" i="1"/>
  <c r="K369" i="1"/>
  <c r="L369" i="1"/>
  <c r="K345" i="1"/>
  <c r="L345" i="1"/>
  <c r="K333" i="1"/>
  <c r="L333" i="1"/>
  <c r="K321" i="1"/>
  <c r="L321" i="1"/>
  <c r="K297" i="1"/>
  <c r="L297" i="1"/>
  <c r="K285" i="1"/>
  <c r="L285" i="1"/>
  <c r="K273" i="1"/>
  <c r="L273" i="1"/>
  <c r="K261" i="1"/>
  <c r="L261" i="1"/>
  <c r="K237" i="1"/>
  <c r="L237" i="1"/>
  <c r="K225" i="1"/>
  <c r="L225" i="1"/>
  <c r="K213" i="1"/>
  <c r="L213" i="1"/>
  <c r="K201" i="1"/>
  <c r="L201" i="1"/>
  <c r="K189" i="1"/>
  <c r="L189" i="1"/>
  <c r="K177" i="1"/>
  <c r="L177" i="1"/>
  <c r="K165" i="1"/>
  <c r="L165" i="1"/>
  <c r="K153" i="1"/>
  <c r="L153" i="1"/>
  <c r="K141" i="1"/>
  <c r="L141" i="1"/>
  <c r="K117" i="1"/>
  <c r="L117" i="1"/>
  <c r="K105" i="1"/>
  <c r="L105" i="1"/>
  <c r="K93" i="1"/>
  <c r="L93" i="1"/>
  <c r="K81" i="1"/>
  <c r="L81" i="1"/>
  <c r="K69" i="1"/>
  <c r="L69" i="1"/>
  <c r="K57" i="1"/>
  <c r="L57" i="1"/>
  <c r="K45" i="1"/>
  <c r="L45" i="1"/>
  <c r="K33" i="1"/>
  <c r="L33" i="1"/>
  <c r="K21" i="1"/>
  <c r="L21" i="1"/>
  <c r="K1810" i="1"/>
  <c r="K1458" i="1"/>
  <c r="K798" i="1"/>
  <c r="K246" i="1"/>
  <c r="L1886" i="1"/>
  <c r="L1837" i="1"/>
  <c r="L1796" i="1"/>
  <c r="L1742" i="1"/>
  <c r="L1578" i="1"/>
  <c r="L1394" i="1"/>
  <c r="L1290" i="1"/>
  <c r="L1063" i="1"/>
  <c r="L666" i="1"/>
  <c r="L129" i="1"/>
  <c r="K1787" i="1"/>
  <c r="L1787" i="1"/>
  <c r="K1763" i="1"/>
  <c r="L1763" i="1"/>
  <c r="K1643" i="1"/>
  <c r="L1643" i="1"/>
  <c r="K1403" i="1"/>
  <c r="L1403" i="1"/>
  <c r="K1367" i="1"/>
  <c r="L1367" i="1"/>
  <c r="K1343" i="1"/>
  <c r="L1343" i="1"/>
  <c r="K1307" i="1"/>
  <c r="L1307" i="1"/>
  <c r="K1283" i="1"/>
  <c r="L1283" i="1"/>
  <c r="K1259" i="1"/>
  <c r="L1259" i="1"/>
  <c r="K1199" i="1"/>
  <c r="L1199" i="1"/>
  <c r="K1163" i="1"/>
  <c r="L1163" i="1"/>
  <c r="K1103" i="1"/>
  <c r="L1103" i="1"/>
  <c r="K3" i="1"/>
  <c r="L3" i="1"/>
  <c r="K1953" i="1"/>
  <c r="L1953" i="1"/>
  <c r="K1940" i="1"/>
  <c r="L1940" i="1"/>
  <c r="K1916" i="1"/>
  <c r="L1916" i="1"/>
  <c r="K1772" i="1"/>
  <c r="L1772" i="1"/>
  <c r="K1700" i="1"/>
  <c r="L1700" i="1"/>
  <c r="K1592" i="1"/>
  <c r="L1592" i="1"/>
  <c r="K1328" i="1"/>
  <c r="L1328" i="1"/>
  <c r="K1292" i="1"/>
  <c r="L1292" i="1"/>
  <c r="K1256" i="1"/>
  <c r="L1256" i="1"/>
  <c r="K1220" i="1"/>
  <c r="L1220" i="1"/>
  <c r="K1208" i="1"/>
  <c r="L1208" i="1"/>
  <c r="K1172" i="1"/>
  <c r="L1172" i="1"/>
  <c r="K1136" i="1"/>
  <c r="L1136" i="1"/>
  <c r="K1100" i="1"/>
  <c r="L1100" i="1"/>
  <c r="K1088" i="1"/>
  <c r="L1088" i="1"/>
  <c r="K1052" i="1"/>
  <c r="L1052" i="1"/>
  <c r="K1016" i="1"/>
  <c r="L1016" i="1"/>
  <c r="K980" i="1"/>
  <c r="L980" i="1"/>
  <c r="K956" i="1"/>
  <c r="L956" i="1"/>
  <c r="K932" i="1"/>
  <c r="L932" i="1"/>
  <c r="K896" i="1"/>
  <c r="L896" i="1"/>
  <c r="K860" i="1"/>
  <c r="L860" i="1"/>
  <c r="K824" i="1"/>
  <c r="L824" i="1"/>
  <c r="K788" i="1"/>
  <c r="L788" i="1"/>
  <c r="K752" i="1"/>
  <c r="L752" i="1"/>
  <c r="K716" i="1"/>
  <c r="L716" i="1"/>
  <c r="K668" i="1"/>
  <c r="L668" i="1"/>
  <c r="K632" i="1"/>
  <c r="L632" i="1"/>
  <c r="K596" i="1"/>
  <c r="L596" i="1"/>
  <c r="K560" i="1"/>
  <c r="L560" i="1"/>
  <c r="K524" i="1"/>
  <c r="L524" i="1"/>
  <c r="K500" i="1"/>
  <c r="L500" i="1"/>
  <c r="K464" i="1"/>
  <c r="L464" i="1"/>
  <c r="K428" i="1"/>
  <c r="L428" i="1"/>
  <c r="K392" i="1"/>
  <c r="L392" i="1"/>
  <c r="K368" i="1"/>
  <c r="L368" i="1"/>
  <c r="K296" i="1"/>
  <c r="L296" i="1"/>
  <c r="K152" i="1"/>
  <c r="L152" i="1"/>
  <c r="K1808" i="1"/>
  <c r="L1964" i="1"/>
  <c r="L1882" i="1"/>
  <c r="L1727" i="1"/>
  <c r="L1655" i="1"/>
  <c r="L1568" i="1"/>
  <c r="L1388" i="1"/>
  <c r="L1166" i="1"/>
  <c r="L1050" i="1"/>
  <c r="L863" i="1"/>
  <c r="L357" i="1"/>
  <c r="L127" i="1"/>
  <c r="K1847" i="1"/>
  <c r="L1847" i="1"/>
  <c r="K1811" i="1"/>
  <c r="L1811" i="1"/>
  <c r="K1775" i="1"/>
  <c r="L1775" i="1"/>
  <c r="K1739" i="1"/>
  <c r="L1739" i="1"/>
  <c r="K1715" i="1"/>
  <c r="L1715" i="1"/>
  <c r="K1667" i="1"/>
  <c r="L1667" i="1"/>
  <c r="K1559" i="1"/>
  <c r="L1559" i="1"/>
  <c r="K1523" i="1"/>
  <c r="L1523" i="1"/>
  <c r="K1487" i="1"/>
  <c r="L1487" i="1"/>
  <c r="K1463" i="1"/>
  <c r="L1463" i="1"/>
  <c r="K1415" i="1"/>
  <c r="L1415" i="1"/>
  <c r="K1355" i="1"/>
  <c r="L1355" i="1"/>
  <c r="K1211" i="1"/>
  <c r="L1211" i="1"/>
  <c r="K1175" i="1"/>
  <c r="L1175" i="1"/>
  <c r="K1127" i="1"/>
  <c r="L1127" i="1"/>
  <c r="K1079" i="1"/>
  <c r="L1079" i="1"/>
  <c r="K1043" i="1"/>
  <c r="L1043" i="1"/>
  <c r="K923" i="1"/>
  <c r="L923" i="1"/>
  <c r="K14" i="1"/>
  <c r="L14" i="1"/>
  <c r="K1988" i="1"/>
  <c r="L1988" i="1"/>
  <c r="K1976" i="1"/>
  <c r="L1976" i="1"/>
  <c r="K1904" i="1"/>
  <c r="L1904" i="1"/>
  <c r="K1880" i="1"/>
  <c r="L1880" i="1"/>
  <c r="K1784" i="1"/>
  <c r="L1784" i="1"/>
  <c r="K1748" i="1"/>
  <c r="L1748" i="1"/>
  <c r="K1652" i="1"/>
  <c r="L1652" i="1"/>
  <c r="K1628" i="1"/>
  <c r="L1628" i="1"/>
  <c r="K1616" i="1"/>
  <c r="L1616" i="1"/>
  <c r="K1556" i="1"/>
  <c r="L1556" i="1"/>
  <c r="K1544" i="1"/>
  <c r="L1544" i="1"/>
  <c r="K1520" i="1"/>
  <c r="L1520" i="1"/>
  <c r="K1508" i="1"/>
  <c r="L1508" i="1"/>
  <c r="K1448" i="1"/>
  <c r="L1448" i="1"/>
  <c r="K1424" i="1"/>
  <c r="L1424" i="1"/>
  <c r="K1412" i="1"/>
  <c r="L1412" i="1"/>
  <c r="K1400" i="1"/>
  <c r="L1400" i="1"/>
  <c r="L1364" i="1"/>
  <c r="K1364" i="1"/>
  <c r="K1316" i="1"/>
  <c r="L1316" i="1"/>
  <c r="K1280" i="1"/>
  <c r="L1280" i="1"/>
  <c r="K1244" i="1"/>
  <c r="L1244" i="1"/>
  <c r="K1184" i="1"/>
  <c r="L1184" i="1"/>
  <c r="K1148" i="1"/>
  <c r="L1148" i="1"/>
  <c r="K1112" i="1"/>
  <c r="L1112" i="1"/>
  <c r="K1076" i="1"/>
  <c r="L1076" i="1"/>
  <c r="K1040" i="1"/>
  <c r="L1040" i="1"/>
  <c r="K1004" i="1"/>
  <c r="L1004" i="1"/>
  <c r="K968" i="1"/>
  <c r="L968" i="1"/>
  <c r="K920" i="1"/>
  <c r="L920" i="1"/>
  <c r="K884" i="1"/>
  <c r="L884" i="1"/>
  <c r="K848" i="1"/>
  <c r="L848" i="1"/>
  <c r="K812" i="1"/>
  <c r="L812" i="1"/>
  <c r="K776" i="1"/>
  <c r="L776" i="1"/>
  <c r="K740" i="1"/>
  <c r="L740" i="1"/>
  <c r="K704" i="1"/>
  <c r="L704" i="1"/>
  <c r="K680" i="1"/>
  <c r="L680" i="1"/>
  <c r="K644" i="1"/>
  <c r="L644" i="1"/>
  <c r="K608" i="1"/>
  <c r="L608" i="1"/>
  <c r="K572" i="1"/>
  <c r="L572" i="1"/>
  <c r="K536" i="1"/>
  <c r="L536" i="1"/>
  <c r="K488" i="1"/>
  <c r="L488" i="1"/>
  <c r="K452" i="1"/>
  <c r="L452" i="1"/>
  <c r="K404" i="1"/>
  <c r="L404" i="1"/>
  <c r="K380" i="1"/>
  <c r="L380" i="1"/>
  <c r="K344" i="1"/>
  <c r="L344" i="1"/>
  <c r="K332" i="1"/>
  <c r="L332" i="1"/>
  <c r="K308" i="1"/>
  <c r="L308" i="1"/>
  <c r="K272" i="1"/>
  <c r="L272" i="1"/>
  <c r="K248" i="1"/>
  <c r="L248" i="1"/>
  <c r="K224" i="1"/>
  <c r="L224" i="1"/>
  <c r="K212" i="1"/>
  <c r="L212" i="1"/>
  <c r="K188" i="1"/>
  <c r="L188" i="1"/>
  <c r="K176" i="1"/>
  <c r="L176" i="1"/>
  <c r="K140" i="1"/>
  <c r="L140" i="1"/>
  <c r="K116" i="1"/>
  <c r="L116" i="1"/>
  <c r="K92" i="1"/>
  <c r="L92" i="1"/>
  <c r="K68" i="1"/>
  <c r="L68" i="1"/>
  <c r="K44" i="1"/>
  <c r="L44" i="1"/>
  <c r="K20" i="1"/>
  <c r="L20" i="1"/>
  <c r="K1999" i="1"/>
  <c r="L1999" i="1"/>
  <c r="K1975" i="1"/>
  <c r="L1975" i="1"/>
  <c r="K1963" i="1"/>
  <c r="L1963" i="1"/>
  <c r="L1939" i="1"/>
  <c r="K1939" i="1"/>
  <c r="K1915" i="1"/>
  <c r="L1915" i="1"/>
  <c r="K1891" i="1"/>
  <c r="L1891" i="1"/>
  <c r="K1879" i="1"/>
  <c r="L1879" i="1"/>
  <c r="K1867" i="1"/>
  <c r="L1867" i="1"/>
  <c r="K1855" i="1"/>
  <c r="L1855" i="1"/>
  <c r="K1843" i="1"/>
  <c r="L1843" i="1"/>
  <c r="K1831" i="1"/>
  <c r="L1831" i="1"/>
  <c r="K1819" i="1"/>
  <c r="L1819" i="1"/>
  <c r="L1807" i="1"/>
  <c r="K1807" i="1"/>
  <c r="K1795" i="1"/>
  <c r="L1795" i="1"/>
  <c r="K1783" i="1"/>
  <c r="L1783" i="1"/>
  <c r="L1759" i="1"/>
  <c r="K1759" i="1"/>
  <c r="K1747" i="1"/>
  <c r="L1747" i="1"/>
  <c r="K1699" i="1"/>
  <c r="L1699" i="1"/>
  <c r="K1687" i="1"/>
  <c r="L1687" i="1"/>
  <c r="K1675" i="1"/>
  <c r="L1675" i="1"/>
  <c r="K1663" i="1"/>
  <c r="L1663" i="1"/>
  <c r="K1651" i="1"/>
  <c r="L1651" i="1"/>
  <c r="K1639" i="1"/>
  <c r="L1639" i="1"/>
  <c r="K1627" i="1"/>
  <c r="L1627" i="1"/>
  <c r="K1615" i="1"/>
  <c r="L1615" i="1"/>
  <c r="K1603" i="1"/>
  <c r="L1603" i="1"/>
  <c r="K1591" i="1"/>
  <c r="L1591" i="1"/>
  <c r="K1579" i="1"/>
  <c r="L1579" i="1"/>
  <c r="K1567" i="1"/>
  <c r="L1567" i="1"/>
  <c r="K1555" i="1"/>
  <c r="L1555" i="1"/>
  <c r="K1543" i="1"/>
  <c r="L1543" i="1"/>
  <c r="K1531" i="1"/>
  <c r="L1531" i="1"/>
  <c r="K1519" i="1"/>
  <c r="L1519" i="1"/>
  <c r="K1507" i="1"/>
  <c r="L1507" i="1"/>
  <c r="K1495" i="1"/>
  <c r="L1495" i="1"/>
  <c r="K1483" i="1"/>
  <c r="L1483" i="1"/>
  <c r="K1471" i="1"/>
  <c r="L1471" i="1"/>
  <c r="K1459" i="1"/>
  <c r="L1459" i="1"/>
  <c r="K1447" i="1"/>
  <c r="L1447" i="1"/>
  <c r="K1435" i="1"/>
  <c r="L1435" i="1"/>
  <c r="K1423" i="1"/>
  <c r="L1423" i="1"/>
  <c r="K1411" i="1"/>
  <c r="L1411" i="1"/>
  <c r="K1399" i="1"/>
  <c r="L1399" i="1"/>
  <c r="K1387" i="1"/>
  <c r="L1387" i="1"/>
  <c r="K1375" i="1"/>
  <c r="L1375" i="1"/>
  <c r="L1363" i="1"/>
  <c r="K1363" i="1"/>
  <c r="K1339" i="1"/>
  <c r="L1339" i="1"/>
  <c r="K1327" i="1"/>
  <c r="L1327" i="1"/>
  <c r="K1315" i="1"/>
  <c r="L1315" i="1"/>
  <c r="K1303" i="1"/>
  <c r="L1303" i="1"/>
  <c r="K1291" i="1"/>
  <c r="L1291" i="1"/>
  <c r="K1279" i="1"/>
  <c r="L1279" i="1"/>
  <c r="K1267" i="1"/>
  <c r="L1267" i="1"/>
  <c r="K1243" i="1"/>
  <c r="L1243" i="1"/>
  <c r="K1231" i="1"/>
  <c r="L1231" i="1"/>
  <c r="K1219" i="1"/>
  <c r="L1219" i="1"/>
  <c r="K1195" i="1"/>
  <c r="L1195" i="1"/>
  <c r="K1183" i="1"/>
  <c r="L1183" i="1"/>
  <c r="K1171" i="1"/>
  <c r="L1171" i="1"/>
  <c r="K1147" i="1"/>
  <c r="L1147" i="1"/>
  <c r="K1135" i="1"/>
  <c r="L1135" i="1"/>
  <c r="K1123" i="1"/>
  <c r="L1123" i="1"/>
  <c r="K1099" i="1"/>
  <c r="L1099" i="1"/>
  <c r="K1087" i="1"/>
  <c r="L1087" i="1"/>
  <c r="K1075" i="1"/>
  <c r="L1075" i="1"/>
  <c r="K1051" i="1"/>
  <c r="L1051" i="1"/>
  <c r="K1039" i="1"/>
  <c r="L1039" i="1"/>
  <c r="K1027" i="1"/>
  <c r="L1027" i="1"/>
  <c r="K1015" i="1"/>
  <c r="L1015" i="1"/>
  <c r="K979" i="1"/>
  <c r="L979" i="1"/>
  <c r="K967" i="1"/>
  <c r="L967" i="1"/>
  <c r="K955" i="1"/>
  <c r="L955" i="1"/>
  <c r="K919" i="1"/>
  <c r="L919" i="1"/>
  <c r="K907" i="1"/>
  <c r="L907" i="1"/>
  <c r="K895" i="1"/>
  <c r="L895" i="1"/>
  <c r="K883" i="1"/>
  <c r="L883" i="1"/>
  <c r="K871" i="1"/>
  <c r="L871" i="1"/>
  <c r="K859" i="1"/>
  <c r="L859" i="1"/>
  <c r="K847" i="1"/>
  <c r="L847" i="1"/>
  <c r="K835" i="1"/>
  <c r="L835" i="1"/>
  <c r="K823" i="1"/>
  <c r="L823" i="1"/>
  <c r="K811" i="1"/>
  <c r="L811" i="1"/>
  <c r="K799" i="1"/>
  <c r="L799" i="1"/>
  <c r="K787" i="1"/>
  <c r="L787" i="1"/>
  <c r="K763" i="1"/>
  <c r="L763" i="1"/>
  <c r="K751" i="1"/>
  <c r="L751" i="1"/>
  <c r="K739" i="1"/>
  <c r="L739" i="1"/>
  <c r="K715" i="1"/>
  <c r="L715" i="1"/>
  <c r="K703" i="1"/>
  <c r="L703" i="1"/>
  <c r="K691" i="1"/>
  <c r="L691" i="1"/>
  <c r="K667" i="1"/>
  <c r="L667" i="1"/>
  <c r="K655" i="1"/>
  <c r="L655" i="1"/>
  <c r="K643" i="1"/>
  <c r="L643" i="1"/>
  <c r="K631" i="1"/>
  <c r="L631" i="1"/>
  <c r="K619" i="1"/>
  <c r="L619" i="1"/>
  <c r="K607" i="1"/>
  <c r="L607" i="1"/>
  <c r="K595" i="1"/>
  <c r="L595" i="1"/>
  <c r="K583" i="1"/>
  <c r="L583" i="1"/>
  <c r="K571" i="1"/>
  <c r="L571" i="1"/>
  <c r="K547" i="1"/>
  <c r="L547" i="1"/>
  <c r="K535" i="1"/>
  <c r="L535" i="1"/>
  <c r="K523" i="1"/>
  <c r="L523" i="1"/>
  <c r="K511" i="1"/>
  <c r="L511" i="1"/>
  <c r="K499" i="1"/>
  <c r="L499" i="1"/>
  <c r="K487" i="1"/>
  <c r="L487" i="1"/>
  <c r="K475" i="1"/>
  <c r="L475" i="1"/>
  <c r="K463" i="1"/>
  <c r="L463" i="1"/>
  <c r="K451" i="1"/>
  <c r="L451" i="1"/>
  <c r="K439" i="1"/>
  <c r="L439" i="1"/>
  <c r="K427" i="1"/>
  <c r="L427" i="1"/>
  <c r="K415" i="1"/>
  <c r="L415" i="1"/>
  <c r="K403" i="1"/>
  <c r="L403" i="1"/>
  <c r="K391" i="1"/>
  <c r="L391" i="1"/>
  <c r="K379" i="1"/>
  <c r="L379" i="1"/>
  <c r="K367" i="1"/>
  <c r="L367" i="1"/>
  <c r="K343" i="1"/>
  <c r="L343" i="1"/>
  <c r="K319" i="1"/>
  <c r="L319" i="1"/>
  <c r="K307" i="1"/>
  <c r="L307" i="1"/>
  <c r="K295" i="1"/>
  <c r="L295" i="1"/>
  <c r="K283" i="1"/>
  <c r="L283" i="1"/>
  <c r="K271" i="1"/>
  <c r="L271" i="1"/>
  <c r="K259" i="1"/>
  <c r="L259" i="1"/>
  <c r="K235" i="1"/>
  <c r="L235" i="1"/>
  <c r="K223" i="1"/>
  <c r="L223" i="1"/>
  <c r="K211" i="1"/>
  <c r="L211" i="1"/>
  <c r="K187" i="1"/>
  <c r="L187" i="1"/>
  <c r="K175" i="1"/>
  <c r="L175" i="1"/>
  <c r="K163" i="1"/>
  <c r="L163" i="1"/>
  <c r="K151" i="1"/>
  <c r="L151" i="1"/>
  <c r="K139" i="1"/>
  <c r="L139" i="1"/>
  <c r="K115" i="1"/>
  <c r="L115" i="1"/>
  <c r="K103" i="1"/>
  <c r="L103" i="1"/>
  <c r="K91" i="1"/>
  <c r="L91" i="1"/>
  <c r="K79" i="1"/>
  <c r="L79" i="1"/>
  <c r="K67" i="1"/>
  <c r="L67" i="1"/>
  <c r="K55" i="1"/>
  <c r="L55" i="1"/>
  <c r="K43" i="1"/>
  <c r="L43" i="1"/>
  <c r="K31" i="1"/>
  <c r="L31" i="1"/>
  <c r="K1987" i="1"/>
  <c r="L1922" i="1"/>
  <c r="L1873" i="1"/>
  <c r="L1834" i="1"/>
  <c r="L1789" i="1"/>
  <c r="L1726" i="1"/>
  <c r="L1650" i="1"/>
  <c r="L1475" i="1"/>
  <c r="L1376" i="1"/>
  <c r="L1159" i="1"/>
  <c r="L861" i="1"/>
  <c r="L621" i="1"/>
  <c r="L355" i="1"/>
  <c r="L106" i="1"/>
  <c r="K1835" i="1"/>
  <c r="L1835" i="1"/>
  <c r="K1751" i="1"/>
  <c r="L1751" i="1"/>
  <c r="K1595" i="1"/>
  <c r="L1595" i="1"/>
  <c r="K1427" i="1"/>
  <c r="L1427" i="1"/>
  <c r="K1391" i="1"/>
  <c r="L1391" i="1"/>
  <c r="K1331" i="1"/>
  <c r="L1331" i="1"/>
  <c r="K1295" i="1"/>
  <c r="L1295" i="1"/>
  <c r="K1223" i="1"/>
  <c r="L1223" i="1"/>
  <c r="K1151" i="1"/>
  <c r="L1151" i="1"/>
  <c r="K1091" i="1"/>
  <c r="L1091" i="1"/>
  <c r="K971" i="1"/>
  <c r="L971" i="1"/>
  <c r="K15" i="1"/>
  <c r="L15" i="1"/>
  <c r="K1965" i="1"/>
  <c r="L1965" i="1"/>
  <c r="K1952" i="1"/>
  <c r="L1952" i="1"/>
  <c r="K1868" i="1"/>
  <c r="L1868" i="1"/>
  <c r="K1844" i="1"/>
  <c r="L1844" i="1"/>
  <c r="K1832" i="1"/>
  <c r="L1832" i="1"/>
  <c r="K1760" i="1"/>
  <c r="L1760" i="1"/>
  <c r="K1712" i="1"/>
  <c r="L1712" i="1"/>
  <c r="K1688" i="1"/>
  <c r="L1688" i="1"/>
  <c r="K1664" i="1"/>
  <c r="L1664" i="1"/>
  <c r="L1580" i="1"/>
  <c r="K1580" i="1"/>
  <c r="K1484" i="1"/>
  <c r="L1484" i="1"/>
  <c r="K1472" i="1"/>
  <c r="L1472" i="1"/>
  <c r="K1436" i="1"/>
  <c r="L1436" i="1"/>
  <c r="K1340" i="1"/>
  <c r="L1340" i="1"/>
  <c r="K1304" i="1"/>
  <c r="L1304" i="1"/>
  <c r="K1268" i="1"/>
  <c r="L1268" i="1"/>
  <c r="K1232" i="1"/>
  <c r="L1232" i="1"/>
  <c r="K1196" i="1"/>
  <c r="L1196" i="1"/>
  <c r="K1160" i="1"/>
  <c r="L1160" i="1"/>
  <c r="L1124" i="1"/>
  <c r="K1124" i="1"/>
  <c r="K1064" i="1"/>
  <c r="L1064" i="1"/>
  <c r="K1028" i="1"/>
  <c r="L1028" i="1"/>
  <c r="K992" i="1"/>
  <c r="L992" i="1"/>
  <c r="K944" i="1"/>
  <c r="L944" i="1"/>
  <c r="K908" i="1"/>
  <c r="L908" i="1"/>
  <c r="K872" i="1"/>
  <c r="L872" i="1"/>
  <c r="K836" i="1"/>
  <c r="L836" i="1"/>
  <c r="K800" i="1"/>
  <c r="L800" i="1"/>
  <c r="K764" i="1"/>
  <c r="L764" i="1"/>
  <c r="K728" i="1"/>
  <c r="L728" i="1"/>
  <c r="K692" i="1"/>
  <c r="L692" i="1"/>
  <c r="K656" i="1"/>
  <c r="L656" i="1"/>
  <c r="K620" i="1"/>
  <c r="L620" i="1"/>
  <c r="K584" i="1"/>
  <c r="L584" i="1"/>
  <c r="K548" i="1"/>
  <c r="L548" i="1"/>
  <c r="K512" i="1"/>
  <c r="L512" i="1"/>
  <c r="K476" i="1"/>
  <c r="L476" i="1"/>
  <c r="K440" i="1"/>
  <c r="L440" i="1"/>
  <c r="K416" i="1"/>
  <c r="L416" i="1"/>
  <c r="K356" i="1"/>
  <c r="L356" i="1"/>
  <c r="K320" i="1"/>
  <c r="L320" i="1"/>
  <c r="K284" i="1"/>
  <c r="L284" i="1"/>
  <c r="K260" i="1"/>
  <c r="L260" i="1"/>
  <c r="K236" i="1"/>
  <c r="L236" i="1"/>
  <c r="K200" i="1"/>
  <c r="L200" i="1"/>
  <c r="K164" i="1"/>
  <c r="L164" i="1"/>
  <c r="K128" i="1"/>
  <c r="L128" i="1"/>
  <c r="K104" i="1"/>
  <c r="L104" i="1"/>
  <c r="K80" i="1"/>
  <c r="L80" i="1"/>
  <c r="K56" i="1"/>
  <c r="L56" i="1"/>
  <c r="K32" i="1"/>
  <c r="L32" i="1"/>
  <c r="K13" i="1"/>
  <c r="L13" i="1"/>
  <c r="K1951" i="1"/>
  <c r="L1951" i="1"/>
  <c r="K1927" i="1"/>
  <c r="L1927" i="1"/>
  <c r="K1771" i="1"/>
  <c r="L1771" i="1"/>
  <c r="K12" i="1"/>
  <c r="L12" i="1"/>
  <c r="K1998" i="1"/>
  <c r="L1998" i="1"/>
  <c r="K1962" i="1"/>
  <c r="L1962" i="1"/>
  <c r="K1950" i="1"/>
  <c r="L1950" i="1"/>
  <c r="L1938" i="1"/>
  <c r="K1938" i="1"/>
  <c r="K1926" i="1"/>
  <c r="L1926" i="1"/>
  <c r="K1914" i="1"/>
  <c r="L1914" i="1"/>
  <c r="K1890" i="1"/>
  <c r="L1890" i="1"/>
  <c r="K1878" i="1"/>
  <c r="L1878" i="1"/>
  <c r="L1866" i="1"/>
  <c r="K1866" i="1"/>
  <c r="K1854" i="1"/>
  <c r="L1854" i="1"/>
  <c r="K1842" i="1"/>
  <c r="L1842" i="1"/>
  <c r="L1830" i="1"/>
  <c r="K1830" i="1"/>
  <c r="K1818" i="1"/>
  <c r="L1818" i="1"/>
  <c r="K1806" i="1"/>
  <c r="L1806" i="1"/>
  <c r="L1794" i="1"/>
  <c r="K1794" i="1"/>
  <c r="K1782" i="1"/>
  <c r="L1782" i="1"/>
  <c r="K1770" i="1"/>
  <c r="L1770" i="1"/>
  <c r="L1758" i="1"/>
  <c r="K1758" i="1"/>
  <c r="K1746" i="1"/>
  <c r="L1746" i="1"/>
  <c r="K1734" i="1"/>
  <c r="L1734" i="1"/>
  <c r="K1722" i="1"/>
  <c r="L1722" i="1"/>
  <c r="K1710" i="1"/>
  <c r="L1710" i="1"/>
  <c r="K1698" i="1"/>
  <c r="L1698" i="1"/>
  <c r="K1674" i="1"/>
  <c r="L1674" i="1"/>
  <c r="K1662" i="1"/>
  <c r="L1662" i="1"/>
  <c r="K1638" i="1"/>
  <c r="L1638" i="1"/>
  <c r="L1626" i="1"/>
  <c r="K1626" i="1"/>
  <c r="K1602" i="1"/>
  <c r="L1602" i="1"/>
  <c r="L1590" i="1"/>
  <c r="K1590" i="1"/>
  <c r="K1566" i="1"/>
  <c r="L1566" i="1"/>
  <c r="L1554" i="1"/>
  <c r="K1554" i="1"/>
  <c r="K1530" i="1"/>
  <c r="L1530" i="1"/>
  <c r="K1518" i="1"/>
  <c r="L1518" i="1"/>
  <c r="K1494" i="1"/>
  <c r="L1494" i="1"/>
  <c r="K1482" i="1"/>
  <c r="L1482" i="1"/>
  <c r="K1446" i="1"/>
  <c r="L1446" i="1"/>
  <c r="K1434" i="1"/>
  <c r="L1434" i="1"/>
  <c r="K1422" i="1"/>
  <c r="L1422" i="1"/>
  <c r="K1410" i="1"/>
  <c r="L1410" i="1"/>
  <c r="K1398" i="1"/>
  <c r="L1398" i="1"/>
  <c r="K1374" i="1"/>
  <c r="L1374" i="1"/>
  <c r="K1350" i="1"/>
  <c r="L1350" i="1"/>
  <c r="K1338" i="1"/>
  <c r="L1338" i="1"/>
  <c r="K1326" i="1"/>
  <c r="L1326" i="1"/>
  <c r="K1314" i="1"/>
  <c r="L1314" i="1"/>
  <c r="K1278" i="1"/>
  <c r="L1278" i="1"/>
  <c r="K1266" i="1"/>
  <c r="L1266" i="1"/>
  <c r="K1254" i="1"/>
  <c r="L1254" i="1"/>
  <c r="K1230" i="1"/>
  <c r="L1230" i="1"/>
  <c r="K1218" i="1"/>
  <c r="L1218" i="1"/>
  <c r="K1206" i="1"/>
  <c r="L1206" i="1"/>
  <c r="K1182" i="1"/>
  <c r="L1182" i="1"/>
  <c r="K1170" i="1"/>
  <c r="L1170" i="1"/>
  <c r="K1158" i="1"/>
  <c r="L1158" i="1"/>
  <c r="K1134" i="1"/>
  <c r="L1134" i="1"/>
  <c r="K1110" i="1"/>
  <c r="L1110" i="1"/>
  <c r="K1086" i="1"/>
  <c r="L1086" i="1"/>
  <c r="K1074" i="1"/>
  <c r="L1074" i="1"/>
  <c r="K1062" i="1"/>
  <c r="L1062" i="1"/>
  <c r="K1038" i="1"/>
  <c r="L1038" i="1"/>
  <c r="K1026" i="1"/>
  <c r="L1026" i="1"/>
  <c r="L1002" i="1"/>
  <c r="K1002" i="1"/>
  <c r="K990" i="1"/>
  <c r="L990" i="1"/>
  <c r="K978" i="1"/>
  <c r="L978" i="1"/>
  <c r="K966" i="1"/>
  <c r="L966" i="1"/>
  <c r="K954" i="1"/>
  <c r="L954" i="1"/>
  <c r="K942" i="1"/>
  <c r="L942" i="1"/>
  <c r="K930" i="1"/>
  <c r="L930" i="1"/>
  <c r="K918" i="1"/>
  <c r="L918" i="1"/>
  <c r="K906" i="1"/>
  <c r="L906" i="1"/>
  <c r="K894" i="1"/>
  <c r="L894" i="1"/>
  <c r="K882" i="1"/>
  <c r="L882" i="1"/>
  <c r="K870" i="1"/>
  <c r="L870" i="1"/>
  <c r="K858" i="1"/>
  <c r="L858" i="1"/>
  <c r="L846" i="1"/>
  <c r="K846" i="1"/>
  <c r="K834" i="1"/>
  <c r="L834" i="1"/>
  <c r="K822" i="1"/>
  <c r="L822" i="1"/>
  <c r="K810" i="1"/>
  <c r="L810" i="1"/>
  <c r="K786" i="1"/>
  <c r="L786" i="1"/>
  <c r="K774" i="1"/>
  <c r="L774" i="1"/>
  <c r="K762" i="1"/>
  <c r="L762" i="1"/>
  <c r="K750" i="1"/>
  <c r="L750" i="1"/>
  <c r="K738" i="1"/>
  <c r="L738" i="1"/>
  <c r="K726" i="1"/>
  <c r="L726" i="1"/>
  <c r="K714" i="1"/>
  <c r="L714" i="1"/>
  <c r="K702" i="1"/>
  <c r="L702" i="1"/>
  <c r="K690" i="1"/>
  <c r="L690" i="1"/>
  <c r="K654" i="1"/>
  <c r="L654" i="1"/>
  <c r="K642" i="1"/>
  <c r="L642" i="1"/>
  <c r="K630" i="1"/>
  <c r="L630" i="1"/>
  <c r="K618" i="1"/>
  <c r="L618" i="1"/>
  <c r="K606" i="1"/>
  <c r="L606" i="1"/>
  <c r="K594" i="1"/>
  <c r="L594" i="1"/>
  <c r="K582" i="1"/>
  <c r="L582" i="1"/>
  <c r="K570" i="1"/>
  <c r="L570" i="1"/>
  <c r="K558" i="1"/>
  <c r="L558" i="1"/>
  <c r="K546" i="1"/>
  <c r="L546" i="1"/>
  <c r="K534" i="1"/>
  <c r="L534" i="1"/>
  <c r="K522" i="1"/>
  <c r="L522" i="1"/>
  <c r="K510" i="1"/>
  <c r="L510" i="1"/>
  <c r="K498" i="1"/>
  <c r="L498" i="1"/>
  <c r="K474" i="1"/>
  <c r="L474" i="1"/>
  <c r="K462" i="1"/>
  <c r="L462" i="1"/>
  <c r="K450" i="1"/>
  <c r="L450" i="1"/>
  <c r="K438" i="1"/>
  <c r="L438" i="1"/>
  <c r="K426" i="1"/>
  <c r="L426" i="1"/>
  <c r="K414" i="1"/>
  <c r="L414" i="1"/>
  <c r="K402" i="1"/>
  <c r="L402" i="1"/>
  <c r="K390" i="1"/>
  <c r="L390" i="1"/>
  <c r="K378" i="1"/>
  <c r="L378" i="1"/>
  <c r="K366" i="1"/>
  <c r="L366" i="1"/>
  <c r="K354" i="1"/>
  <c r="L354" i="1"/>
  <c r="K342" i="1"/>
  <c r="L342" i="1"/>
  <c r="K330" i="1"/>
  <c r="L330" i="1"/>
  <c r="L318" i="1"/>
  <c r="K318" i="1"/>
  <c r="K306" i="1"/>
  <c r="L306" i="1"/>
  <c r="K294" i="1"/>
  <c r="L294" i="1"/>
  <c r="K282" i="1"/>
  <c r="L282" i="1"/>
  <c r="K270" i="1"/>
  <c r="L270" i="1"/>
  <c r="K258" i="1"/>
  <c r="L258" i="1"/>
  <c r="K234" i="1"/>
  <c r="L234" i="1"/>
  <c r="K210" i="1"/>
  <c r="L210" i="1"/>
  <c r="K198" i="1"/>
  <c r="L198" i="1"/>
  <c r="K186" i="1"/>
  <c r="L186" i="1"/>
  <c r="K174" i="1"/>
  <c r="L174" i="1"/>
  <c r="K162" i="1"/>
  <c r="L162" i="1"/>
  <c r="K150" i="1"/>
  <c r="L150" i="1"/>
  <c r="K138" i="1"/>
  <c r="L138" i="1"/>
  <c r="L126" i="1"/>
  <c r="K126" i="1"/>
  <c r="K114" i="1"/>
  <c r="L114" i="1"/>
  <c r="K102" i="1"/>
  <c r="L102" i="1"/>
  <c r="K90" i="1"/>
  <c r="L90" i="1"/>
  <c r="K78" i="1"/>
  <c r="L78" i="1"/>
  <c r="K66" i="1"/>
  <c r="L66" i="1"/>
  <c r="K54" i="1"/>
  <c r="L54" i="1"/>
  <c r="K42" i="1"/>
  <c r="L42" i="1"/>
  <c r="K30" i="1"/>
  <c r="L30" i="1"/>
  <c r="K1986" i="1"/>
  <c r="L2000" i="1"/>
  <c r="L1918" i="1"/>
  <c r="L1833" i="1"/>
  <c r="L1778" i="1"/>
  <c r="L1724" i="1"/>
  <c r="L1640" i="1"/>
  <c r="L1470" i="1"/>
  <c r="L1354" i="1"/>
  <c r="L1146" i="1"/>
  <c r="L849" i="1"/>
  <c r="L573" i="1"/>
  <c r="L346" i="1"/>
  <c r="K1157" i="1"/>
  <c r="L1157" i="1"/>
  <c r="K1109" i="1"/>
  <c r="L1109" i="1"/>
  <c r="K1061" i="1"/>
  <c r="L1061" i="1"/>
  <c r="K1013" i="1"/>
  <c r="L1013" i="1"/>
  <c r="K1001" i="1"/>
  <c r="L1001" i="1"/>
  <c r="K989" i="1"/>
  <c r="L989" i="1"/>
  <c r="K977" i="1"/>
  <c r="L977" i="1"/>
  <c r="K965" i="1"/>
  <c r="L965" i="1"/>
  <c r="K953" i="1"/>
  <c r="L953" i="1"/>
  <c r="K941" i="1"/>
  <c r="L941" i="1"/>
  <c r="K929" i="1"/>
  <c r="L929" i="1"/>
  <c r="K917" i="1"/>
  <c r="L917" i="1"/>
  <c r="K905" i="1"/>
  <c r="L905" i="1"/>
  <c r="K893" i="1"/>
  <c r="L893" i="1"/>
  <c r="K881" i="1"/>
  <c r="L881" i="1"/>
  <c r="K869" i="1"/>
  <c r="L869" i="1"/>
  <c r="K857" i="1"/>
  <c r="L857" i="1"/>
  <c r="K845" i="1"/>
  <c r="L845" i="1"/>
  <c r="K833" i="1"/>
  <c r="L833" i="1"/>
  <c r="K821" i="1"/>
  <c r="L821" i="1"/>
  <c r="K809" i="1"/>
  <c r="L809" i="1"/>
  <c r="K797" i="1"/>
  <c r="L797" i="1"/>
  <c r="K785" i="1"/>
  <c r="L785" i="1"/>
  <c r="K773" i="1"/>
  <c r="L773" i="1"/>
  <c r="K761" i="1"/>
  <c r="L761" i="1"/>
  <c r="K749" i="1"/>
  <c r="L749" i="1"/>
  <c r="K737" i="1"/>
  <c r="L737" i="1"/>
  <c r="K725" i="1"/>
  <c r="L725" i="1"/>
  <c r="K713" i="1"/>
  <c r="L713" i="1"/>
  <c r="K701" i="1"/>
  <c r="L701" i="1"/>
  <c r="K689" i="1"/>
  <c r="L689" i="1"/>
  <c r="K677" i="1"/>
  <c r="L677" i="1"/>
  <c r="K665" i="1"/>
  <c r="L665" i="1"/>
  <c r="K653" i="1"/>
  <c r="L653" i="1"/>
  <c r="K641" i="1"/>
  <c r="L641" i="1"/>
  <c r="K629" i="1"/>
  <c r="L629" i="1"/>
  <c r="K617" i="1"/>
  <c r="L617" i="1"/>
  <c r="K605" i="1"/>
  <c r="L605" i="1"/>
  <c r="K593" i="1"/>
  <c r="L593" i="1"/>
  <c r="K581" i="1"/>
  <c r="L581" i="1"/>
  <c r="K569" i="1"/>
  <c r="L569" i="1"/>
  <c r="K557" i="1"/>
  <c r="L557" i="1"/>
  <c r="K545" i="1"/>
  <c r="L545" i="1"/>
  <c r="K533" i="1"/>
  <c r="L533" i="1"/>
  <c r="K521" i="1"/>
  <c r="L521" i="1"/>
  <c r="K509" i="1"/>
  <c r="L509" i="1"/>
  <c r="K497" i="1"/>
  <c r="L497" i="1"/>
  <c r="K485" i="1"/>
  <c r="L485" i="1"/>
  <c r="K473" i="1"/>
  <c r="L473" i="1"/>
  <c r="K461" i="1"/>
  <c r="L461" i="1"/>
  <c r="K449" i="1"/>
  <c r="L449" i="1"/>
  <c r="K437" i="1"/>
  <c r="L437" i="1"/>
  <c r="K425" i="1"/>
  <c r="L425" i="1"/>
  <c r="K413" i="1"/>
  <c r="L413" i="1"/>
  <c r="K401" i="1"/>
  <c r="L401" i="1"/>
  <c r="K389" i="1"/>
  <c r="L389" i="1"/>
  <c r="K377" i="1"/>
  <c r="L377" i="1"/>
  <c r="K365" i="1"/>
  <c r="L365" i="1"/>
  <c r="K353" i="1"/>
  <c r="L353" i="1"/>
  <c r="K341" i="1"/>
  <c r="L341" i="1"/>
  <c r="K329" i="1"/>
  <c r="L329" i="1"/>
  <c r="K317" i="1"/>
  <c r="L317" i="1"/>
  <c r="K305" i="1"/>
  <c r="L305" i="1"/>
  <c r="K293" i="1"/>
  <c r="L293" i="1"/>
  <c r="K281" i="1"/>
  <c r="L281" i="1"/>
  <c r="K269" i="1"/>
  <c r="L269" i="1"/>
  <c r="K257" i="1"/>
  <c r="L257" i="1"/>
  <c r="K245" i="1"/>
  <c r="L245" i="1"/>
  <c r="K233" i="1"/>
  <c r="L233" i="1"/>
  <c r="K221" i="1"/>
  <c r="L221" i="1"/>
  <c r="K209" i="1"/>
  <c r="L209" i="1"/>
  <c r="K197" i="1"/>
  <c r="L197" i="1"/>
  <c r="K185" i="1"/>
  <c r="L185" i="1"/>
  <c r="K173" i="1"/>
  <c r="L173" i="1"/>
  <c r="K161" i="1"/>
  <c r="L161" i="1"/>
  <c r="K149" i="1"/>
  <c r="L149" i="1"/>
  <c r="K137" i="1"/>
  <c r="L137" i="1"/>
  <c r="K125" i="1"/>
  <c r="L125" i="1"/>
  <c r="K113" i="1"/>
  <c r="L113" i="1"/>
  <c r="K101" i="1"/>
  <c r="L101" i="1"/>
  <c r="K89" i="1"/>
  <c r="L89" i="1"/>
  <c r="K77" i="1"/>
  <c r="L77" i="1"/>
  <c r="K65" i="1"/>
  <c r="L65" i="1"/>
  <c r="K53" i="1"/>
  <c r="L53" i="1"/>
  <c r="K41" i="1"/>
  <c r="L41" i="1"/>
  <c r="K29" i="1"/>
  <c r="L29" i="1"/>
  <c r="K938" i="1"/>
  <c r="K732" i="1"/>
  <c r="L1297" i="1"/>
  <c r="L744" i="1"/>
  <c r="L539" i="1"/>
  <c r="L217" i="1"/>
  <c r="L96" i="1"/>
  <c r="L1884" i="1"/>
  <c r="L1848" i="1"/>
  <c r="L1716" i="1"/>
  <c r="L1645" i="1"/>
  <c r="L1609" i="1"/>
  <c r="L1573" i="1"/>
  <c r="L1537" i="1"/>
  <c r="L1501" i="1"/>
  <c r="L1465" i="1"/>
  <c r="L1296" i="1"/>
  <c r="L1249" i="1"/>
  <c r="L1201" i="1"/>
  <c r="L1153" i="1"/>
  <c r="L1105" i="1"/>
  <c r="L1057" i="1"/>
  <c r="L743" i="1"/>
  <c r="L637" i="1"/>
  <c r="L529" i="1"/>
  <c r="L431" i="1"/>
  <c r="L324" i="1"/>
  <c r="L95" i="1"/>
  <c r="K1010" i="1"/>
  <c r="L1010" i="1"/>
  <c r="K998" i="1"/>
  <c r="L998" i="1"/>
  <c r="L986" i="1"/>
  <c r="K986" i="1"/>
  <c r="K974" i="1"/>
  <c r="L974" i="1"/>
  <c r="K962" i="1"/>
  <c r="L962" i="1"/>
  <c r="K950" i="1"/>
  <c r="L950" i="1"/>
  <c r="K926" i="1"/>
  <c r="L926" i="1"/>
  <c r="K914" i="1"/>
  <c r="L914" i="1"/>
  <c r="K902" i="1"/>
  <c r="L902" i="1"/>
  <c r="K890" i="1"/>
  <c r="L890" i="1"/>
  <c r="K878" i="1"/>
  <c r="L878" i="1"/>
  <c r="K866" i="1"/>
  <c r="L866" i="1"/>
  <c r="K854" i="1"/>
  <c r="L854" i="1"/>
  <c r="K842" i="1"/>
  <c r="L842" i="1"/>
  <c r="K830" i="1"/>
  <c r="L830" i="1"/>
  <c r="K818" i="1"/>
  <c r="L818" i="1"/>
  <c r="K806" i="1"/>
  <c r="L806" i="1"/>
  <c r="K794" i="1"/>
  <c r="L794" i="1"/>
  <c r="K782" i="1"/>
  <c r="L782" i="1"/>
  <c r="K770" i="1"/>
  <c r="L770" i="1"/>
  <c r="K758" i="1"/>
  <c r="L758" i="1"/>
  <c r="K746" i="1"/>
  <c r="L746" i="1"/>
  <c r="K734" i="1"/>
  <c r="L734" i="1"/>
  <c r="K722" i="1"/>
  <c r="L722" i="1"/>
  <c r="K710" i="1"/>
  <c r="L710" i="1"/>
  <c r="K698" i="1"/>
  <c r="L698" i="1"/>
  <c r="K686" i="1"/>
  <c r="L686" i="1"/>
  <c r="K674" i="1"/>
  <c r="L674" i="1"/>
  <c r="K662" i="1"/>
  <c r="L662" i="1"/>
  <c r="K650" i="1"/>
  <c r="L650" i="1"/>
  <c r="K638" i="1"/>
  <c r="L638" i="1"/>
  <c r="K626" i="1"/>
  <c r="L626" i="1"/>
  <c r="K614" i="1"/>
  <c r="L614" i="1"/>
  <c r="K602" i="1"/>
  <c r="L602" i="1"/>
  <c r="K590" i="1"/>
  <c r="L590" i="1"/>
  <c r="K578" i="1"/>
  <c r="L578" i="1"/>
  <c r="K566" i="1"/>
  <c r="L566" i="1"/>
  <c r="K554" i="1"/>
  <c r="L554" i="1"/>
  <c r="K542" i="1"/>
  <c r="L542" i="1"/>
  <c r="K530" i="1"/>
  <c r="L530" i="1"/>
  <c r="K518" i="1"/>
  <c r="L518" i="1"/>
  <c r="K506" i="1"/>
  <c r="L506" i="1"/>
  <c r="K494" i="1"/>
  <c r="L494" i="1"/>
  <c r="K482" i="1"/>
  <c r="L482" i="1"/>
  <c r="K470" i="1"/>
  <c r="L470" i="1"/>
  <c r="K458" i="1"/>
  <c r="L458" i="1"/>
  <c r="K446" i="1"/>
  <c r="L446" i="1"/>
  <c r="K434" i="1"/>
  <c r="L434" i="1"/>
  <c r="K422" i="1"/>
  <c r="L422" i="1"/>
  <c r="K410" i="1"/>
  <c r="L410" i="1"/>
  <c r="K398" i="1"/>
  <c r="L398" i="1"/>
  <c r="K386" i="1"/>
  <c r="L386" i="1"/>
  <c r="K374" i="1"/>
  <c r="L374" i="1"/>
  <c r="K362" i="1"/>
  <c r="L362" i="1"/>
  <c r="K350" i="1"/>
  <c r="L350" i="1"/>
  <c r="K338" i="1"/>
  <c r="L338" i="1"/>
  <c r="K326" i="1"/>
  <c r="L326" i="1"/>
  <c r="K314" i="1"/>
  <c r="L314" i="1"/>
  <c r="K302" i="1"/>
  <c r="L302" i="1"/>
  <c r="K290" i="1"/>
  <c r="L290" i="1"/>
  <c r="K278" i="1"/>
  <c r="L278" i="1"/>
  <c r="K266" i="1"/>
  <c r="L266" i="1"/>
  <c r="K254" i="1"/>
  <c r="L254" i="1"/>
  <c r="K242" i="1"/>
  <c r="L242" i="1"/>
  <c r="K230" i="1"/>
  <c r="L230" i="1"/>
  <c r="K218" i="1"/>
  <c r="L218" i="1"/>
  <c r="K206" i="1"/>
  <c r="L206" i="1"/>
  <c r="K194" i="1"/>
  <c r="L194" i="1"/>
  <c r="K182" i="1"/>
  <c r="L182" i="1"/>
  <c r="K170" i="1"/>
  <c r="L170" i="1"/>
  <c r="K158" i="1"/>
  <c r="L158" i="1"/>
  <c r="K146" i="1"/>
  <c r="L146" i="1"/>
  <c r="K134" i="1"/>
  <c r="L134" i="1"/>
  <c r="K122" i="1"/>
  <c r="L122" i="1"/>
  <c r="K110" i="1"/>
  <c r="L110" i="1"/>
  <c r="K98" i="1"/>
  <c r="L98" i="1"/>
  <c r="K86" i="1"/>
  <c r="L86" i="1"/>
  <c r="K74" i="1"/>
  <c r="L74" i="1"/>
  <c r="K62" i="1"/>
  <c r="L62" i="1"/>
  <c r="K50" i="1"/>
  <c r="L50" i="1"/>
  <c r="K38" i="1"/>
  <c r="L38" i="1"/>
  <c r="K26" i="1"/>
  <c r="L26" i="1"/>
  <c r="K1044" i="1"/>
  <c r="K900" i="1"/>
  <c r="L1332" i="1"/>
  <c r="L1145" i="1"/>
  <c r="L1097" i="1"/>
  <c r="L1049" i="1"/>
  <c r="L300" i="1"/>
  <c r="K1633" i="1"/>
  <c r="L1633" i="1"/>
  <c r="K1525" i="1"/>
  <c r="L1525" i="1"/>
  <c r="K1453" i="1"/>
  <c r="L1453" i="1"/>
  <c r="L1441" i="1"/>
  <c r="K1441" i="1"/>
  <c r="K1429" i="1"/>
  <c r="L1429" i="1"/>
  <c r="K1393" i="1"/>
  <c r="L1393" i="1"/>
  <c r="K1381" i="1"/>
  <c r="L1381" i="1"/>
  <c r="K1369" i="1"/>
  <c r="L1369" i="1"/>
  <c r="K1357" i="1"/>
  <c r="L1357" i="1"/>
  <c r="K1285" i="1"/>
  <c r="L1285" i="1"/>
  <c r="K1273" i="1"/>
  <c r="L1273" i="1"/>
  <c r="K1261" i="1"/>
  <c r="L1261" i="1"/>
  <c r="K1237" i="1"/>
  <c r="L1237" i="1"/>
  <c r="K1225" i="1"/>
  <c r="L1225" i="1"/>
  <c r="K1213" i="1"/>
  <c r="L1213" i="1"/>
  <c r="K1189" i="1"/>
  <c r="L1189" i="1"/>
  <c r="K1177" i="1"/>
  <c r="L1177" i="1"/>
  <c r="K1165" i="1"/>
  <c r="L1165" i="1"/>
  <c r="K1141" i="1"/>
  <c r="L1141" i="1"/>
  <c r="K1129" i="1"/>
  <c r="L1129" i="1"/>
  <c r="K1117" i="1"/>
  <c r="L1117" i="1"/>
  <c r="K1093" i="1"/>
  <c r="L1093" i="1"/>
  <c r="K1081" i="1"/>
  <c r="L1081" i="1"/>
  <c r="K1069" i="1"/>
  <c r="L1069" i="1"/>
  <c r="K1045" i="1"/>
  <c r="L1045" i="1"/>
  <c r="K1033" i="1"/>
  <c r="L1033" i="1"/>
  <c r="K1021" i="1"/>
  <c r="L1021" i="1"/>
  <c r="K1009" i="1"/>
  <c r="L1009" i="1"/>
  <c r="K997" i="1"/>
  <c r="L997" i="1"/>
  <c r="K973" i="1"/>
  <c r="L973" i="1"/>
  <c r="K949" i="1"/>
  <c r="L949" i="1"/>
  <c r="K937" i="1"/>
  <c r="L937" i="1"/>
  <c r="K925" i="1"/>
  <c r="L925" i="1"/>
  <c r="K913" i="1"/>
  <c r="L913" i="1"/>
  <c r="K889" i="1"/>
  <c r="L889" i="1"/>
  <c r="K877" i="1"/>
  <c r="L877" i="1"/>
  <c r="K865" i="1"/>
  <c r="L865" i="1"/>
  <c r="K853" i="1"/>
  <c r="L853" i="1"/>
  <c r="K841" i="1"/>
  <c r="L841" i="1"/>
  <c r="K829" i="1"/>
  <c r="L829" i="1"/>
  <c r="K805" i="1"/>
  <c r="L805" i="1"/>
  <c r="K781" i="1"/>
  <c r="L781" i="1"/>
  <c r="K769" i="1"/>
  <c r="L769" i="1"/>
  <c r="K757" i="1"/>
  <c r="L757" i="1"/>
  <c r="K745" i="1"/>
  <c r="L745" i="1"/>
  <c r="K733" i="1"/>
  <c r="L733" i="1"/>
  <c r="K721" i="1"/>
  <c r="L721" i="1"/>
  <c r="K709" i="1"/>
  <c r="L709" i="1"/>
  <c r="K685" i="1"/>
  <c r="L685" i="1"/>
  <c r="K673" i="1"/>
  <c r="L673" i="1"/>
  <c r="K661" i="1"/>
  <c r="L661" i="1"/>
  <c r="K625" i="1"/>
  <c r="L625" i="1"/>
  <c r="K613" i="1"/>
  <c r="L613" i="1"/>
  <c r="K601" i="1"/>
  <c r="L601" i="1"/>
  <c r="K577" i="1"/>
  <c r="L577" i="1"/>
  <c r="K565" i="1"/>
  <c r="L565" i="1"/>
  <c r="K553" i="1"/>
  <c r="L553" i="1"/>
  <c r="K541" i="1"/>
  <c r="L541" i="1"/>
  <c r="K517" i="1"/>
  <c r="L517" i="1"/>
  <c r="K505" i="1"/>
  <c r="L505" i="1"/>
  <c r="K493" i="1"/>
  <c r="L493" i="1"/>
  <c r="K481" i="1"/>
  <c r="L481" i="1"/>
  <c r="K469" i="1"/>
  <c r="L469" i="1"/>
  <c r="K445" i="1"/>
  <c r="L445" i="1"/>
  <c r="K421" i="1"/>
  <c r="L421" i="1"/>
  <c r="K409" i="1"/>
  <c r="L409" i="1"/>
  <c r="K397" i="1"/>
  <c r="L397" i="1"/>
  <c r="K361" i="1"/>
  <c r="L361" i="1"/>
  <c r="K349" i="1"/>
  <c r="L349" i="1"/>
  <c r="K337" i="1"/>
  <c r="L337" i="1"/>
  <c r="K325" i="1"/>
  <c r="L325" i="1"/>
  <c r="K313" i="1"/>
  <c r="L313" i="1"/>
  <c r="K301" i="1"/>
  <c r="L301" i="1"/>
  <c r="K289" i="1"/>
  <c r="L289" i="1"/>
  <c r="K277" i="1"/>
  <c r="L277" i="1"/>
  <c r="K265" i="1"/>
  <c r="L265" i="1"/>
  <c r="K253" i="1"/>
  <c r="L253" i="1"/>
  <c r="K241" i="1"/>
  <c r="L241" i="1"/>
  <c r="K229" i="1"/>
  <c r="L229" i="1"/>
  <c r="K205" i="1"/>
  <c r="L205" i="1"/>
  <c r="K193" i="1"/>
  <c r="L193" i="1"/>
  <c r="K181" i="1"/>
  <c r="L181" i="1"/>
  <c r="K169" i="1"/>
  <c r="L169" i="1"/>
  <c r="K157" i="1"/>
  <c r="L157" i="1"/>
  <c r="K145" i="1"/>
  <c r="L145" i="1"/>
  <c r="K133" i="1"/>
  <c r="L133" i="1"/>
  <c r="K121" i="1"/>
  <c r="L121" i="1"/>
  <c r="K97" i="1"/>
  <c r="L97" i="1"/>
  <c r="K85" i="1"/>
  <c r="L85" i="1"/>
  <c r="K49" i="1"/>
  <c r="L49" i="1"/>
  <c r="K37" i="1"/>
  <c r="L37" i="1"/>
  <c r="K25" i="1"/>
  <c r="L25" i="1"/>
  <c r="K1489" i="1"/>
  <c r="K1200" i="1"/>
  <c r="K408" i="1"/>
  <c r="K109" i="1"/>
  <c r="L1740" i="1"/>
  <c r="L1417" i="1"/>
  <c r="L985" i="1"/>
  <c r="L817" i="1"/>
  <c r="L180" i="1"/>
  <c r="L61" i="1"/>
  <c r="K1812" i="1"/>
  <c r="L1812" i="1"/>
  <c r="K1800" i="1"/>
  <c r="L1800" i="1"/>
  <c r="K1788" i="1"/>
  <c r="L1788" i="1"/>
  <c r="K1776" i="1"/>
  <c r="L1776" i="1"/>
  <c r="K1764" i="1"/>
  <c r="L1764" i="1"/>
  <c r="K1752" i="1"/>
  <c r="L1752" i="1"/>
  <c r="K1728" i="1"/>
  <c r="L1728" i="1"/>
  <c r="K1704" i="1"/>
  <c r="L1704" i="1"/>
  <c r="K1680" i="1"/>
  <c r="L1680" i="1"/>
  <c r="K1668" i="1"/>
  <c r="L1668" i="1"/>
  <c r="K1644" i="1"/>
  <c r="L1644" i="1"/>
  <c r="K1632" i="1"/>
  <c r="L1632" i="1"/>
  <c r="K1608" i="1"/>
  <c r="L1608" i="1"/>
  <c r="K1596" i="1"/>
  <c r="L1596" i="1"/>
  <c r="K1572" i="1"/>
  <c r="L1572" i="1"/>
  <c r="K1560" i="1"/>
  <c r="L1560" i="1"/>
  <c r="K1536" i="1"/>
  <c r="L1536" i="1"/>
  <c r="K1524" i="1"/>
  <c r="L1524" i="1"/>
  <c r="K1500" i="1"/>
  <c r="L1500" i="1"/>
  <c r="K1488" i="1"/>
  <c r="L1488" i="1"/>
  <c r="K1464" i="1"/>
  <c r="L1464" i="1"/>
  <c r="K1452" i="1"/>
  <c r="L1452" i="1"/>
  <c r="K1428" i="1"/>
  <c r="L1428" i="1"/>
  <c r="K1416" i="1"/>
  <c r="L1416" i="1"/>
  <c r="K1404" i="1"/>
  <c r="L1404" i="1"/>
  <c r="K1392" i="1"/>
  <c r="L1392" i="1"/>
  <c r="K1380" i="1"/>
  <c r="L1380" i="1"/>
  <c r="K1368" i="1"/>
  <c r="L1368" i="1"/>
  <c r="K1356" i="1"/>
  <c r="L1356" i="1"/>
  <c r="K1344" i="1"/>
  <c r="L1344" i="1"/>
  <c r="K1320" i="1"/>
  <c r="L1320" i="1"/>
  <c r="K1284" i="1"/>
  <c r="L1284" i="1"/>
  <c r="K1272" i="1"/>
  <c r="L1272" i="1"/>
  <c r="K1260" i="1"/>
  <c r="L1260" i="1"/>
  <c r="K1248" i="1"/>
  <c r="L1248" i="1"/>
  <c r="L1236" i="1"/>
  <c r="K1236" i="1"/>
  <c r="K1212" i="1"/>
  <c r="L1212" i="1"/>
  <c r="K1176" i="1"/>
  <c r="L1176" i="1"/>
  <c r="K1140" i="1"/>
  <c r="L1140" i="1"/>
  <c r="K1128" i="1"/>
  <c r="L1128" i="1"/>
  <c r="L1116" i="1"/>
  <c r="K1116" i="1"/>
  <c r="K1104" i="1"/>
  <c r="L1104" i="1"/>
  <c r="K1092" i="1"/>
  <c r="L1092" i="1"/>
  <c r="K1080" i="1"/>
  <c r="L1080" i="1"/>
  <c r="K1056" i="1"/>
  <c r="L1056" i="1"/>
  <c r="K1020" i="1"/>
  <c r="L1020" i="1"/>
  <c r="K1008" i="1"/>
  <c r="L1008" i="1"/>
  <c r="K996" i="1"/>
  <c r="L996" i="1"/>
  <c r="K984" i="1"/>
  <c r="L984" i="1"/>
  <c r="K972" i="1"/>
  <c r="L972" i="1"/>
  <c r="K960" i="1"/>
  <c r="L960" i="1"/>
  <c r="K936" i="1"/>
  <c r="L936" i="1"/>
  <c r="K924" i="1"/>
  <c r="L924" i="1"/>
  <c r="K912" i="1"/>
  <c r="L912" i="1"/>
  <c r="K888" i="1"/>
  <c r="L888" i="1"/>
  <c r="K876" i="1"/>
  <c r="L876" i="1"/>
  <c r="K852" i="1"/>
  <c r="L852" i="1"/>
  <c r="L840" i="1"/>
  <c r="K840" i="1"/>
  <c r="K828" i="1"/>
  <c r="L828" i="1"/>
  <c r="K816" i="1"/>
  <c r="L816" i="1"/>
  <c r="K804" i="1"/>
  <c r="L804" i="1"/>
  <c r="K780" i="1"/>
  <c r="L780" i="1"/>
  <c r="K768" i="1"/>
  <c r="L768" i="1"/>
  <c r="L720" i="1"/>
  <c r="K720" i="1"/>
  <c r="K708" i="1"/>
  <c r="L708" i="1"/>
  <c r="K696" i="1"/>
  <c r="L696" i="1"/>
  <c r="K684" i="1"/>
  <c r="L684" i="1"/>
  <c r="K672" i="1"/>
  <c r="L672" i="1"/>
  <c r="K660" i="1"/>
  <c r="L660" i="1"/>
  <c r="L648" i="1"/>
  <c r="K648" i="1"/>
  <c r="K636" i="1"/>
  <c r="L636" i="1"/>
  <c r="K624" i="1"/>
  <c r="L624" i="1"/>
  <c r="K600" i="1"/>
  <c r="L600" i="1"/>
  <c r="K576" i="1"/>
  <c r="L576" i="1"/>
  <c r="K564" i="1"/>
  <c r="L564" i="1"/>
  <c r="K552" i="1"/>
  <c r="L552" i="1"/>
  <c r="K528" i="1"/>
  <c r="L528" i="1"/>
  <c r="K516" i="1"/>
  <c r="L516" i="1"/>
  <c r="K504" i="1"/>
  <c r="L504" i="1"/>
  <c r="K480" i="1"/>
  <c r="L480" i="1"/>
  <c r="K468" i="1"/>
  <c r="L468" i="1"/>
  <c r="K456" i="1"/>
  <c r="L456" i="1"/>
  <c r="K444" i="1"/>
  <c r="L444" i="1"/>
  <c r="K420" i="1"/>
  <c r="L420" i="1"/>
  <c r="K396" i="1"/>
  <c r="L396" i="1"/>
  <c r="K384" i="1"/>
  <c r="L384" i="1"/>
  <c r="K360" i="1"/>
  <c r="L360" i="1"/>
  <c r="K348" i="1"/>
  <c r="L348" i="1"/>
  <c r="K336" i="1"/>
  <c r="L336" i="1"/>
  <c r="K312" i="1"/>
  <c r="L312" i="1"/>
  <c r="K276" i="1"/>
  <c r="L276" i="1"/>
  <c r="K264" i="1"/>
  <c r="L264" i="1"/>
  <c r="K252" i="1"/>
  <c r="L252" i="1"/>
  <c r="K240" i="1"/>
  <c r="L240" i="1"/>
  <c r="K228" i="1"/>
  <c r="L228" i="1"/>
  <c r="K216" i="1"/>
  <c r="L216" i="1"/>
  <c r="K204" i="1"/>
  <c r="L204" i="1"/>
  <c r="L192" i="1"/>
  <c r="K192" i="1"/>
  <c r="K168" i="1"/>
  <c r="L168" i="1"/>
  <c r="K156" i="1"/>
  <c r="L156" i="1"/>
  <c r="K144" i="1"/>
  <c r="L144" i="1"/>
  <c r="K132" i="1"/>
  <c r="L132" i="1"/>
  <c r="K120" i="1"/>
  <c r="L120" i="1"/>
  <c r="K84" i="1"/>
  <c r="L84" i="1"/>
  <c r="K60" i="1"/>
  <c r="L60" i="1"/>
  <c r="K48" i="1"/>
  <c r="L48" i="1"/>
  <c r="K24" i="1"/>
  <c r="L24" i="1"/>
  <c r="K1597" i="1"/>
  <c r="K1188" i="1"/>
  <c r="K108" i="1"/>
  <c r="L1896" i="1"/>
  <c r="L1860" i="1"/>
  <c r="L1824" i="1"/>
  <c r="L492" i="1"/>
  <c r="L385" i="1"/>
  <c r="K803" i="1"/>
  <c r="L803" i="1"/>
  <c r="K791" i="1"/>
  <c r="L791" i="1"/>
  <c r="K779" i="1"/>
  <c r="L779" i="1"/>
  <c r="K755" i="1"/>
  <c r="L755" i="1"/>
  <c r="K731" i="1"/>
  <c r="L731" i="1"/>
  <c r="K719" i="1"/>
  <c r="L719" i="1"/>
  <c r="K707" i="1"/>
  <c r="L707" i="1"/>
  <c r="K683" i="1"/>
  <c r="L683" i="1"/>
  <c r="K659" i="1"/>
  <c r="L659" i="1"/>
  <c r="K647" i="1"/>
  <c r="L647" i="1"/>
  <c r="K635" i="1"/>
  <c r="L635" i="1"/>
  <c r="K623" i="1"/>
  <c r="L623" i="1"/>
  <c r="K599" i="1"/>
  <c r="L599" i="1"/>
  <c r="K587" i="1"/>
  <c r="L587" i="1"/>
  <c r="K575" i="1"/>
  <c r="L575" i="1"/>
  <c r="K563" i="1"/>
  <c r="L563" i="1"/>
  <c r="K551" i="1"/>
  <c r="L551" i="1"/>
  <c r="K527" i="1"/>
  <c r="L527" i="1"/>
  <c r="K503" i="1"/>
  <c r="L503" i="1"/>
  <c r="K491" i="1"/>
  <c r="L491" i="1"/>
  <c r="K467" i="1"/>
  <c r="L467" i="1"/>
  <c r="K455" i="1"/>
  <c r="L455" i="1"/>
  <c r="K443" i="1"/>
  <c r="L443" i="1"/>
  <c r="K419" i="1"/>
  <c r="L419" i="1"/>
  <c r="K395" i="1"/>
  <c r="L395" i="1"/>
  <c r="K383" i="1"/>
  <c r="L383" i="1"/>
  <c r="K371" i="1"/>
  <c r="L371" i="1"/>
  <c r="K359" i="1"/>
  <c r="L359" i="1"/>
  <c r="K347" i="1"/>
  <c r="L347" i="1"/>
  <c r="K335" i="1"/>
  <c r="L335" i="1"/>
  <c r="K323" i="1"/>
  <c r="L323" i="1"/>
  <c r="K311" i="1"/>
  <c r="L311" i="1"/>
  <c r="K299" i="1"/>
  <c r="L299" i="1"/>
  <c r="K287" i="1"/>
  <c r="L287" i="1"/>
  <c r="K275" i="1"/>
  <c r="L275" i="1"/>
  <c r="K263" i="1"/>
  <c r="L263" i="1"/>
  <c r="K251" i="1"/>
  <c r="L251" i="1"/>
  <c r="K239" i="1"/>
  <c r="L239" i="1"/>
  <c r="K227" i="1"/>
  <c r="L227" i="1"/>
  <c r="K215" i="1"/>
  <c r="L215" i="1"/>
  <c r="K203" i="1"/>
  <c r="L203" i="1"/>
  <c r="K191" i="1"/>
  <c r="L191" i="1"/>
  <c r="K179" i="1"/>
  <c r="L179" i="1"/>
  <c r="K167" i="1"/>
  <c r="L167" i="1"/>
  <c r="K155" i="1"/>
  <c r="L155" i="1"/>
  <c r="K143" i="1"/>
  <c r="L143" i="1"/>
  <c r="K131" i="1"/>
  <c r="L131" i="1"/>
  <c r="K119" i="1"/>
  <c r="L119" i="1"/>
  <c r="K107" i="1"/>
  <c r="L107" i="1"/>
  <c r="K83" i="1"/>
  <c r="L83" i="1"/>
  <c r="K71" i="1"/>
  <c r="L71" i="1"/>
  <c r="K59" i="1"/>
  <c r="L59" i="1"/>
  <c r="K47" i="1"/>
  <c r="L47" i="1"/>
  <c r="K23" i="1"/>
  <c r="L23" i="1"/>
  <c r="K1032" i="1"/>
  <c r="K72" i="1"/>
  <c r="L1321" i="1"/>
  <c r="L1133" i="1"/>
  <c r="L1085" i="1"/>
  <c r="L1037" i="1"/>
  <c r="L697" i="1"/>
  <c r="L589" i="1"/>
  <c r="L373" i="1"/>
  <c r="L36" i="1"/>
  <c r="K612" i="1"/>
  <c r="L1405" i="1"/>
  <c r="L961" i="1"/>
  <c r="L793" i="1"/>
  <c r="L695" i="1"/>
  <c r="L588" i="1"/>
  <c r="L479" i="1"/>
  <c r="L372" i="1"/>
  <c r="L35" i="1"/>
</calcChain>
</file>

<file path=xl/sharedStrings.xml><?xml version="1.0" encoding="utf-8"?>
<sst xmlns="http://schemas.openxmlformats.org/spreadsheetml/2006/main" count="4056" uniqueCount="92">
  <si>
    <t>Order_ID</t>
  </si>
  <si>
    <t>Order_Date</t>
  </si>
  <si>
    <t>Region</t>
  </si>
  <si>
    <t>Category</t>
  </si>
  <si>
    <t>Product</t>
  </si>
  <si>
    <t>Sales</t>
  </si>
  <si>
    <t>Quantity</t>
  </si>
  <si>
    <t>North</t>
  </si>
  <si>
    <t>South</t>
  </si>
  <si>
    <t>East</t>
  </si>
  <si>
    <t>West</t>
  </si>
  <si>
    <t>Cost</t>
  </si>
  <si>
    <t>Profit</t>
  </si>
  <si>
    <t>Month</t>
  </si>
  <si>
    <t>Year</t>
  </si>
  <si>
    <t>Profit Margin %</t>
  </si>
  <si>
    <t>Row Labels</t>
  </si>
  <si>
    <t>Jan</t>
  </si>
  <si>
    <t>Feb</t>
  </si>
  <si>
    <t>Mar</t>
  </si>
  <si>
    <t>Apr</t>
  </si>
  <si>
    <t>May</t>
  </si>
  <si>
    <t>Jun</t>
  </si>
  <si>
    <t>Jul</t>
  </si>
  <si>
    <t>Aug</t>
  </si>
  <si>
    <t>Sep</t>
  </si>
  <si>
    <t>Oct</t>
  </si>
  <si>
    <t>Nov</t>
  </si>
  <si>
    <t>Dec</t>
  </si>
  <si>
    <t>Grand Total</t>
  </si>
  <si>
    <t>Sum of Sales</t>
  </si>
  <si>
    <t>Sum of Profit</t>
  </si>
  <si>
    <t>Clothing</t>
  </si>
  <si>
    <t>Electronics</t>
  </si>
  <si>
    <t>Furniture</t>
  </si>
  <si>
    <t>Office Supplies</t>
  </si>
  <si>
    <t>Product-1</t>
  </si>
  <si>
    <t>Product-10</t>
  </si>
  <si>
    <t>Product-11</t>
  </si>
  <si>
    <t>Product-12</t>
  </si>
  <si>
    <t>Product-13</t>
  </si>
  <si>
    <t>Product-14</t>
  </si>
  <si>
    <t>Product-15</t>
  </si>
  <si>
    <t>Product-16</t>
  </si>
  <si>
    <t>Product-17</t>
  </si>
  <si>
    <t>Product-18</t>
  </si>
  <si>
    <t>Product-19</t>
  </si>
  <si>
    <t>Product-2</t>
  </si>
  <si>
    <t>Product-20</t>
  </si>
  <si>
    <t>Product-21</t>
  </si>
  <si>
    <t>Product-22</t>
  </si>
  <si>
    <t>Product-23</t>
  </si>
  <si>
    <t>Product-24</t>
  </si>
  <si>
    <t>Product-25</t>
  </si>
  <si>
    <t>Product-26</t>
  </si>
  <si>
    <t>Product-27</t>
  </si>
  <si>
    <t>Product-28</t>
  </si>
  <si>
    <t>Product-29</t>
  </si>
  <si>
    <t>Product-3</t>
  </si>
  <si>
    <t>Product-30</t>
  </si>
  <si>
    <t>Product-31</t>
  </si>
  <si>
    <t>Product-32</t>
  </si>
  <si>
    <t>Product-33</t>
  </si>
  <si>
    <t>Product-34</t>
  </si>
  <si>
    <t>Product-35</t>
  </si>
  <si>
    <t>Product-36</t>
  </si>
  <si>
    <t>Product-37</t>
  </si>
  <si>
    <t>Product-38</t>
  </si>
  <si>
    <t>Product-39</t>
  </si>
  <si>
    <t>Product-4</t>
  </si>
  <si>
    <t>Product-40</t>
  </si>
  <si>
    <t>Product-41</t>
  </si>
  <si>
    <t>Product-42</t>
  </si>
  <si>
    <t>Product-43</t>
  </si>
  <si>
    <t>Product-44</t>
  </si>
  <si>
    <t>Product-45</t>
  </si>
  <si>
    <t>Product-46</t>
  </si>
  <si>
    <t>Product-47</t>
  </si>
  <si>
    <t>Product-48</t>
  </si>
  <si>
    <t>Product-49</t>
  </si>
  <si>
    <t>Product-5</t>
  </si>
  <si>
    <t>Product-50</t>
  </si>
  <si>
    <t>Product-6</t>
  </si>
  <si>
    <t>Product-7</t>
  </si>
  <si>
    <t>Product-8</t>
  </si>
  <si>
    <t>Product-9</t>
  </si>
  <si>
    <t>Monthly Sales Trend</t>
  </si>
  <si>
    <t>Region Performance</t>
  </si>
  <si>
    <t>Category Performance</t>
  </si>
  <si>
    <t>Top 5 Products</t>
  </si>
  <si>
    <t>Count of Order_ID</t>
  </si>
  <si>
    <t>Business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</si>
</sst>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6" x14ac:knownFonts="1">
    <font>
      <sz val="11"/>
      <color theme="1"/>
      <name val="Calibri"/>
      <family val="2"/>
      <scheme val="minor"/>
    </font>
    <font>
      <sz val="11"/>
      <color theme="1"/>
      <name val="Calibri"/>
      <family val="2"/>
      <scheme val="minor"/>
    </font>
    <font>
      <b/>
      <sz val="18"/>
      <color theme="1"/>
      <name val="Calibri"/>
      <family val="2"/>
      <scheme val="minor"/>
    </font>
    <font>
      <b/>
      <sz val="18"/>
      <name val="Calibri"/>
      <family val="2"/>
      <scheme val="minor"/>
    </font>
    <font>
      <sz val="22"/>
      <color theme="1"/>
      <name val="Calibri"/>
      <family val="2"/>
      <scheme val="minor"/>
    </font>
    <font>
      <b/>
      <i/>
      <sz val="4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9" fontId="0" fillId="0" borderId="0" xfId="2" applyFon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 fontId="0" fillId="2" borderId="0" xfId="0" applyNumberFormat="1" applyFill="1"/>
    <xf numFmtId="9" fontId="0" fillId="2" borderId="0" xfId="2" applyFont="1" applyFill="1"/>
    <xf numFmtId="164" fontId="0" fillId="0" borderId="0" xfId="0" applyNumberFormat="1"/>
    <xf numFmtId="164" fontId="0" fillId="0" borderId="0" xfId="1" applyNumberFormat="1" applyFont="1"/>
    <xf numFmtId="0" fontId="4" fillId="2" borderId="0" xfId="0" applyFont="1" applyFill="1"/>
    <xf numFmtId="0" fontId="3"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5" fillId="3" borderId="0" xfId="0" applyFont="1" applyFill="1" applyAlignment="1">
      <alignment horizontal="center"/>
    </xf>
  </cellXfs>
  <cellStyles count="3">
    <cellStyle name="Comma" xfId="1" builtinId="3"/>
    <cellStyle name="Normal" xfId="0" builtinId="0"/>
    <cellStyle name="Percent" xfId="2" builtinId="5"/>
  </cellStyles>
  <dxfs count="50">
    <dxf>
      <numFmt numFmtId="164" formatCode="_(* #,##0_);_(* \(#,##0\);_(* &quot;-&quot;??_);_(@_)"/>
    </dxf>
    <dxf>
      <numFmt numFmtId="165" formatCode="_(* #,##0.0_);_(* \(#,##0.0\);_(* &quot;-&quot;??_);_(@_)"/>
    </dxf>
    <dxf>
      <numFmt numFmtId="35" formatCode="_(* #,##0.00_);_(* \(#,##0.00\);_(* &quot;-&quot;??_);_(@_)"/>
    </dxf>
    <dxf>
      <numFmt numFmtId="164" formatCode="_(* #,##0_);_(* \(#,##0\);_(* &quot;-&quot;??_);_(@_)"/>
    </dxf>
    <dxf>
      <numFmt numFmtId="165" formatCode="_(* #,##0.0_);_(* \(#,##0.0\);_(* &quot;-&quot;??_);_(@_)"/>
    </dxf>
    <dxf>
      <numFmt numFmtId="35" formatCode="_(* #,##0.00_);_(* \(#,##0.00\);_(* &quot;-&quot;??_);_(@_)"/>
    </dxf>
    <dxf>
      <numFmt numFmtId="164" formatCode="_(* #,##0_);_(* \(#,##0\);_(* &quot;-&quot;??_);_(@_)"/>
    </dxf>
    <dxf>
      <numFmt numFmtId="165" formatCode="_(* #,##0.0_);_(* \(#,##0.0\);_(* &quot;-&quot;??_);_(@_)"/>
    </dxf>
    <dxf>
      <numFmt numFmtId="35" formatCode="_(* #,##0.00_);_(* \(#,##0.00\);_(* &quot;-&quot;??_);_(@_)"/>
    </dxf>
    <dxf>
      <numFmt numFmtId="164" formatCode="_(* #,##0_);_(* \(#,##0\);_(* &quot;-&quot;??_);_(@_)"/>
    </dxf>
    <dxf>
      <numFmt numFmtId="165" formatCode="_(* #,##0.0_);_(* \(#,##0.0\);_(* &quot;-&quot;??_);_(@_)"/>
    </dxf>
    <dxf>
      <numFmt numFmtId="35" formatCode="_(* #,##0.00_);_(* \(#,##0.00\);_(* &quot;-&quot;??_);_(@_)"/>
    </dxf>
    <dxf>
      <numFmt numFmtId="164" formatCode="_(* #,##0_);_(* \(#,##0\);_(* &quot;-&quot;??_);_(@_)"/>
    </dxf>
    <dxf>
      <numFmt numFmtId="165" formatCode="_(* #,##0.0_);_(* \(#,##0.0\);_(* &quot;-&quot;??_);_(@_)"/>
    </dxf>
    <dxf>
      <numFmt numFmtId="35" formatCode="_(* #,##0.00_);_(* \(#,##0.00\);_(* &quot;-&quot;??_);_(@_)"/>
    </dxf>
    <dxf>
      <numFmt numFmtId="164" formatCode="_(* #,##0_);_(* \(#,##0\);_(* &quot;-&quot;??_);_(@_)"/>
    </dxf>
    <dxf>
      <numFmt numFmtId="165" formatCode="_(* #,##0.0_);_(* \(#,##0.0\);_(* &quot;-&quot;??_);_(@_)"/>
    </dxf>
    <dxf>
      <numFmt numFmtId="35" formatCode="_(* #,##0.00_);_(* \(#,##0.00\);_(* &quot;-&quot;??_);_(@_)"/>
    </dxf>
    <dxf>
      <numFmt numFmtId="1" formatCode="0"/>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64" formatCode="_(* #,##0_);_(* \(#,##0\);_(* &quot;-&quot;??_);_(@_)"/>
    </dxf>
    <dxf>
      <numFmt numFmtId="165" formatCode="_(* #,##0.0_);_(* \(#,##0.0\);_(* &quot;-&quot;??_);_(@_)"/>
    </dxf>
    <dxf>
      <numFmt numFmtId="164" formatCode="_(* #,##0_);_(* \(#,##0\);_(* &quot;-&quot;??_);_(@_)"/>
    </dxf>
    <dxf>
      <numFmt numFmtId="165" formatCode="_(* #,##0.0_);_(* \(#,##0.0\);_(* &quot;-&quot;??_);_(@_)"/>
    </dxf>
    <dxf>
      <numFmt numFmtId="35" formatCode="_(* #,##0.00_);_(* \(#,##0.00\);_(* &quot;-&quot;??_);_(@_)"/>
    </dxf>
    <dxf>
      <numFmt numFmtId="164" formatCode="_(* #,##0_);_(* \(#,##0\);_(* &quot;-&quot;??_);_(@_)"/>
    </dxf>
    <dxf>
      <numFmt numFmtId="165" formatCode="_(* #,##0.0_);_(* \(#,##0.0\);_(* &quot;-&quot;??_);_(@_)"/>
    </dxf>
    <dxf>
      <numFmt numFmtId="35" formatCode="_(* #,##0.00_);_(* \(#,##0.00\);_(* &quot;-&quot;??_);_(@_)"/>
    </dxf>
    <dxf>
      <numFmt numFmtId="167" formatCode="_(* #,##0.000_);_(* \(#,##0.000\);_(* &quot;-&quot;??_);_(@_)"/>
    </dxf>
    <dxf>
      <numFmt numFmtId="168" formatCode="_(* #,##0.0000_);_(* \(#,##0.0000\);_(* &quot;-&quot;??_);_(@_)"/>
    </dxf>
    <dxf>
      <numFmt numFmtId="167" formatCode="_(* #,##0.000_);_(* \(#,##0.000\);_(* &quot;-&quot;??_);_(@_)"/>
    </dxf>
    <dxf>
      <numFmt numFmtId="35" formatCode="_(* #,##0.00_);_(* \(#,##0.00\);_(* &quot;-&quot;??_);_(@_)"/>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 formatCode="0"/>
    </dxf>
    <dxf>
      <numFmt numFmtId="166" formatCode="0.0"/>
    </dxf>
    <dxf>
      <numFmt numFmtId="0" formatCode="General"/>
    </dxf>
    <dxf>
      <numFmt numFmtId="0" formatCode="General"/>
    </dxf>
    <dxf>
      <numFmt numFmtId="13" formatCode="0%"/>
    </dxf>
    <dxf>
      <numFmt numFmtId="164" formatCode="_(* #,##0_);_(* \(#,##0\);_(* &quot;-&quot;??_);_(@_)"/>
    </dxf>
    <dxf>
      <numFmt numFmtId="164" formatCode="_(* #,##0_);_(* \(#,##0\);_(* &quot;-&quot;??_);_(@_)"/>
    </dxf>
    <dxf>
      <numFmt numFmtId="164" formatCode="_(* #,##0_);_(* \(#,##0\);_(* &quot;-&quot;??_);_(@_)"/>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tx1">
                    <a:lumMod val="95000"/>
                    <a:lumOff val="5000"/>
                  </a:schemeClr>
                </a:solidFill>
              </a:rPr>
              <a:t>Monthly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1"/>
            </a:solidFill>
            <a:round/>
          </a:ln>
          <a:effectLst/>
        </c:spPr>
        <c:marker>
          <c:symbol val="none"/>
        </c:marker>
        <c:dLbl>
          <c:idx val="0"/>
          <c:layout>
            <c:manualLayout>
              <c:x val="-5.8132892341179125E-2"/>
              <c:y val="-9.71317542898037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ln w="28575" cap="rnd">
            <a:solidFill>
              <a:schemeClr val="accent1"/>
            </a:solidFill>
            <a:round/>
          </a:ln>
          <a:effectLst/>
        </c:spPr>
        <c:marker>
          <c:symbol val="none"/>
        </c:marker>
        <c:dLbl>
          <c:idx val="0"/>
          <c:layout>
            <c:manualLayout>
              <c:x val="-3.0229104017413137E-2"/>
              <c:y val="8.3255789391260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
        <c:spPr>
          <a:ln w="28575" cap="rnd">
            <a:solidFill>
              <a:schemeClr val="accent1"/>
            </a:solidFill>
            <a:round/>
          </a:ln>
          <a:effectLst/>
        </c:spPr>
        <c:marker>
          <c:symbol val="none"/>
        </c:marker>
        <c:dLbl>
          <c:idx val="0"/>
          <c:layout>
            <c:manualLayout>
              <c:x val="-5.115694526023766E-2"/>
              <c:y val="-0.101757075922651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4"/>
        <c:spPr>
          <a:ln w="28575" cap="rnd">
            <a:solidFill>
              <a:schemeClr val="accent1"/>
            </a:solidFill>
            <a:round/>
          </a:ln>
          <a:effectLst/>
        </c:spPr>
        <c:marker>
          <c:symbol val="none"/>
        </c:marker>
        <c:dLbl>
          <c:idx val="0"/>
          <c:layout>
            <c:manualLayout>
              <c:x val="-2.5578472630118851E-2"/>
              <c:y val="0.111007719188347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ln w="28575" cap="rnd">
            <a:solidFill>
              <a:schemeClr val="accent1"/>
            </a:solidFill>
            <a:round/>
          </a:ln>
          <a:effectLst/>
        </c:spPr>
        <c:marker>
          <c:symbol val="none"/>
        </c:marker>
        <c:dLbl>
          <c:idx val="0"/>
          <c:layout>
            <c:manualLayout>
              <c:x val="-1.6277209855530151E-2"/>
              <c:y val="-8.3255789391260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6"/>
        <c:spPr>
          <a:ln w="28575" cap="rnd">
            <a:solidFill>
              <a:schemeClr val="accent1"/>
            </a:solidFill>
            <a:round/>
          </a:ln>
          <a:effectLst/>
        </c:spPr>
        <c:marker>
          <c:symbol val="none"/>
        </c:marker>
        <c:dLbl>
          <c:idx val="0"/>
          <c:layout>
            <c:manualLayout>
              <c:x val="-2.3253156936471644E-2"/>
              <c:y val="0.106382397555499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ln w="28575" cap="rnd">
            <a:solidFill>
              <a:schemeClr val="accent1"/>
            </a:solidFill>
            <a:round/>
          </a:ln>
          <a:effectLst/>
        </c:spPr>
        <c:marker>
          <c:symbol val="none"/>
        </c:marker>
        <c:dLbl>
          <c:idx val="0"/>
          <c:layout>
            <c:manualLayout>
              <c:x val="-1.1626578468235822E-2"/>
              <c:y val="-0.14338497061828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ln w="28575" cap="rnd">
            <a:solidFill>
              <a:schemeClr val="accent1"/>
            </a:solidFill>
            <a:round/>
          </a:ln>
          <a:effectLst/>
        </c:spPr>
        <c:marker>
          <c:symbol val="none"/>
        </c:marker>
        <c:dLbl>
          <c:idx val="0"/>
          <c:layout>
            <c:manualLayout>
              <c:x val="-2.0927841242824565E-2"/>
              <c:y val="0.152635613883977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ln w="28575" cap="rnd">
            <a:solidFill>
              <a:schemeClr val="accent1"/>
            </a:solidFill>
            <a:round/>
          </a:ln>
          <a:effectLst/>
        </c:spPr>
        <c:marker>
          <c:symbol val="none"/>
        </c:marker>
        <c:dLbl>
          <c:idx val="0"/>
          <c:layout>
            <c:manualLayout>
              <c:x val="-6.9759470809415778E-3"/>
              <c:y val="-9.7131754289803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ln w="28575" cap="rnd">
            <a:solidFill>
              <a:schemeClr val="accent1"/>
            </a:solidFill>
            <a:round/>
          </a:ln>
          <a:effectLst/>
        </c:spPr>
        <c:marker>
          <c:symbol val="none"/>
        </c:marker>
        <c:dLbl>
          <c:idx val="0"/>
          <c:layout>
            <c:manualLayout>
              <c:x val="-4.4180998179296119E-2"/>
              <c:y val="0.194263508579607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ln w="28575" cap="rnd">
            <a:solidFill>
              <a:schemeClr val="accent1"/>
            </a:solidFill>
            <a:round/>
          </a:ln>
          <a:effectLst/>
        </c:spPr>
        <c:marker>
          <c:symbol val="none"/>
        </c:marker>
        <c:dLbl>
          <c:idx val="0"/>
          <c:layout>
            <c:manualLayout>
              <c:x val="0"/>
              <c:y val="-0.12488368408689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2"/>
        <c:spPr>
          <a:ln w="28575" cap="rnd">
            <a:solidFill>
              <a:schemeClr val="accent1"/>
            </a:solidFill>
            <a:round/>
          </a:ln>
          <a:effectLst/>
        </c:spPr>
        <c:marker>
          <c:symbol val="none"/>
        </c:marker>
        <c:dLbl>
          <c:idx val="0"/>
          <c:layout>
            <c:manualLayout>
              <c:x val="-2.3253156936471641E-3"/>
              <c:y val="9.2506432656955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lineChart>
        <c:grouping val="standard"/>
        <c:varyColors val="0"/>
        <c:ser>
          <c:idx val="0"/>
          <c:order val="0"/>
          <c:tx>
            <c:strRef>
              <c:f>Pivot_Analysis!$B$5</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6-8C27-4A7A-B6F7-DD0670BCC972}"/>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7-8C27-4A7A-B6F7-DD0670BCC972}"/>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8-8C27-4A7A-B6F7-DD0670BCC972}"/>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9-8C27-4A7A-B6F7-DD0670BCC972}"/>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A-8C27-4A7A-B6F7-DD0670BCC972}"/>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8C27-4A7A-B6F7-DD0670BCC972}"/>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C-8C27-4A7A-B6F7-DD0670BCC972}"/>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D-8C27-4A7A-B6F7-DD0670BCC972}"/>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E-8C27-4A7A-B6F7-DD0670BCC972}"/>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F-8C27-4A7A-B6F7-DD0670BCC972}"/>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1-8C27-4A7A-B6F7-DD0670BCC972}"/>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10-8C27-4A7A-B6F7-DD0670BCC972}"/>
              </c:ext>
            </c:extLst>
          </c:dPt>
          <c:dLbls>
            <c:dLbl>
              <c:idx val="0"/>
              <c:layout>
                <c:manualLayout>
                  <c:x val="-5.8132892341179125E-2"/>
                  <c:y val="-9.7131754289803737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8C27-4A7A-B6F7-DD0670BCC972}"/>
                </c:ext>
              </c:extLst>
            </c:dLbl>
            <c:dLbl>
              <c:idx val="1"/>
              <c:layout>
                <c:manualLayout>
                  <c:x val="-3.0229104017413137E-2"/>
                  <c:y val="8.3255789391260326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8C27-4A7A-B6F7-DD0670BCC972}"/>
                </c:ext>
              </c:extLst>
            </c:dLbl>
            <c:dLbl>
              <c:idx val="2"/>
              <c:layout>
                <c:manualLayout>
                  <c:x val="-5.115694526023766E-2"/>
                  <c:y val="-0.10175707592265153"/>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8C27-4A7A-B6F7-DD0670BCC972}"/>
                </c:ext>
              </c:extLst>
            </c:dLbl>
            <c:dLbl>
              <c:idx val="3"/>
              <c:layout>
                <c:manualLayout>
                  <c:x val="-2.5578472630118851E-2"/>
                  <c:y val="0.11100771918834706"/>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8C27-4A7A-B6F7-DD0670BCC972}"/>
                </c:ext>
              </c:extLst>
            </c:dLbl>
            <c:dLbl>
              <c:idx val="4"/>
              <c:layout>
                <c:manualLayout>
                  <c:x val="-1.6277209855530151E-2"/>
                  <c:y val="-8.3255789391260326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8C27-4A7A-B6F7-DD0670BCC972}"/>
                </c:ext>
              </c:extLst>
            </c:dLbl>
            <c:dLbl>
              <c:idx val="5"/>
              <c:layout>
                <c:manualLayout>
                  <c:x val="-2.3253156936471644E-2"/>
                  <c:y val="0.10638239755549926"/>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8C27-4A7A-B6F7-DD0670BCC972}"/>
                </c:ext>
              </c:extLst>
            </c:dLbl>
            <c:dLbl>
              <c:idx val="6"/>
              <c:layout>
                <c:manualLayout>
                  <c:x val="-1.1626578468235822E-2"/>
                  <c:y val="-0.1433849706182817"/>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8C27-4A7A-B6F7-DD0670BCC972}"/>
                </c:ext>
              </c:extLst>
            </c:dLbl>
            <c:dLbl>
              <c:idx val="7"/>
              <c:layout>
                <c:manualLayout>
                  <c:x val="-2.0927841242824565E-2"/>
                  <c:y val="0.15263561388397726"/>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8C27-4A7A-B6F7-DD0670BCC972}"/>
                </c:ext>
              </c:extLst>
            </c:dLbl>
            <c:dLbl>
              <c:idx val="8"/>
              <c:layout>
                <c:manualLayout>
                  <c:x val="-6.9759470809415778E-3"/>
                  <c:y val="-9.713175428980371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8C27-4A7A-B6F7-DD0670BCC972}"/>
                </c:ext>
              </c:extLst>
            </c:dLbl>
            <c:dLbl>
              <c:idx val="9"/>
              <c:layout>
                <c:manualLayout>
                  <c:x val="-4.4180998179296119E-2"/>
                  <c:y val="0.1942635085796074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8C27-4A7A-B6F7-DD0670BCC972}"/>
                </c:ext>
              </c:extLst>
            </c:dLbl>
            <c:dLbl>
              <c:idx val="10"/>
              <c:layout>
                <c:manualLayout>
                  <c:x val="-2.3253156936471641E-3"/>
                  <c:y val="9.250643265695592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8C27-4A7A-B6F7-DD0670BCC972}"/>
                </c:ext>
              </c:extLst>
            </c:dLbl>
            <c:dLbl>
              <c:idx val="11"/>
              <c:layout>
                <c:manualLayout>
                  <c:x val="0"/>
                  <c:y val="-0.12488368408689049"/>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8C27-4A7A-B6F7-DD0670BCC97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Pivot_Analysis!$A$6:$A$18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Pivot_Analysis!$B$6:$B$18</c:f>
              <c:numCache>
                <c:formatCode>_(* #,##0_);_(* \(#,##0\);_(* "-"??_);_(@_)</c:formatCode>
                <c:ptCount val="12"/>
                <c:pt idx="0">
                  <c:v>1687714</c:v>
                </c:pt>
                <c:pt idx="1">
                  <c:v>1376835</c:v>
                </c:pt>
                <c:pt idx="2">
                  <c:v>1685903</c:v>
                </c:pt>
                <c:pt idx="3">
                  <c:v>1779597</c:v>
                </c:pt>
                <c:pt idx="4">
                  <c:v>1760383</c:v>
                </c:pt>
                <c:pt idx="5">
                  <c:v>1697554</c:v>
                </c:pt>
                <c:pt idx="6">
                  <c:v>1665904</c:v>
                </c:pt>
                <c:pt idx="7">
                  <c:v>1855674</c:v>
                </c:pt>
                <c:pt idx="8">
                  <c:v>1825061</c:v>
                </c:pt>
                <c:pt idx="9">
                  <c:v>1738488</c:v>
                </c:pt>
                <c:pt idx="10">
                  <c:v>1702847</c:v>
                </c:pt>
                <c:pt idx="11">
                  <c:v>1645785</c:v>
                </c:pt>
              </c:numCache>
            </c:numRef>
          </c:val>
          <c:smooth val="0"/>
          <c:extLst>
            <c:ext xmlns:c16="http://schemas.microsoft.com/office/drawing/2014/chart" uri="{C3380CC4-5D6E-409C-BE32-E72D297353CC}">
              <c16:uniqueId val="{00000000-8C27-4A7A-B6F7-DD0670BCC972}"/>
            </c:ext>
          </c:extLst>
        </c:ser>
        <c:dLbls>
          <c:showLegendKey val="0"/>
          <c:showVal val="0"/>
          <c:showCatName val="0"/>
          <c:showSerName val="0"/>
          <c:showPercent val="0"/>
          <c:showBubbleSize val="0"/>
        </c:dLbls>
        <c:smooth val="0"/>
        <c:axId val="1675432128"/>
        <c:axId val="1675436288"/>
      </c:lineChart>
      <c:catAx>
        <c:axId val="167543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75436288"/>
        <c:crosses val="autoZero"/>
        <c:auto val="1"/>
        <c:lblAlgn val="ctr"/>
        <c:lblOffset val="100"/>
        <c:noMultiLvlLbl val="0"/>
      </c:catAx>
      <c:valAx>
        <c:axId val="1675436288"/>
        <c:scaling>
          <c:orientation val="minMax"/>
        </c:scaling>
        <c:delete val="1"/>
        <c:axPos val="l"/>
        <c:numFmt formatCode="_(* #,##0_);_(* \(#,##0\);_(* &quot;-&quot;??_);_(@_)" sourceLinked="1"/>
        <c:majorTickMark val="none"/>
        <c:minorTickMark val="none"/>
        <c:tickLblPos val="nextTo"/>
        <c:crossAx val="1675432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tx1">
                    <a:lumMod val="95000"/>
                    <a:lumOff val="5000"/>
                  </a:schemeClr>
                </a:solidFill>
              </a:rPr>
              <a:t>Region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Pivot_Analysis!$K$5</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Pivot_Analysis!$J$6:$J$10</c:f>
              <c:strCache>
                <c:ptCount val="4"/>
                <c:pt idx="0">
                  <c:v>East</c:v>
                </c:pt>
                <c:pt idx="1">
                  <c:v>North</c:v>
                </c:pt>
                <c:pt idx="2">
                  <c:v>South</c:v>
                </c:pt>
                <c:pt idx="3">
                  <c:v>West</c:v>
                </c:pt>
              </c:strCache>
            </c:strRef>
          </c:cat>
          <c:val>
            <c:numRef>
              <c:f>Pivot_Analysis!$K$6:$K$10</c:f>
              <c:numCache>
                <c:formatCode>_(* #,##0_);_(* \(#,##0\);_(* "-"??_);_(@_)</c:formatCode>
                <c:ptCount val="4"/>
                <c:pt idx="0">
                  <c:v>5130104</c:v>
                </c:pt>
                <c:pt idx="1">
                  <c:v>5073899</c:v>
                </c:pt>
                <c:pt idx="2">
                  <c:v>4920080</c:v>
                </c:pt>
                <c:pt idx="3">
                  <c:v>5297662</c:v>
                </c:pt>
              </c:numCache>
            </c:numRef>
          </c:val>
          <c:extLst>
            <c:ext xmlns:c16="http://schemas.microsoft.com/office/drawing/2014/chart" uri="{C3380CC4-5D6E-409C-BE32-E72D297353CC}">
              <c16:uniqueId val="{00000000-48E5-4B10-B9CF-BC6E9F824D6A}"/>
            </c:ext>
          </c:extLst>
        </c:ser>
        <c:ser>
          <c:idx val="1"/>
          <c:order val="1"/>
          <c:tx>
            <c:strRef>
              <c:f>Pivot_Analysis!$L$5</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Pivot_Analysis!$J$6:$J$10</c:f>
              <c:strCache>
                <c:ptCount val="4"/>
                <c:pt idx="0">
                  <c:v>East</c:v>
                </c:pt>
                <c:pt idx="1">
                  <c:v>North</c:v>
                </c:pt>
                <c:pt idx="2">
                  <c:v>South</c:v>
                </c:pt>
                <c:pt idx="3">
                  <c:v>West</c:v>
                </c:pt>
              </c:strCache>
            </c:strRef>
          </c:cat>
          <c:val>
            <c:numRef>
              <c:f>Pivot_Analysis!$L$6:$L$10</c:f>
              <c:numCache>
                <c:formatCode>_(* #,##0_);_(* \(#,##0\);_(* "-"??_);_(@_)</c:formatCode>
                <c:ptCount val="4"/>
                <c:pt idx="0">
                  <c:v>1682516.3499999999</c:v>
                </c:pt>
                <c:pt idx="1">
                  <c:v>1650012.2</c:v>
                </c:pt>
                <c:pt idx="2">
                  <c:v>1600292.7000000002</c:v>
                </c:pt>
                <c:pt idx="3">
                  <c:v>1723027.6000000013</c:v>
                </c:pt>
              </c:numCache>
            </c:numRef>
          </c:val>
          <c:extLst>
            <c:ext xmlns:c16="http://schemas.microsoft.com/office/drawing/2014/chart" uri="{C3380CC4-5D6E-409C-BE32-E72D297353CC}">
              <c16:uniqueId val="{00000001-48E5-4B10-B9CF-BC6E9F824D6A}"/>
            </c:ext>
          </c:extLst>
        </c:ser>
        <c:dLbls>
          <c:dLblPos val="outEnd"/>
          <c:showLegendKey val="0"/>
          <c:showVal val="1"/>
          <c:showCatName val="0"/>
          <c:showSerName val="0"/>
          <c:showPercent val="0"/>
          <c:showBubbleSize val="0"/>
        </c:dLbls>
        <c:gapWidth val="182"/>
        <c:axId val="1675427968"/>
        <c:axId val="1675437952"/>
      </c:barChart>
      <c:catAx>
        <c:axId val="167542796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75437952"/>
        <c:crosses val="autoZero"/>
        <c:auto val="1"/>
        <c:lblAlgn val="ctr"/>
        <c:lblOffset val="100"/>
        <c:noMultiLvlLbl val="0"/>
      </c:catAx>
      <c:valAx>
        <c:axId val="1675437952"/>
        <c:scaling>
          <c:orientation val="minMax"/>
        </c:scaling>
        <c:delete val="1"/>
        <c:axPos val="b"/>
        <c:numFmt formatCode="_(* #,##0_);_(* \(#,##0\);_(* &quot;-&quot;??_);_(@_)" sourceLinked="1"/>
        <c:majorTickMark val="out"/>
        <c:minorTickMark val="none"/>
        <c:tickLblPos val="nextTo"/>
        <c:crossAx val="1675427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tx1">
                    <a:lumMod val="95000"/>
                    <a:lumOff val="5000"/>
                  </a:schemeClr>
                </a:solidFill>
              </a:rPr>
              <a:t>Category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Pivot_Analysis!$B$41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Pivot_Analysis!$A$42:$A$46</c:f>
              <c:strCache>
                <c:ptCount val="4"/>
                <c:pt idx="0">
                  <c:v>Clothing</c:v>
                </c:pt>
                <c:pt idx="1">
                  <c:v>Electronics</c:v>
                </c:pt>
                <c:pt idx="2">
                  <c:v>Furniture</c:v>
                </c:pt>
                <c:pt idx="3">
                  <c:v>Office Supplies</c:v>
                </c:pt>
              </c:strCache>
            </c:strRef>
          </c:cat>
          <c:val>
            <c:numRef>
              <c:f>Pivot_Analysis!$B$42:$B$46</c:f>
              <c:numCache>
                <c:formatCode>_(* #,##0_);_(* \(#,##0\);_(* "-"??_);_(@_)</c:formatCode>
                <c:ptCount val="4"/>
                <c:pt idx="0">
                  <c:v>1654950.85</c:v>
                </c:pt>
                <c:pt idx="1">
                  <c:v>2160382.0000000005</c:v>
                </c:pt>
                <c:pt idx="2">
                  <c:v>1235958.5</c:v>
                </c:pt>
                <c:pt idx="3">
                  <c:v>1604557.5</c:v>
                </c:pt>
              </c:numCache>
            </c:numRef>
          </c:val>
          <c:extLst>
            <c:ext xmlns:c16="http://schemas.microsoft.com/office/drawing/2014/chart" uri="{C3380CC4-5D6E-409C-BE32-E72D297353CC}">
              <c16:uniqueId val="{00000000-D390-414D-B6BF-F56766DF1419}"/>
            </c:ext>
          </c:extLst>
        </c:ser>
        <c:dLbls>
          <c:dLblPos val="outEnd"/>
          <c:showLegendKey val="0"/>
          <c:showVal val="1"/>
          <c:showCatName val="0"/>
          <c:showSerName val="0"/>
          <c:showPercent val="0"/>
          <c:showBubbleSize val="0"/>
        </c:dLbls>
        <c:gapWidth val="219"/>
        <c:overlap val="-27"/>
        <c:axId val="1899179952"/>
        <c:axId val="1899190768"/>
      </c:barChart>
      <c:catAx>
        <c:axId val="1899179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899190768"/>
        <c:crosses val="autoZero"/>
        <c:auto val="1"/>
        <c:lblAlgn val="ctr"/>
        <c:lblOffset val="100"/>
        <c:noMultiLvlLbl val="0"/>
      </c:catAx>
      <c:valAx>
        <c:axId val="1899190768"/>
        <c:scaling>
          <c:orientation val="minMax"/>
        </c:scaling>
        <c:delete val="1"/>
        <c:axPos val="l"/>
        <c:numFmt formatCode="_(* #,##0_);_(* \(#,##0\);_(* &quot;-&quot;??_);_(@_)" sourceLinked="1"/>
        <c:majorTickMark val="none"/>
        <c:minorTickMark val="none"/>
        <c:tickLblPos val="nextTo"/>
        <c:crossAx val="1899179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Dashboard.xlsx]Pivot_Analysis!PivotTable7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tx1">
                    <a:lumMod val="95000"/>
                    <a:lumOff val="5000"/>
                  </a:schemeClr>
                </a:solidFill>
              </a:rPr>
              <a:t>Top 5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Pivot_Analysis!$K$40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Pivot_Analysis!$J$41:$J$46</c:f>
              <c:strCache>
                <c:ptCount val="5"/>
                <c:pt idx="0">
                  <c:v>Product-12</c:v>
                </c:pt>
                <c:pt idx="1">
                  <c:v>Product-8</c:v>
                </c:pt>
                <c:pt idx="2">
                  <c:v>Product-5</c:v>
                </c:pt>
                <c:pt idx="3">
                  <c:v>Product-4</c:v>
                </c:pt>
                <c:pt idx="4">
                  <c:v>Product-32</c:v>
                </c:pt>
              </c:strCache>
            </c:strRef>
          </c:cat>
          <c:val>
            <c:numRef>
              <c:f>Pivot_Analysis!$K$41:$K$46</c:f>
              <c:numCache>
                <c:formatCode>_(* #,##0_);_(* \(#,##0\);_(* "-"??_);_(@_)</c:formatCode>
                <c:ptCount val="5"/>
                <c:pt idx="0">
                  <c:v>577872</c:v>
                </c:pt>
                <c:pt idx="1">
                  <c:v>570403</c:v>
                </c:pt>
                <c:pt idx="2">
                  <c:v>557788</c:v>
                </c:pt>
                <c:pt idx="3">
                  <c:v>526829</c:v>
                </c:pt>
                <c:pt idx="4">
                  <c:v>522975</c:v>
                </c:pt>
              </c:numCache>
            </c:numRef>
          </c:val>
          <c:extLst>
            <c:ext xmlns:c16="http://schemas.microsoft.com/office/drawing/2014/chart" uri="{C3380CC4-5D6E-409C-BE32-E72D297353CC}">
              <c16:uniqueId val="{00000001-971B-4224-9041-498075DC1D9D}"/>
            </c:ext>
          </c:extLst>
        </c:ser>
        <c:dLbls>
          <c:dLblPos val="outEnd"/>
          <c:showLegendKey val="0"/>
          <c:showVal val="1"/>
          <c:showCatName val="0"/>
          <c:showSerName val="0"/>
          <c:showPercent val="0"/>
          <c:showBubbleSize val="0"/>
        </c:dLbls>
        <c:gapWidth val="182"/>
        <c:axId val="1675442944"/>
        <c:axId val="1675430048"/>
      </c:barChart>
      <c:catAx>
        <c:axId val="16754429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75430048"/>
        <c:crosses val="autoZero"/>
        <c:auto val="1"/>
        <c:lblAlgn val="ctr"/>
        <c:lblOffset val="100"/>
        <c:noMultiLvlLbl val="0"/>
      </c:catAx>
      <c:valAx>
        <c:axId val="1675430048"/>
        <c:scaling>
          <c:orientation val="minMax"/>
        </c:scaling>
        <c:delete val="1"/>
        <c:axPos val="b"/>
        <c:numFmt formatCode="_(* #,##0_);_(* \(#,##0\);_(* &quot;-&quot;??_);_(@_)" sourceLinked="1"/>
        <c:majorTickMark val="none"/>
        <c:minorTickMark val="none"/>
        <c:tickLblPos val="nextTo"/>
        <c:crossAx val="1675442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u="sng">
                <a:solidFill>
                  <a:schemeClr val="tx1">
                    <a:lumMod val="95000"/>
                    <a:lumOff val="5000"/>
                  </a:schemeClr>
                </a:solidFill>
              </a:rPr>
              <a:t>Monthly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none"/>
        </c:marker>
        <c:dLbl>
          <c:idx val="0"/>
          <c:layout>
            <c:manualLayout>
              <c:x val="-5.8132892341179125E-2"/>
              <c:y val="-9.71317542898037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chemeClr val="accent1"/>
            </a:solidFill>
            <a:round/>
          </a:ln>
          <a:effectLst/>
        </c:spPr>
        <c:marker>
          <c:symbol val="none"/>
        </c:marker>
        <c:dLbl>
          <c:idx val="0"/>
          <c:layout>
            <c:manualLayout>
              <c:x val="-3.0229104017413137E-2"/>
              <c:y val="8.3255789391260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chemeClr val="accent1"/>
            </a:solidFill>
            <a:round/>
          </a:ln>
          <a:effectLst/>
        </c:spPr>
        <c:marker>
          <c:symbol val="none"/>
        </c:marker>
        <c:dLbl>
          <c:idx val="0"/>
          <c:layout>
            <c:manualLayout>
              <c:x val="-5.115694526023766E-2"/>
              <c:y val="-0.101757075922651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chemeClr val="accent1"/>
            </a:solidFill>
            <a:round/>
          </a:ln>
          <a:effectLst/>
        </c:spPr>
        <c:marker>
          <c:symbol val="none"/>
        </c:marker>
        <c:dLbl>
          <c:idx val="0"/>
          <c:layout>
            <c:manualLayout>
              <c:x val="-2.5578472630118851E-2"/>
              <c:y val="0.111007719188347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none"/>
        </c:marker>
        <c:dLbl>
          <c:idx val="0"/>
          <c:layout>
            <c:manualLayout>
              <c:x val="-1.6277209855530151E-2"/>
              <c:y val="-8.3255789391260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chemeClr val="accent1"/>
            </a:solidFill>
            <a:round/>
          </a:ln>
          <a:effectLst/>
        </c:spPr>
        <c:marker>
          <c:symbol val="none"/>
        </c:marker>
        <c:dLbl>
          <c:idx val="0"/>
          <c:layout>
            <c:manualLayout>
              <c:x val="-2.3253156936471644E-2"/>
              <c:y val="0.106382397555499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chemeClr val="accent1"/>
            </a:solidFill>
            <a:round/>
          </a:ln>
          <a:effectLst/>
        </c:spPr>
        <c:marker>
          <c:symbol val="none"/>
        </c:marker>
        <c:dLbl>
          <c:idx val="0"/>
          <c:layout>
            <c:manualLayout>
              <c:x val="-1.1626578468235822E-2"/>
              <c:y val="-0.14338497061828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chemeClr val="accent1"/>
            </a:solidFill>
            <a:round/>
          </a:ln>
          <a:effectLst/>
        </c:spPr>
        <c:marker>
          <c:symbol val="none"/>
        </c:marker>
        <c:dLbl>
          <c:idx val="0"/>
          <c:layout>
            <c:manualLayout>
              <c:x val="-2.0927841242824565E-2"/>
              <c:y val="0.152635613883977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8575" cap="rnd">
            <a:solidFill>
              <a:schemeClr val="accent1"/>
            </a:solidFill>
            <a:round/>
          </a:ln>
          <a:effectLst/>
        </c:spPr>
        <c:marker>
          <c:symbol val="none"/>
        </c:marker>
        <c:dLbl>
          <c:idx val="0"/>
          <c:layout>
            <c:manualLayout>
              <c:x val="-6.9759470809415778E-3"/>
              <c:y val="-9.7131754289803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8575" cap="rnd">
            <a:solidFill>
              <a:schemeClr val="accent1"/>
            </a:solidFill>
            <a:round/>
          </a:ln>
          <a:effectLst/>
        </c:spPr>
        <c:marker>
          <c:symbol val="none"/>
        </c:marker>
        <c:dLbl>
          <c:idx val="0"/>
          <c:layout>
            <c:manualLayout>
              <c:x val="-4.4180998179296119E-2"/>
              <c:y val="0.194263508579607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rnd">
            <a:solidFill>
              <a:schemeClr val="accent1"/>
            </a:solidFill>
            <a:round/>
          </a:ln>
          <a:effectLst/>
        </c:spPr>
        <c:marker>
          <c:symbol val="none"/>
        </c:marker>
        <c:dLbl>
          <c:idx val="0"/>
          <c:layout>
            <c:manualLayout>
              <c:x val="0"/>
              <c:y val="-0.12488368408689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chemeClr val="accent1"/>
            </a:solidFill>
            <a:round/>
          </a:ln>
          <a:effectLst/>
        </c:spPr>
        <c:marker>
          <c:symbol val="none"/>
        </c:marker>
        <c:dLbl>
          <c:idx val="0"/>
          <c:layout>
            <c:manualLayout>
              <c:x val="-2.3253156936471641E-3"/>
              <c:y val="9.2506432656955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chemeClr val="accent1"/>
            </a:solidFill>
            <a:round/>
          </a:ln>
          <a:effectLst/>
        </c:spPr>
        <c:marker>
          <c:symbol val="none"/>
        </c:marker>
        <c:dLbl>
          <c:idx val="0"/>
          <c:layout>
            <c:manualLayout>
              <c:x val="-5.8132892341179125E-2"/>
              <c:y val="-9.71317542898037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chemeClr val="accent1"/>
            </a:solidFill>
            <a:round/>
          </a:ln>
          <a:effectLst/>
        </c:spPr>
        <c:marker>
          <c:symbol val="none"/>
        </c:marker>
        <c:dLbl>
          <c:idx val="0"/>
          <c:layout>
            <c:manualLayout>
              <c:x val="-3.0229104017413137E-2"/>
              <c:y val="8.3255789391260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chemeClr val="accent1"/>
            </a:solidFill>
            <a:round/>
          </a:ln>
          <a:effectLst/>
        </c:spPr>
        <c:marker>
          <c:symbol val="none"/>
        </c:marker>
        <c:dLbl>
          <c:idx val="0"/>
          <c:layout>
            <c:manualLayout>
              <c:x val="-5.115694526023766E-2"/>
              <c:y val="-0.101757075922651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8575" cap="rnd">
            <a:solidFill>
              <a:schemeClr val="accent1"/>
            </a:solidFill>
            <a:round/>
          </a:ln>
          <a:effectLst/>
        </c:spPr>
        <c:marker>
          <c:symbol val="none"/>
        </c:marker>
        <c:dLbl>
          <c:idx val="0"/>
          <c:layout>
            <c:manualLayout>
              <c:x val="-2.5578472630118851E-2"/>
              <c:y val="0.111007719188347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8575" cap="rnd">
            <a:solidFill>
              <a:schemeClr val="accent1"/>
            </a:solidFill>
            <a:round/>
          </a:ln>
          <a:effectLst/>
        </c:spPr>
        <c:marker>
          <c:symbol val="none"/>
        </c:marker>
        <c:dLbl>
          <c:idx val="0"/>
          <c:layout>
            <c:manualLayout>
              <c:x val="-1.6277209855530151E-2"/>
              <c:y val="-8.3255789391260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8575" cap="rnd">
            <a:solidFill>
              <a:schemeClr val="accent1"/>
            </a:solidFill>
            <a:round/>
          </a:ln>
          <a:effectLst/>
        </c:spPr>
        <c:marker>
          <c:symbol val="none"/>
        </c:marker>
        <c:dLbl>
          <c:idx val="0"/>
          <c:layout>
            <c:manualLayout>
              <c:x val="-2.3253156936471644E-2"/>
              <c:y val="0.106382397555499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28575" cap="rnd">
            <a:solidFill>
              <a:schemeClr val="accent1"/>
            </a:solidFill>
            <a:round/>
          </a:ln>
          <a:effectLst/>
        </c:spPr>
        <c:marker>
          <c:symbol val="none"/>
        </c:marker>
        <c:dLbl>
          <c:idx val="0"/>
          <c:layout>
            <c:manualLayout>
              <c:x val="-1.1626578468235822E-2"/>
              <c:y val="-0.14338497061828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8575" cap="rnd">
            <a:solidFill>
              <a:schemeClr val="accent1"/>
            </a:solidFill>
            <a:round/>
          </a:ln>
          <a:effectLst/>
        </c:spPr>
        <c:marker>
          <c:symbol val="none"/>
        </c:marker>
        <c:dLbl>
          <c:idx val="0"/>
          <c:layout>
            <c:manualLayout>
              <c:x val="-2.0927841242824565E-2"/>
              <c:y val="0.152635613883977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8575" cap="rnd">
            <a:solidFill>
              <a:schemeClr val="accent1"/>
            </a:solidFill>
            <a:round/>
          </a:ln>
          <a:effectLst/>
        </c:spPr>
        <c:marker>
          <c:symbol val="none"/>
        </c:marker>
        <c:dLbl>
          <c:idx val="0"/>
          <c:layout>
            <c:manualLayout>
              <c:x val="-6.9759470809415778E-3"/>
              <c:y val="-9.7131754289803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28575" cap="rnd">
            <a:solidFill>
              <a:schemeClr val="accent1"/>
            </a:solidFill>
            <a:round/>
          </a:ln>
          <a:effectLst/>
        </c:spPr>
        <c:marker>
          <c:symbol val="none"/>
        </c:marker>
        <c:dLbl>
          <c:idx val="0"/>
          <c:layout>
            <c:manualLayout>
              <c:x val="-4.4180998179296119E-2"/>
              <c:y val="0.194263508579607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8575" cap="rnd">
            <a:solidFill>
              <a:schemeClr val="accent1"/>
            </a:solidFill>
            <a:round/>
          </a:ln>
          <a:effectLst/>
        </c:spPr>
        <c:marker>
          <c:symbol val="none"/>
        </c:marker>
        <c:dLbl>
          <c:idx val="0"/>
          <c:layout>
            <c:manualLayout>
              <c:x val="-2.3253156936471641E-3"/>
              <c:y val="9.2506432656955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8575" cap="rnd">
            <a:solidFill>
              <a:schemeClr val="accent1"/>
            </a:solidFill>
            <a:round/>
          </a:ln>
          <a:effectLst/>
        </c:spPr>
        <c:marker>
          <c:symbol val="none"/>
        </c:marker>
        <c:dLbl>
          <c:idx val="0"/>
          <c:layout>
            <c:manualLayout>
              <c:x val="0"/>
              <c:y val="-0.12488368408689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28575" cap="rnd">
            <a:solidFill>
              <a:schemeClr val="accent1"/>
            </a:solidFill>
            <a:round/>
          </a:ln>
          <a:effectLst/>
        </c:spPr>
        <c:marker>
          <c:symbol val="none"/>
        </c:marker>
        <c:dLbl>
          <c:idx val="0"/>
          <c:layout>
            <c:manualLayout>
              <c:x val="-5.8132892341179125E-2"/>
              <c:y val="-9.71317542898037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8"/>
        <c:spPr>
          <a:ln w="28575" cap="rnd">
            <a:solidFill>
              <a:schemeClr val="accent1"/>
            </a:solidFill>
            <a:round/>
          </a:ln>
          <a:effectLst/>
        </c:spPr>
        <c:marker>
          <c:symbol val="none"/>
        </c:marker>
        <c:dLbl>
          <c:idx val="0"/>
          <c:layout>
            <c:manualLayout>
              <c:x val="-3.0229104017413137E-2"/>
              <c:y val="8.3255789391260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9"/>
        <c:spPr>
          <a:ln w="28575" cap="rnd">
            <a:solidFill>
              <a:schemeClr val="accent1"/>
            </a:solidFill>
            <a:round/>
          </a:ln>
          <a:effectLst/>
        </c:spPr>
        <c:marker>
          <c:symbol val="none"/>
        </c:marker>
        <c:dLbl>
          <c:idx val="0"/>
          <c:layout>
            <c:manualLayout>
              <c:x val="-5.115694526023766E-2"/>
              <c:y val="-0.101757075922651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0"/>
        <c:spPr>
          <a:ln w="28575" cap="rnd">
            <a:solidFill>
              <a:schemeClr val="accent1"/>
            </a:solidFill>
            <a:round/>
          </a:ln>
          <a:effectLst/>
        </c:spPr>
        <c:marker>
          <c:symbol val="none"/>
        </c:marker>
        <c:dLbl>
          <c:idx val="0"/>
          <c:layout>
            <c:manualLayout>
              <c:x val="-2.5578472630118851E-2"/>
              <c:y val="0.111007719188347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1"/>
        <c:spPr>
          <a:ln w="28575" cap="rnd">
            <a:solidFill>
              <a:schemeClr val="accent1"/>
            </a:solidFill>
            <a:round/>
          </a:ln>
          <a:effectLst/>
        </c:spPr>
        <c:marker>
          <c:symbol val="none"/>
        </c:marker>
        <c:dLbl>
          <c:idx val="0"/>
          <c:layout>
            <c:manualLayout>
              <c:x val="-1.6277209855530151E-2"/>
              <c:y val="-8.3255789391260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2"/>
        <c:spPr>
          <a:ln w="28575" cap="rnd">
            <a:solidFill>
              <a:schemeClr val="accent1"/>
            </a:solidFill>
            <a:round/>
          </a:ln>
          <a:effectLst/>
        </c:spPr>
        <c:marker>
          <c:symbol val="none"/>
        </c:marker>
        <c:dLbl>
          <c:idx val="0"/>
          <c:layout>
            <c:manualLayout>
              <c:x val="-2.3253156936471644E-2"/>
              <c:y val="0.106382397555499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3"/>
        <c:spPr>
          <a:ln w="28575" cap="rnd">
            <a:solidFill>
              <a:schemeClr val="accent1"/>
            </a:solidFill>
            <a:round/>
          </a:ln>
          <a:effectLst/>
        </c:spPr>
        <c:marker>
          <c:symbol val="none"/>
        </c:marker>
        <c:dLbl>
          <c:idx val="0"/>
          <c:layout>
            <c:manualLayout>
              <c:x val="-1.1626578468235822E-2"/>
              <c:y val="-0.14338497061828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4"/>
        <c:spPr>
          <a:ln w="28575" cap="rnd">
            <a:solidFill>
              <a:schemeClr val="accent1"/>
            </a:solidFill>
            <a:round/>
          </a:ln>
          <a:effectLst/>
        </c:spPr>
        <c:marker>
          <c:symbol val="none"/>
        </c:marker>
        <c:dLbl>
          <c:idx val="0"/>
          <c:layout>
            <c:manualLayout>
              <c:x val="-2.0927841242824565E-2"/>
              <c:y val="0.152635613883977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5"/>
        <c:spPr>
          <a:ln w="28575" cap="rnd">
            <a:solidFill>
              <a:schemeClr val="accent1"/>
            </a:solidFill>
            <a:round/>
          </a:ln>
          <a:effectLst/>
        </c:spPr>
        <c:marker>
          <c:symbol val="none"/>
        </c:marker>
        <c:dLbl>
          <c:idx val="0"/>
          <c:layout>
            <c:manualLayout>
              <c:x val="-6.9759470809415778E-3"/>
              <c:y val="-9.7131754289803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6"/>
        <c:spPr>
          <a:ln w="28575" cap="rnd">
            <a:solidFill>
              <a:schemeClr val="accent1"/>
            </a:solidFill>
            <a:round/>
          </a:ln>
          <a:effectLst/>
        </c:spPr>
        <c:marker>
          <c:symbol val="none"/>
        </c:marker>
        <c:dLbl>
          <c:idx val="0"/>
          <c:layout>
            <c:manualLayout>
              <c:x val="-4.4180998179296119E-2"/>
              <c:y val="0.194263508579607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7"/>
        <c:spPr>
          <a:ln w="28575" cap="rnd">
            <a:solidFill>
              <a:schemeClr val="accent1"/>
            </a:solidFill>
            <a:round/>
          </a:ln>
          <a:effectLst/>
        </c:spPr>
        <c:marker>
          <c:symbol val="none"/>
        </c:marker>
        <c:dLbl>
          <c:idx val="0"/>
          <c:layout>
            <c:manualLayout>
              <c:x val="-2.3253156936471641E-3"/>
              <c:y val="9.2506432656955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8"/>
        <c:spPr>
          <a:ln w="28575" cap="rnd">
            <a:solidFill>
              <a:schemeClr val="accent1"/>
            </a:solidFill>
            <a:round/>
          </a:ln>
          <a:effectLst/>
        </c:spPr>
        <c:marker>
          <c:symbol val="none"/>
        </c:marker>
        <c:dLbl>
          <c:idx val="0"/>
          <c:layout>
            <c:manualLayout>
              <c:x val="0"/>
              <c:y val="-0.12488368408689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lineChart>
        <c:grouping val="standard"/>
        <c:varyColors val="0"/>
        <c:ser>
          <c:idx val="0"/>
          <c:order val="0"/>
          <c:tx>
            <c:strRef>
              <c:f>Pivot_Analysis!$B$5</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7271-453F-898C-238A80A722CC}"/>
              </c:ext>
            </c:extLst>
          </c:dPt>
          <c:dPt>
            <c:idx val="1"/>
            <c:marker>
              <c:symbol val="none"/>
            </c:marker>
            <c:bubble3D val="0"/>
            <c:extLst>
              <c:ext xmlns:c16="http://schemas.microsoft.com/office/drawing/2014/chart" uri="{C3380CC4-5D6E-409C-BE32-E72D297353CC}">
                <c16:uniqueId val="{00000001-7271-453F-898C-238A80A722CC}"/>
              </c:ext>
            </c:extLst>
          </c:dPt>
          <c:dPt>
            <c:idx val="2"/>
            <c:marker>
              <c:symbol val="none"/>
            </c:marker>
            <c:bubble3D val="0"/>
            <c:extLst>
              <c:ext xmlns:c16="http://schemas.microsoft.com/office/drawing/2014/chart" uri="{C3380CC4-5D6E-409C-BE32-E72D297353CC}">
                <c16:uniqueId val="{00000002-7271-453F-898C-238A80A722CC}"/>
              </c:ext>
            </c:extLst>
          </c:dPt>
          <c:dPt>
            <c:idx val="3"/>
            <c:marker>
              <c:symbol val="none"/>
            </c:marker>
            <c:bubble3D val="0"/>
            <c:extLst>
              <c:ext xmlns:c16="http://schemas.microsoft.com/office/drawing/2014/chart" uri="{C3380CC4-5D6E-409C-BE32-E72D297353CC}">
                <c16:uniqueId val="{00000003-7271-453F-898C-238A80A722CC}"/>
              </c:ext>
            </c:extLst>
          </c:dPt>
          <c:dPt>
            <c:idx val="4"/>
            <c:marker>
              <c:symbol val="none"/>
            </c:marker>
            <c:bubble3D val="0"/>
            <c:extLst>
              <c:ext xmlns:c16="http://schemas.microsoft.com/office/drawing/2014/chart" uri="{C3380CC4-5D6E-409C-BE32-E72D297353CC}">
                <c16:uniqueId val="{00000004-7271-453F-898C-238A80A722CC}"/>
              </c:ext>
            </c:extLst>
          </c:dPt>
          <c:dPt>
            <c:idx val="5"/>
            <c:marker>
              <c:symbol val="none"/>
            </c:marker>
            <c:bubble3D val="0"/>
            <c:extLst>
              <c:ext xmlns:c16="http://schemas.microsoft.com/office/drawing/2014/chart" uri="{C3380CC4-5D6E-409C-BE32-E72D297353CC}">
                <c16:uniqueId val="{00000005-7271-453F-898C-238A80A722CC}"/>
              </c:ext>
            </c:extLst>
          </c:dPt>
          <c:dPt>
            <c:idx val="6"/>
            <c:marker>
              <c:symbol val="none"/>
            </c:marker>
            <c:bubble3D val="0"/>
            <c:extLst>
              <c:ext xmlns:c16="http://schemas.microsoft.com/office/drawing/2014/chart" uri="{C3380CC4-5D6E-409C-BE32-E72D297353CC}">
                <c16:uniqueId val="{00000006-7271-453F-898C-238A80A722CC}"/>
              </c:ext>
            </c:extLst>
          </c:dPt>
          <c:dPt>
            <c:idx val="7"/>
            <c:marker>
              <c:symbol val="none"/>
            </c:marker>
            <c:bubble3D val="0"/>
            <c:extLst>
              <c:ext xmlns:c16="http://schemas.microsoft.com/office/drawing/2014/chart" uri="{C3380CC4-5D6E-409C-BE32-E72D297353CC}">
                <c16:uniqueId val="{00000007-7271-453F-898C-238A80A722CC}"/>
              </c:ext>
            </c:extLst>
          </c:dPt>
          <c:dPt>
            <c:idx val="8"/>
            <c:marker>
              <c:symbol val="none"/>
            </c:marker>
            <c:bubble3D val="0"/>
            <c:extLst>
              <c:ext xmlns:c16="http://schemas.microsoft.com/office/drawing/2014/chart" uri="{C3380CC4-5D6E-409C-BE32-E72D297353CC}">
                <c16:uniqueId val="{00000008-7271-453F-898C-238A80A722CC}"/>
              </c:ext>
            </c:extLst>
          </c:dPt>
          <c:dPt>
            <c:idx val="9"/>
            <c:marker>
              <c:symbol val="none"/>
            </c:marker>
            <c:bubble3D val="0"/>
            <c:extLst>
              <c:ext xmlns:c16="http://schemas.microsoft.com/office/drawing/2014/chart" uri="{C3380CC4-5D6E-409C-BE32-E72D297353CC}">
                <c16:uniqueId val="{00000009-7271-453F-898C-238A80A722CC}"/>
              </c:ext>
            </c:extLst>
          </c:dPt>
          <c:dPt>
            <c:idx val="10"/>
            <c:marker>
              <c:symbol val="none"/>
            </c:marker>
            <c:bubble3D val="0"/>
            <c:extLst>
              <c:ext xmlns:c16="http://schemas.microsoft.com/office/drawing/2014/chart" uri="{C3380CC4-5D6E-409C-BE32-E72D297353CC}">
                <c16:uniqueId val="{0000000A-7271-453F-898C-238A80A722CC}"/>
              </c:ext>
            </c:extLst>
          </c:dPt>
          <c:dPt>
            <c:idx val="11"/>
            <c:marker>
              <c:symbol val="none"/>
            </c:marker>
            <c:bubble3D val="0"/>
            <c:extLst>
              <c:ext xmlns:c16="http://schemas.microsoft.com/office/drawing/2014/chart" uri="{C3380CC4-5D6E-409C-BE32-E72D297353CC}">
                <c16:uniqueId val="{0000000B-7271-453F-898C-238A80A722CC}"/>
              </c:ext>
            </c:extLst>
          </c:dPt>
          <c:dLbls>
            <c:dLbl>
              <c:idx val="0"/>
              <c:layout>
                <c:manualLayout>
                  <c:x val="-5.8132892341179125E-2"/>
                  <c:y val="-9.7131754289803737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271-453F-898C-238A80A722CC}"/>
                </c:ext>
              </c:extLst>
            </c:dLbl>
            <c:dLbl>
              <c:idx val="1"/>
              <c:layout>
                <c:manualLayout>
                  <c:x val="-3.0229104017413137E-2"/>
                  <c:y val="8.3255789391260326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271-453F-898C-238A80A722CC}"/>
                </c:ext>
              </c:extLst>
            </c:dLbl>
            <c:dLbl>
              <c:idx val="2"/>
              <c:layout>
                <c:manualLayout>
                  <c:x val="-5.115694526023766E-2"/>
                  <c:y val="-0.10175707592265153"/>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271-453F-898C-238A80A722CC}"/>
                </c:ext>
              </c:extLst>
            </c:dLbl>
            <c:dLbl>
              <c:idx val="3"/>
              <c:layout>
                <c:manualLayout>
                  <c:x val="-2.5578472630118851E-2"/>
                  <c:y val="0.11100771918834706"/>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271-453F-898C-238A80A722CC}"/>
                </c:ext>
              </c:extLst>
            </c:dLbl>
            <c:dLbl>
              <c:idx val="4"/>
              <c:layout>
                <c:manualLayout>
                  <c:x val="-1.6277209855530151E-2"/>
                  <c:y val="-8.3255789391260326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271-453F-898C-238A80A722CC}"/>
                </c:ext>
              </c:extLst>
            </c:dLbl>
            <c:dLbl>
              <c:idx val="5"/>
              <c:layout>
                <c:manualLayout>
                  <c:x val="-2.3253156936471644E-2"/>
                  <c:y val="0.10638239755549926"/>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271-453F-898C-238A80A722CC}"/>
                </c:ext>
              </c:extLst>
            </c:dLbl>
            <c:dLbl>
              <c:idx val="6"/>
              <c:layout>
                <c:manualLayout>
                  <c:x val="-1.1626578468235822E-2"/>
                  <c:y val="-0.1433849706182817"/>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7271-453F-898C-238A80A722CC}"/>
                </c:ext>
              </c:extLst>
            </c:dLbl>
            <c:dLbl>
              <c:idx val="7"/>
              <c:layout>
                <c:manualLayout>
                  <c:x val="-2.0927841242824565E-2"/>
                  <c:y val="0.15263561388397726"/>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7271-453F-898C-238A80A722CC}"/>
                </c:ext>
              </c:extLst>
            </c:dLbl>
            <c:dLbl>
              <c:idx val="8"/>
              <c:layout>
                <c:manualLayout>
                  <c:x val="-6.9759470809415778E-3"/>
                  <c:y val="-9.713175428980371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7271-453F-898C-238A80A722CC}"/>
                </c:ext>
              </c:extLst>
            </c:dLbl>
            <c:dLbl>
              <c:idx val="9"/>
              <c:layout>
                <c:manualLayout>
                  <c:x val="-4.4180998179296119E-2"/>
                  <c:y val="0.1942635085796074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7271-453F-898C-238A80A722CC}"/>
                </c:ext>
              </c:extLst>
            </c:dLbl>
            <c:dLbl>
              <c:idx val="10"/>
              <c:layout>
                <c:manualLayout>
                  <c:x val="-2.3253156936471641E-3"/>
                  <c:y val="9.250643265695592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7271-453F-898C-238A80A722CC}"/>
                </c:ext>
              </c:extLst>
            </c:dLbl>
            <c:dLbl>
              <c:idx val="11"/>
              <c:layout>
                <c:manualLayout>
                  <c:x val="0"/>
                  <c:y val="-0.12488368408689049"/>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7271-453F-898C-238A80A722C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Pivot_Analysis!$A$6:$A$18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Pivot_Analysis!$B$6:$B$18</c:f>
              <c:numCache>
                <c:formatCode>_(* #,##0_);_(* \(#,##0\);_(* "-"??_);_(@_)</c:formatCode>
                <c:ptCount val="12"/>
                <c:pt idx="0">
                  <c:v>1687714</c:v>
                </c:pt>
                <c:pt idx="1">
                  <c:v>1376835</c:v>
                </c:pt>
                <c:pt idx="2">
                  <c:v>1685903</c:v>
                </c:pt>
                <c:pt idx="3">
                  <c:v>1779597</c:v>
                </c:pt>
                <c:pt idx="4">
                  <c:v>1760383</c:v>
                </c:pt>
                <c:pt idx="5">
                  <c:v>1697554</c:v>
                </c:pt>
                <c:pt idx="6">
                  <c:v>1665904</c:v>
                </c:pt>
                <c:pt idx="7">
                  <c:v>1855674</c:v>
                </c:pt>
                <c:pt idx="8">
                  <c:v>1825061</c:v>
                </c:pt>
                <c:pt idx="9">
                  <c:v>1738488</c:v>
                </c:pt>
                <c:pt idx="10">
                  <c:v>1702847</c:v>
                </c:pt>
                <c:pt idx="11">
                  <c:v>1645785</c:v>
                </c:pt>
              </c:numCache>
            </c:numRef>
          </c:val>
          <c:smooth val="0"/>
          <c:extLst>
            <c:ext xmlns:c16="http://schemas.microsoft.com/office/drawing/2014/chart" uri="{C3380CC4-5D6E-409C-BE32-E72D297353CC}">
              <c16:uniqueId val="{0000000C-7271-453F-898C-238A80A722CC}"/>
            </c:ext>
          </c:extLst>
        </c:ser>
        <c:dLbls>
          <c:showLegendKey val="0"/>
          <c:showVal val="0"/>
          <c:showCatName val="0"/>
          <c:showSerName val="0"/>
          <c:showPercent val="0"/>
          <c:showBubbleSize val="0"/>
        </c:dLbls>
        <c:smooth val="0"/>
        <c:axId val="1675432128"/>
        <c:axId val="1675436288"/>
      </c:lineChart>
      <c:catAx>
        <c:axId val="16754321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75436288"/>
        <c:crosses val="autoZero"/>
        <c:auto val="1"/>
        <c:lblAlgn val="ctr"/>
        <c:lblOffset val="100"/>
        <c:noMultiLvlLbl val="0"/>
      </c:catAx>
      <c:valAx>
        <c:axId val="1675436288"/>
        <c:scaling>
          <c:orientation val="minMax"/>
        </c:scaling>
        <c:delete val="1"/>
        <c:axPos val="l"/>
        <c:numFmt formatCode="_(* #,##0_);_(* \(#,##0\);_(* &quot;-&quot;??_);_(@_)" sourceLinked="1"/>
        <c:majorTickMark val="none"/>
        <c:minorTickMark val="none"/>
        <c:tickLblPos val="nextTo"/>
        <c:crossAx val="1675432128"/>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u="sng">
                <a:solidFill>
                  <a:schemeClr val="tx1">
                    <a:lumMod val="95000"/>
                    <a:lumOff val="5000"/>
                  </a:schemeClr>
                </a:solidFill>
              </a:rPr>
              <a:t>Region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Pivot_Analysis!$K$5</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Pivot_Analysis!$J$6:$J$10</c:f>
              <c:strCache>
                <c:ptCount val="4"/>
                <c:pt idx="0">
                  <c:v>East</c:v>
                </c:pt>
                <c:pt idx="1">
                  <c:v>North</c:v>
                </c:pt>
                <c:pt idx="2">
                  <c:v>South</c:v>
                </c:pt>
                <c:pt idx="3">
                  <c:v>West</c:v>
                </c:pt>
              </c:strCache>
            </c:strRef>
          </c:cat>
          <c:val>
            <c:numRef>
              <c:f>Pivot_Analysis!$K$6:$K$10</c:f>
              <c:numCache>
                <c:formatCode>_(* #,##0_);_(* \(#,##0\);_(* "-"??_);_(@_)</c:formatCode>
                <c:ptCount val="4"/>
                <c:pt idx="0">
                  <c:v>5130104</c:v>
                </c:pt>
                <c:pt idx="1">
                  <c:v>5073899</c:v>
                </c:pt>
                <c:pt idx="2">
                  <c:v>4920080</c:v>
                </c:pt>
                <c:pt idx="3">
                  <c:v>5297662</c:v>
                </c:pt>
              </c:numCache>
            </c:numRef>
          </c:val>
          <c:extLst>
            <c:ext xmlns:c16="http://schemas.microsoft.com/office/drawing/2014/chart" uri="{C3380CC4-5D6E-409C-BE32-E72D297353CC}">
              <c16:uniqueId val="{00000000-654D-4782-90E5-4C9DF49C6B5A}"/>
            </c:ext>
          </c:extLst>
        </c:ser>
        <c:ser>
          <c:idx val="1"/>
          <c:order val="1"/>
          <c:tx>
            <c:strRef>
              <c:f>Pivot_Analysis!$L$5</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Pivot_Analysis!$J$6:$J$10</c:f>
              <c:strCache>
                <c:ptCount val="4"/>
                <c:pt idx="0">
                  <c:v>East</c:v>
                </c:pt>
                <c:pt idx="1">
                  <c:v>North</c:v>
                </c:pt>
                <c:pt idx="2">
                  <c:v>South</c:v>
                </c:pt>
                <c:pt idx="3">
                  <c:v>West</c:v>
                </c:pt>
              </c:strCache>
            </c:strRef>
          </c:cat>
          <c:val>
            <c:numRef>
              <c:f>Pivot_Analysis!$L$6:$L$10</c:f>
              <c:numCache>
                <c:formatCode>_(* #,##0_);_(* \(#,##0\);_(* "-"??_);_(@_)</c:formatCode>
                <c:ptCount val="4"/>
                <c:pt idx="0">
                  <c:v>1682516.3499999999</c:v>
                </c:pt>
                <c:pt idx="1">
                  <c:v>1650012.2</c:v>
                </c:pt>
                <c:pt idx="2">
                  <c:v>1600292.7000000002</c:v>
                </c:pt>
                <c:pt idx="3">
                  <c:v>1723027.6000000013</c:v>
                </c:pt>
              </c:numCache>
            </c:numRef>
          </c:val>
          <c:extLst>
            <c:ext xmlns:c16="http://schemas.microsoft.com/office/drawing/2014/chart" uri="{C3380CC4-5D6E-409C-BE32-E72D297353CC}">
              <c16:uniqueId val="{00000001-654D-4782-90E5-4C9DF49C6B5A}"/>
            </c:ext>
          </c:extLst>
        </c:ser>
        <c:dLbls>
          <c:dLblPos val="outEnd"/>
          <c:showLegendKey val="0"/>
          <c:showVal val="1"/>
          <c:showCatName val="0"/>
          <c:showSerName val="0"/>
          <c:showPercent val="0"/>
          <c:showBubbleSize val="0"/>
        </c:dLbls>
        <c:gapWidth val="182"/>
        <c:axId val="1675427968"/>
        <c:axId val="1675437952"/>
      </c:barChart>
      <c:catAx>
        <c:axId val="167542796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75437952"/>
        <c:crosses val="autoZero"/>
        <c:auto val="1"/>
        <c:lblAlgn val="ctr"/>
        <c:lblOffset val="100"/>
        <c:noMultiLvlLbl val="0"/>
      </c:catAx>
      <c:valAx>
        <c:axId val="1675437952"/>
        <c:scaling>
          <c:orientation val="minMax"/>
        </c:scaling>
        <c:delete val="1"/>
        <c:axPos val="b"/>
        <c:numFmt formatCode="_(* #,##0_);_(* \(#,##0\);_(* &quot;-&quot;??_);_(@_)" sourceLinked="1"/>
        <c:majorTickMark val="out"/>
        <c:minorTickMark val="none"/>
        <c:tickLblPos val="nextTo"/>
        <c:crossAx val="1675427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u="sng">
                <a:solidFill>
                  <a:schemeClr val="tx1">
                    <a:lumMod val="95000"/>
                    <a:lumOff val="5000"/>
                  </a:schemeClr>
                </a:solidFill>
              </a:rPr>
              <a:t>Category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Pivot_Analysis!$B$41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Pivot_Analysis!$A$42:$A$46</c:f>
              <c:strCache>
                <c:ptCount val="4"/>
                <c:pt idx="0">
                  <c:v>Clothing</c:v>
                </c:pt>
                <c:pt idx="1">
                  <c:v>Electronics</c:v>
                </c:pt>
                <c:pt idx="2">
                  <c:v>Furniture</c:v>
                </c:pt>
                <c:pt idx="3">
                  <c:v>Office Supplies</c:v>
                </c:pt>
              </c:strCache>
            </c:strRef>
          </c:cat>
          <c:val>
            <c:numRef>
              <c:f>Pivot_Analysis!$B$42:$B$46</c:f>
              <c:numCache>
                <c:formatCode>_(* #,##0_);_(* \(#,##0\);_(* "-"??_);_(@_)</c:formatCode>
                <c:ptCount val="4"/>
                <c:pt idx="0">
                  <c:v>1654950.85</c:v>
                </c:pt>
                <c:pt idx="1">
                  <c:v>2160382.0000000005</c:v>
                </c:pt>
                <c:pt idx="2">
                  <c:v>1235958.5</c:v>
                </c:pt>
                <c:pt idx="3">
                  <c:v>1604557.5</c:v>
                </c:pt>
              </c:numCache>
            </c:numRef>
          </c:val>
          <c:extLst>
            <c:ext xmlns:c16="http://schemas.microsoft.com/office/drawing/2014/chart" uri="{C3380CC4-5D6E-409C-BE32-E72D297353CC}">
              <c16:uniqueId val="{00000000-15A1-4C94-8E29-A9DB981AF8CA}"/>
            </c:ext>
          </c:extLst>
        </c:ser>
        <c:dLbls>
          <c:dLblPos val="outEnd"/>
          <c:showLegendKey val="0"/>
          <c:showVal val="1"/>
          <c:showCatName val="0"/>
          <c:showSerName val="0"/>
          <c:showPercent val="0"/>
          <c:showBubbleSize val="0"/>
        </c:dLbls>
        <c:gapWidth val="219"/>
        <c:overlap val="-27"/>
        <c:axId val="1899179952"/>
        <c:axId val="1899190768"/>
      </c:barChart>
      <c:catAx>
        <c:axId val="1899179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899190768"/>
        <c:crosses val="autoZero"/>
        <c:auto val="1"/>
        <c:lblAlgn val="ctr"/>
        <c:lblOffset val="100"/>
        <c:noMultiLvlLbl val="0"/>
      </c:catAx>
      <c:valAx>
        <c:axId val="1899190768"/>
        <c:scaling>
          <c:orientation val="minMax"/>
        </c:scaling>
        <c:delete val="1"/>
        <c:axPos val="l"/>
        <c:numFmt formatCode="_(* #,##0_);_(* \(#,##0\);_(* &quot;-&quot;??_);_(@_)" sourceLinked="1"/>
        <c:majorTickMark val="none"/>
        <c:minorTickMark val="none"/>
        <c:tickLblPos val="nextTo"/>
        <c:crossAx val="1899179952"/>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u="sng">
                <a:solidFill>
                  <a:schemeClr val="tx1">
                    <a:lumMod val="95000"/>
                    <a:lumOff val="5000"/>
                  </a:schemeClr>
                </a:solidFill>
              </a:rPr>
              <a:t>Top 5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Pivot_Analysis!$K$40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Pivot_Analysis!$J$41:$J$46</c:f>
              <c:strCache>
                <c:ptCount val="5"/>
                <c:pt idx="0">
                  <c:v>Product-12</c:v>
                </c:pt>
                <c:pt idx="1">
                  <c:v>Product-8</c:v>
                </c:pt>
                <c:pt idx="2">
                  <c:v>Product-5</c:v>
                </c:pt>
                <c:pt idx="3">
                  <c:v>Product-4</c:v>
                </c:pt>
                <c:pt idx="4">
                  <c:v>Product-32</c:v>
                </c:pt>
              </c:strCache>
            </c:strRef>
          </c:cat>
          <c:val>
            <c:numRef>
              <c:f>Pivot_Analysis!$K$41:$K$46</c:f>
              <c:numCache>
                <c:formatCode>_(* #,##0_);_(* \(#,##0\);_(* "-"??_);_(@_)</c:formatCode>
                <c:ptCount val="5"/>
                <c:pt idx="0">
                  <c:v>577872</c:v>
                </c:pt>
                <c:pt idx="1">
                  <c:v>570403</c:v>
                </c:pt>
                <c:pt idx="2">
                  <c:v>557788</c:v>
                </c:pt>
                <c:pt idx="3">
                  <c:v>526829</c:v>
                </c:pt>
                <c:pt idx="4">
                  <c:v>522975</c:v>
                </c:pt>
              </c:numCache>
            </c:numRef>
          </c:val>
          <c:extLst>
            <c:ext xmlns:c16="http://schemas.microsoft.com/office/drawing/2014/chart" uri="{C3380CC4-5D6E-409C-BE32-E72D297353CC}">
              <c16:uniqueId val="{00000000-3071-4FD6-8628-93D00D5A616B}"/>
            </c:ext>
          </c:extLst>
        </c:ser>
        <c:dLbls>
          <c:dLblPos val="outEnd"/>
          <c:showLegendKey val="0"/>
          <c:showVal val="1"/>
          <c:showCatName val="0"/>
          <c:showSerName val="0"/>
          <c:showPercent val="0"/>
          <c:showBubbleSize val="0"/>
        </c:dLbls>
        <c:gapWidth val="182"/>
        <c:axId val="1675442944"/>
        <c:axId val="1675430048"/>
      </c:barChart>
      <c:catAx>
        <c:axId val="16754429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75430048"/>
        <c:crosses val="autoZero"/>
        <c:auto val="1"/>
        <c:lblAlgn val="ctr"/>
        <c:lblOffset val="100"/>
        <c:noMultiLvlLbl val="0"/>
      </c:catAx>
      <c:valAx>
        <c:axId val="1675430048"/>
        <c:scaling>
          <c:orientation val="minMax"/>
        </c:scaling>
        <c:delete val="1"/>
        <c:axPos val="b"/>
        <c:numFmt formatCode="_(* #,##0_);_(* \(#,##0\);_(* &quot;-&quot;??_);_(@_)" sourceLinked="1"/>
        <c:majorTickMark val="none"/>
        <c:minorTickMark val="none"/>
        <c:tickLblPos val="nextTo"/>
        <c:crossAx val="1675442944"/>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56916</xdr:rowOff>
    </xdr:from>
    <xdr:to>
      <xdr:col>6</xdr:col>
      <xdr:colOff>472440</xdr:colOff>
      <xdr:row>35</xdr:row>
      <xdr:rowOff>56917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707846</xdr:colOff>
      <xdr:row>16</xdr:row>
      <xdr:rowOff>13355</xdr:rowOff>
    </xdr:from>
    <xdr:to>
      <xdr:col>15</xdr:col>
      <xdr:colOff>471714</xdr:colOff>
      <xdr:row>35</xdr:row>
      <xdr:rowOff>48380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8861</xdr:colOff>
      <xdr:row>47</xdr:row>
      <xdr:rowOff>109334</xdr:rowOff>
    </xdr:from>
    <xdr:to>
      <xdr:col>5</xdr:col>
      <xdr:colOff>532146</xdr:colOff>
      <xdr:row>62</xdr:row>
      <xdr:rowOff>34178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164610</xdr:colOff>
      <xdr:row>47</xdr:row>
      <xdr:rowOff>99712</xdr:rowOff>
    </xdr:from>
    <xdr:to>
      <xdr:col>13</xdr:col>
      <xdr:colOff>195925</xdr:colOff>
      <xdr:row>62</xdr:row>
      <xdr:rowOff>31018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204651</xdr:colOff>
      <xdr:row>8</xdr:row>
      <xdr:rowOff>148511</xdr:rowOff>
    </xdr:from>
    <xdr:to>
      <xdr:col>3</xdr:col>
      <xdr:colOff>73245</xdr:colOff>
      <xdr:row>13</xdr:row>
      <xdr:rowOff>247571</xdr:rowOff>
    </xdr:to>
    <xdr:sp macro="" textlink="">
      <xdr:nvSpPr>
        <xdr:cNvPr id="8" name="Rounded Rectangle 7"/>
        <xdr:cNvSpPr/>
      </xdr:nvSpPr>
      <xdr:spPr>
        <a:xfrm>
          <a:off x="204651" y="1641409"/>
          <a:ext cx="2154594" cy="1032121"/>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2">
                  <a:lumMod val="75000"/>
                </a:schemeClr>
              </a:solidFill>
              <a:effectLst/>
              <a:latin typeface="+mn-lt"/>
              <a:ea typeface="+mn-ea"/>
              <a:cs typeface="+mn-cs"/>
            </a:rPr>
            <a:t>Total Sales </a:t>
          </a:r>
        </a:p>
        <a:p>
          <a:pPr algn="ctr"/>
          <a:r>
            <a:rPr lang="en-US" sz="3200" b="1" i="0" u="none" strike="noStrike">
              <a:solidFill>
                <a:schemeClr val="tx1">
                  <a:lumMod val="95000"/>
                  <a:lumOff val="5000"/>
                </a:schemeClr>
              </a:solidFill>
              <a:effectLst/>
              <a:latin typeface="+mn-lt"/>
              <a:ea typeface="+mn-ea"/>
              <a:cs typeface="+mn-cs"/>
            </a:rPr>
            <a:t>20,421,745</a:t>
          </a:r>
          <a:r>
            <a:rPr lang="en-US" sz="3200" b="1">
              <a:solidFill>
                <a:schemeClr val="tx1">
                  <a:lumMod val="95000"/>
                  <a:lumOff val="5000"/>
                </a:schemeClr>
              </a:solidFill>
            </a:rPr>
            <a:t> </a:t>
          </a:r>
        </a:p>
      </xdr:txBody>
    </xdr:sp>
    <xdr:clientData/>
  </xdr:twoCellAnchor>
  <xdr:twoCellAnchor>
    <xdr:from>
      <xdr:col>4</xdr:col>
      <xdr:colOff>785636</xdr:colOff>
      <xdr:row>8</xdr:row>
      <xdr:rowOff>103257</xdr:rowOff>
    </xdr:from>
    <xdr:to>
      <xdr:col>7</xdr:col>
      <xdr:colOff>331049</xdr:colOff>
      <xdr:row>13</xdr:row>
      <xdr:rowOff>203468</xdr:rowOff>
    </xdr:to>
    <xdr:sp macro="" textlink="">
      <xdr:nvSpPr>
        <xdr:cNvPr id="10" name="Rounded Rectangle 9"/>
        <xdr:cNvSpPr/>
      </xdr:nvSpPr>
      <xdr:spPr>
        <a:xfrm>
          <a:off x="3678126" y="1596155"/>
          <a:ext cx="2157984" cy="1033272"/>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2">
                  <a:lumMod val="75000"/>
                </a:schemeClr>
              </a:solidFill>
              <a:effectLst/>
              <a:latin typeface="+mn-lt"/>
              <a:ea typeface="+mn-ea"/>
              <a:cs typeface="+mn-cs"/>
            </a:rPr>
            <a:t>Total Profit </a:t>
          </a:r>
        </a:p>
        <a:p>
          <a:pPr algn="ctr"/>
          <a:r>
            <a:rPr lang="en-US" sz="3200" b="1" i="0" u="none" strike="noStrike">
              <a:solidFill>
                <a:schemeClr val="tx1">
                  <a:lumMod val="95000"/>
                  <a:lumOff val="5000"/>
                </a:schemeClr>
              </a:solidFill>
              <a:effectLst/>
              <a:latin typeface="+mn-lt"/>
              <a:ea typeface="+mn-ea"/>
              <a:cs typeface="+mn-cs"/>
            </a:rPr>
            <a:t>6,655,849</a:t>
          </a:r>
          <a:r>
            <a:rPr lang="en-US" sz="3200">
              <a:solidFill>
                <a:schemeClr val="tx1">
                  <a:lumMod val="95000"/>
                  <a:lumOff val="5000"/>
                </a:schemeClr>
              </a:solidFill>
            </a:rPr>
            <a:t>  </a:t>
          </a:r>
        </a:p>
      </xdr:txBody>
    </xdr:sp>
    <xdr:clientData/>
  </xdr:twoCellAnchor>
  <xdr:twoCellAnchor>
    <xdr:from>
      <xdr:col>9</xdr:col>
      <xdr:colOff>418166</xdr:colOff>
      <xdr:row>8</xdr:row>
      <xdr:rowOff>84440</xdr:rowOff>
    </xdr:from>
    <xdr:to>
      <xdr:col>13</xdr:col>
      <xdr:colOff>150191</xdr:colOff>
      <xdr:row>13</xdr:row>
      <xdr:rowOff>184651</xdr:rowOff>
    </xdr:to>
    <xdr:sp macro="" textlink="">
      <xdr:nvSpPr>
        <xdr:cNvPr id="11" name="Rounded Rectangle 10"/>
        <xdr:cNvSpPr/>
      </xdr:nvSpPr>
      <xdr:spPr>
        <a:xfrm>
          <a:off x="7136207" y="1577338"/>
          <a:ext cx="2157984" cy="1033272"/>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2">
                  <a:lumMod val="75000"/>
                </a:schemeClr>
              </a:solidFill>
              <a:effectLst/>
              <a:latin typeface="+mn-lt"/>
              <a:ea typeface="+mn-ea"/>
              <a:cs typeface="+mn-cs"/>
            </a:rPr>
            <a:t>Profit</a:t>
          </a:r>
          <a:r>
            <a:rPr lang="en-US" sz="1400" b="0" i="0" u="none" strike="noStrike" baseline="0">
              <a:solidFill>
                <a:schemeClr val="bg2">
                  <a:lumMod val="75000"/>
                </a:schemeClr>
              </a:solidFill>
              <a:effectLst/>
              <a:latin typeface="+mn-lt"/>
              <a:ea typeface="+mn-ea"/>
              <a:cs typeface="+mn-cs"/>
            </a:rPr>
            <a:t> Margin %</a:t>
          </a:r>
          <a:r>
            <a:rPr lang="en-US" sz="1400" b="0" i="0" u="none" strike="noStrike">
              <a:solidFill>
                <a:schemeClr val="bg2">
                  <a:lumMod val="75000"/>
                </a:schemeClr>
              </a:solidFill>
              <a:effectLst/>
              <a:latin typeface="+mn-lt"/>
              <a:ea typeface="+mn-ea"/>
              <a:cs typeface="+mn-cs"/>
            </a:rPr>
            <a:t> </a:t>
          </a:r>
        </a:p>
        <a:p>
          <a:pPr algn="ctr"/>
          <a:r>
            <a:rPr lang="en-US" sz="3200" b="1" i="0" u="none" strike="noStrike">
              <a:solidFill>
                <a:schemeClr val="tx1">
                  <a:lumMod val="95000"/>
                  <a:lumOff val="5000"/>
                </a:schemeClr>
              </a:solidFill>
              <a:effectLst/>
              <a:latin typeface="+mn-lt"/>
              <a:ea typeface="+mn-ea"/>
              <a:cs typeface="+mn-cs"/>
            </a:rPr>
            <a:t>33%</a:t>
          </a:r>
          <a:r>
            <a:rPr lang="en-US" sz="3200" b="1">
              <a:solidFill>
                <a:schemeClr val="tx1">
                  <a:lumMod val="95000"/>
                  <a:lumOff val="5000"/>
                </a:schemeClr>
              </a:solidFill>
            </a:rPr>
            <a:t> </a:t>
          </a:r>
        </a:p>
      </xdr:txBody>
    </xdr:sp>
    <xdr:clientData/>
  </xdr:twoCellAnchor>
  <xdr:twoCellAnchor>
    <xdr:from>
      <xdr:col>15</xdr:col>
      <xdr:colOff>248972</xdr:colOff>
      <xdr:row>8</xdr:row>
      <xdr:rowOff>53183</xdr:rowOff>
    </xdr:from>
    <xdr:to>
      <xdr:col>18</xdr:col>
      <xdr:colOff>587487</xdr:colOff>
      <xdr:row>13</xdr:row>
      <xdr:rowOff>153394</xdr:rowOff>
    </xdr:to>
    <xdr:sp macro="" textlink="">
      <xdr:nvSpPr>
        <xdr:cNvPr id="12" name="Rounded Rectangle 11"/>
        <xdr:cNvSpPr/>
      </xdr:nvSpPr>
      <xdr:spPr>
        <a:xfrm>
          <a:off x="10605952" y="1546081"/>
          <a:ext cx="2157984" cy="1033272"/>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2">
                  <a:lumMod val="75000"/>
                </a:schemeClr>
              </a:solidFill>
              <a:effectLst/>
              <a:latin typeface="+mn-lt"/>
              <a:ea typeface="+mn-ea"/>
              <a:cs typeface="+mn-cs"/>
            </a:rPr>
            <a:t>Total Orders </a:t>
          </a:r>
        </a:p>
        <a:p>
          <a:pPr algn="ctr"/>
          <a:r>
            <a:rPr lang="en-US" sz="3200" b="1" i="0" u="none" strike="noStrike">
              <a:solidFill>
                <a:schemeClr val="tx1">
                  <a:lumMod val="95000"/>
                  <a:lumOff val="5000"/>
                </a:schemeClr>
              </a:solidFill>
              <a:effectLst/>
              <a:latin typeface="+mn-lt"/>
              <a:ea typeface="+mn-ea"/>
              <a:cs typeface="+mn-cs"/>
            </a:rPr>
            <a:t>1,999</a:t>
          </a:r>
        </a:p>
        <a:p>
          <a:pPr algn="ctr"/>
          <a:r>
            <a:rPr lang="en-US">
              <a:solidFill>
                <a:schemeClr val="tx1">
                  <a:lumMod val="95000"/>
                  <a:lumOff val="5000"/>
                </a:schemeClr>
              </a:solidFill>
            </a:rPr>
            <a:t> </a:t>
          </a:r>
          <a:endParaRPr lang="en-US" sz="1100">
            <a:solidFill>
              <a:schemeClr val="tx1">
                <a:lumMod val="95000"/>
                <a:lumOff val="5000"/>
              </a:schemeClr>
            </a:solidFill>
          </a:endParaRPr>
        </a:p>
      </xdr:txBody>
    </xdr:sp>
    <xdr:clientData/>
  </xdr:twoCellAnchor>
  <xdr:twoCellAnchor>
    <xdr:from>
      <xdr:col>0</xdr:col>
      <xdr:colOff>0</xdr:colOff>
      <xdr:row>16</xdr:row>
      <xdr:rowOff>0</xdr:rowOff>
    </xdr:from>
    <xdr:to>
      <xdr:col>8</xdr:col>
      <xdr:colOff>87086</xdr:colOff>
      <xdr:row>35</xdr:row>
      <xdr:rowOff>43543</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186611</xdr:rowOff>
    </xdr:from>
    <xdr:to>
      <xdr:col>19</xdr:col>
      <xdr:colOff>134734</xdr:colOff>
      <xdr:row>35</xdr:row>
      <xdr:rowOff>47958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0</xdr:rowOff>
    </xdr:from>
    <xdr:to>
      <xdr:col>8</xdr:col>
      <xdr:colOff>88081</xdr:colOff>
      <xdr:row>60</xdr:row>
      <xdr:rowOff>47959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41</xdr:row>
      <xdr:rowOff>0</xdr:rowOff>
    </xdr:from>
    <xdr:to>
      <xdr:col>19</xdr:col>
      <xdr:colOff>134734</xdr:colOff>
      <xdr:row>60</xdr:row>
      <xdr:rowOff>47959</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4806</xdr:colOff>
      <xdr:row>7</xdr:row>
      <xdr:rowOff>158965</xdr:rowOff>
    </xdr:from>
    <xdr:to>
      <xdr:col>24</xdr:col>
      <xdr:colOff>14139</xdr:colOff>
      <xdr:row>13</xdr:row>
      <xdr:rowOff>341183</xdr:rowOff>
    </xdr:to>
    <mc:AlternateContent xmlns:mc="http://schemas.openxmlformats.org/markup-compatibility/2006">
      <mc:Choice xmlns:a14="http://schemas.microsoft.com/office/drawing/2010/main" Requires="a14">
        <xdr:graphicFrame macro="">
          <xdr:nvGraphicFramePr>
            <xdr:cNvPr id="1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145768" y="1389888"/>
              <a:ext cx="1855717" cy="1237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542310</xdr:colOff>
      <xdr:row>7</xdr:row>
      <xdr:rowOff>156524</xdr:rowOff>
    </xdr:from>
    <xdr:to>
      <xdr:col>28</xdr:col>
      <xdr:colOff>551642</xdr:colOff>
      <xdr:row>13</xdr:row>
      <xdr:rowOff>340048</xdr:rowOff>
    </xdr:to>
    <mc:AlternateContent xmlns:mc="http://schemas.openxmlformats.org/markup-compatibility/2006">
      <mc:Choice xmlns:a14="http://schemas.microsoft.com/office/drawing/2010/main" Requires="a14">
        <xdr:graphicFrame macro="">
          <xdr:nvGraphicFramePr>
            <xdr:cNvPr id="1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145118" y="1387447"/>
              <a:ext cx="1855716" cy="1238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7436</xdr:colOff>
      <xdr:row>7</xdr:row>
      <xdr:rowOff>159566</xdr:rowOff>
    </xdr:from>
    <xdr:to>
      <xdr:col>24</xdr:col>
      <xdr:colOff>16767</xdr:colOff>
      <xdr:row>13</xdr:row>
      <xdr:rowOff>343090</xdr:rowOff>
    </xdr:to>
    <mc:AlternateContent xmlns:mc="http://schemas.openxmlformats.org/markup-compatibility/2006">
      <mc:Choice xmlns:a14="http://schemas.microsoft.com/office/drawing/2010/main" Requires="a14">
        <xdr:graphicFrame macro="">
          <xdr:nvGraphicFramePr>
            <xdr:cNvPr id="1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48398" y="1390489"/>
              <a:ext cx="1855715" cy="1238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364434</xdr:colOff>
      <xdr:row>20</xdr:row>
      <xdr:rowOff>115957</xdr:rowOff>
    </xdr:from>
    <xdr:to>
      <xdr:col>36</xdr:col>
      <xdr:colOff>149086</xdr:colOff>
      <xdr:row>49</xdr:row>
      <xdr:rowOff>33130</xdr:rowOff>
    </xdr:to>
    <xdr:sp macro="" textlink="">
      <xdr:nvSpPr>
        <xdr:cNvPr id="2" name="Rectangle 1"/>
        <xdr:cNvSpPr/>
      </xdr:nvSpPr>
      <xdr:spPr>
        <a:xfrm>
          <a:off x="13881651" y="3942522"/>
          <a:ext cx="9591261" cy="5201478"/>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ctr"/>
          <a:r>
            <a:rPr lang="en-US" sz="3200" b="1" i="1" u="sng">
              <a:solidFill>
                <a:schemeClr val="tx1"/>
              </a:solidFill>
            </a:rPr>
            <a:t>Key Insights  </a:t>
          </a:r>
        </a:p>
        <a:p>
          <a:pPr algn="l"/>
          <a:endParaRPr lang="en-US" sz="1100"/>
        </a:p>
        <a:p>
          <a:pPr algn="l"/>
          <a:endParaRPr lang="en-US" sz="1100"/>
        </a:p>
        <a:p>
          <a:pPr marL="457200" indent="-457200">
            <a:buFont typeface="Arial" panose="020B0604020202020204" pitchFamily="34" charset="0"/>
            <a:buChar char="•"/>
          </a:pPr>
          <a:r>
            <a:rPr lang="en-US" sz="2800">
              <a:solidFill>
                <a:schemeClr val="tx1"/>
              </a:solidFill>
            </a:rPr>
            <a:t>West region generates highest sales but slightly lower profit margin.</a:t>
          </a:r>
        </a:p>
        <a:p>
          <a:pPr marL="457200" indent="-457200">
            <a:buFont typeface="Arial" panose="020B0604020202020204" pitchFamily="34" charset="0"/>
            <a:buChar char="•"/>
          </a:pPr>
          <a:r>
            <a:rPr lang="en-US" sz="2800">
              <a:solidFill>
                <a:schemeClr val="tx1"/>
              </a:solidFill>
            </a:rPr>
            <a:t>Electronics category contributes the largest share of total revenue.</a:t>
          </a:r>
        </a:p>
        <a:p>
          <a:pPr marL="457200" indent="-457200">
            <a:buFont typeface="Arial" panose="020B0604020202020204" pitchFamily="34" charset="0"/>
            <a:buChar char="•"/>
          </a:pPr>
          <a:r>
            <a:rPr lang="en-US" sz="2800">
              <a:solidFill>
                <a:schemeClr val="tx1"/>
              </a:solidFill>
            </a:rPr>
            <a:t>Top 5 products drive a significant portion of overall profit.</a:t>
          </a:r>
        </a:p>
        <a:p>
          <a:pPr marL="457200" indent="-457200">
            <a:buFont typeface="Arial" panose="020B0604020202020204" pitchFamily="34" charset="0"/>
            <a:buChar char="•"/>
          </a:pPr>
          <a:r>
            <a:rPr lang="en-US" sz="2800">
              <a:solidFill>
                <a:schemeClr val="tx1"/>
              </a:solidFill>
            </a:rPr>
            <a:t>Sales peak toward the final months, indicating seasonal demand.</a:t>
          </a:r>
        </a:p>
        <a:p>
          <a:pPr algn="l"/>
          <a:endParaRPr lang="en-US" sz="1100"/>
        </a:p>
      </xdr:txBody>
    </xdr:sp>
    <xdr:clientData/>
  </xdr:twoCellAnchor>
  <xdr:twoCellAnchor editAs="oneCell">
    <xdr:from>
      <xdr:col>30</xdr:col>
      <xdr:colOff>322385</xdr:colOff>
      <xdr:row>8</xdr:row>
      <xdr:rowOff>0</xdr:rowOff>
    </xdr:from>
    <xdr:to>
      <xdr:col>33</xdr:col>
      <xdr:colOff>304800</xdr:colOff>
      <xdr:row>14</xdr:row>
      <xdr:rowOff>0</xdr:rowOff>
    </xdr:to>
    <mc:AlternateContent xmlns:mc="http://schemas.openxmlformats.org/markup-compatibility/2006">
      <mc:Choice xmlns:a14="http://schemas.microsoft.com/office/drawing/2010/main" Requires="a14">
        <xdr:graphicFrame macro="">
          <xdr:nvGraphicFramePr>
            <xdr:cNvPr id="20"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0002500" y="1406769"/>
              <a:ext cx="1828800" cy="1245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SHANT" refreshedDate="46069.666457407409" createdVersion="6" refreshedVersion="6" minRefreshableVersion="3" recordCount="1999">
  <cacheSource type="worksheet">
    <worksheetSource name="Table1"/>
  </cacheSource>
  <cacheFields count="12">
    <cacheField name="Order_ID" numFmtId="0">
      <sharedItems containsSemiMixedTypes="0" containsString="0" containsNumber="1" containsInteger="1" minValue="1" maxValue="1999" count="19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sharedItems>
    </cacheField>
    <cacheField name="Order_Date" numFmtId="14">
      <sharedItems containsSemiMixedTypes="0" containsNonDate="0" containsDate="1" containsString="0" minDate="2023-01-01T00:00:00" maxDate="2023-12-28T00:00:00"/>
    </cacheField>
    <cacheField name="Region" numFmtId="0">
      <sharedItems count="4">
        <s v="North"/>
        <s v="South"/>
        <s v="East"/>
        <s v="West"/>
      </sharedItems>
    </cacheField>
    <cacheField name="Category" numFmtId="0">
      <sharedItems count="4">
        <s v="Electronics"/>
        <s v="Clothing"/>
        <s v="Office Supplies"/>
        <s v="Furniture"/>
      </sharedItems>
    </cacheField>
    <cacheField name="Product" numFmtId="0">
      <sharedItems count="50">
        <s v="Product-35"/>
        <s v="Product-41"/>
        <s v="Product-17"/>
        <s v="Product-50"/>
        <s v="Product-27"/>
        <s v="Product-10"/>
        <s v="Product-49"/>
        <s v="Product-21"/>
        <s v="Product-46"/>
        <s v="Product-4"/>
        <s v="Product-47"/>
        <s v="Product-38"/>
        <s v="Product-42"/>
        <s v="Product-44"/>
        <s v="Product-16"/>
        <s v="Product-13"/>
        <s v="Product-8"/>
        <s v="Product-15"/>
        <s v="Product-45"/>
        <s v="Product-25"/>
        <s v="Product-48"/>
        <s v="Product-18"/>
        <s v="Product-33"/>
        <s v="Product-31"/>
        <s v="Product-22"/>
        <s v="Product-29"/>
        <s v="Product-39"/>
        <s v="Product-43"/>
        <s v="Product-5"/>
        <s v="Product-34"/>
        <s v="Product-3"/>
        <s v="Product-2"/>
        <s v="Product-6"/>
        <s v="Product-23"/>
        <s v="Product-36"/>
        <s v="Product-1"/>
        <s v="Product-24"/>
        <s v="Product-20"/>
        <s v="Product-40"/>
        <s v="Product-11"/>
        <s v="Product-7"/>
        <s v="Product-14"/>
        <s v="Product-12"/>
        <s v="Product-37"/>
        <s v="Product-19"/>
        <s v="Product-32"/>
        <s v="Product-30"/>
        <s v="Product-28"/>
        <s v="Product-9"/>
        <s v="Product-26"/>
      </sharedItems>
    </cacheField>
    <cacheField name="Sales" numFmtId="0">
      <sharedItems containsSemiMixedTypes="0" containsString="0" containsNumber="1" containsInteger="1" minValue="500" maxValue="19996"/>
    </cacheField>
    <cacheField name="Quantity" numFmtId="0">
      <sharedItems containsSemiMixedTypes="0" containsString="0" containsNumber="1" containsInteger="1" minValue="1" maxValue="10"/>
    </cacheField>
    <cacheField name="Cost" numFmtId="0">
      <sharedItems containsSemiMixedTypes="0" containsString="0" containsNumber="1" minValue="326.95" maxValue="14987.25"/>
    </cacheField>
    <cacheField name="Profit" numFmtId="0">
      <sharedItems containsSemiMixedTypes="0" containsString="0" containsNumber="1" minValue="125" maxValue="7971.2000000000007"/>
    </cacheField>
    <cacheField name="Profit Margin %" numFmtId="9">
      <sharedItems containsSemiMixedTypes="0" containsString="0" containsNumber="1" minValue="0.25" maxValue="0.40000000000000008"/>
    </cacheField>
    <cacheField name="Month" numFmtId="0">
      <sharedItems count="12">
        <s v="Oct"/>
        <s v="Apr"/>
        <s v="Jun"/>
        <s v="Nov"/>
        <s v="May"/>
        <s v="Aug"/>
        <s v="Jul"/>
        <s v="Dec"/>
        <s v="Feb"/>
        <s v="Jan"/>
        <s v="Sep"/>
        <s v="Mar"/>
      </sharedItems>
    </cacheField>
    <cacheField name="Year" numFmtId="0">
      <sharedItems containsSemiMixedTypes="0" containsString="0" containsNumber="1" containsInteger="1" minValue="2023" maxValue="202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99">
  <r>
    <x v="0"/>
    <d v="2023-10-17T00:00:00"/>
    <x v="0"/>
    <x v="0"/>
    <x v="0"/>
    <n v="10167"/>
    <n v="5"/>
    <n v="6100.2"/>
    <n v="4066.8"/>
    <n v="0.4"/>
    <x v="0"/>
    <n v="2023"/>
  </r>
  <r>
    <x v="1"/>
    <d v="2023-10-20T00:00:00"/>
    <x v="1"/>
    <x v="1"/>
    <x v="1"/>
    <n v="8797"/>
    <n v="8"/>
    <n v="5718.05"/>
    <n v="3078.95"/>
    <n v="0.35"/>
    <x v="0"/>
    <n v="2023"/>
  </r>
  <r>
    <x v="2"/>
    <d v="2023-04-12T00:00:00"/>
    <x v="2"/>
    <x v="2"/>
    <x v="2"/>
    <n v="12067"/>
    <n v="9"/>
    <n v="8446.9"/>
    <n v="3620.1000000000004"/>
    <n v="0.30000000000000004"/>
    <x v="1"/>
    <n v="2023"/>
  </r>
  <r>
    <x v="3"/>
    <d v="2023-06-20T00:00:00"/>
    <x v="3"/>
    <x v="0"/>
    <x v="3"/>
    <n v="2630"/>
    <n v="10"/>
    <n v="1578"/>
    <n v="1052"/>
    <n v="0.4"/>
    <x v="2"/>
    <n v="2023"/>
  </r>
  <r>
    <x v="4"/>
    <d v="2023-11-21T00:00:00"/>
    <x v="0"/>
    <x v="1"/>
    <x v="4"/>
    <n v="1651"/>
    <n v="1"/>
    <n v="1073.1500000000001"/>
    <n v="577.84999999999991"/>
    <n v="0.34999999999999992"/>
    <x v="3"/>
    <n v="2023"/>
  </r>
  <r>
    <x v="5"/>
    <d v="2023-05-05T00:00:00"/>
    <x v="1"/>
    <x v="3"/>
    <x v="5"/>
    <n v="19983"/>
    <n v="2"/>
    <n v="14987.25"/>
    <n v="4995.75"/>
    <n v="0.25"/>
    <x v="4"/>
    <n v="2023"/>
  </r>
  <r>
    <x v="6"/>
    <d v="2023-08-06T00:00:00"/>
    <x v="2"/>
    <x v="2"/>
    <x v="6"/>
    <n v="19978"/>
    <n v="10"/>
    <n v="13984.599999999999"/>
    <n v="5993.4000000000015"/>
    <n v="0.3000000000000001"/>
    <x v="5"/>
    <n v="2023"/>
  </r>
  <r>
    <x v="7"/>
    <d v="2023-04-08T00:00:00"/>
    <x v="3"/>
    <x v="2"/>
    <x v="7"/>
    <n v="1658"/>
    <n v="10"/>
    <n v="1160.5999999999999"/>
    <n v="497.40000000000009"/>
    <n v="0.30000000000000004"/>
    <x v="1"/>
    <n v="2023"/>
  </r>
  <r>
    <x v="8"/>
    <d v="2023-11-27T00:00:00"/>
    <x v="0"/>
    <x v="0"/>
    <x v="8"/>
    <n v="16034"/>
    <n v="3"/>
    <n v="9620.4"/>
    <n v="6413.6"/>
    <n v="0.4"/>
    <x v="3"/>
    <n v="2023"/>
  </r>
  <r>
    <x v="9"/>
    <d v="2023-08-18T00:00:00"/>
    <x v="1"/>
    <x v="1"/>
    <x v="9"/>
    <n v="4710"/>
    <n v="6"/>
    <n v="3061.5"/>
    <n v="1648.5"/>
    <n v="0.35"/>
    <x v="5"/>
    <n v="2023"/>
  </r>
  <r>
    <x v="10"/>
    <d v="2023-04-20T00:00:00"/>
    <x v="2"/>
    <x v="1"/>
    <x v="7"/>
    <n v="3492"/>
    <n v="7"/>
    <n v="2269.8000000000002"/>
    <n v="1222.1999999999998"/>
    <n v="0.34999999999999992"/>
    <x v="1"/>
    <n v="2023"/>
  </r>
  <r>
    <x v="11"/>
    <d v="2023-05-18T00:00:00"/>
    <x v="3"/>
    <x v="2"/>
    <x v="10"/>
    <n v="13023"/>
    <n v="9"/>
    <n v="9116.0999999999985"/>
    <n v="3906.9000000000015"/>
    <n v="0.3000000000000001"/>
    <x v="4"/>
    <n v="2023"/>
  </r>
  <r>
    <x v="12"/>
    <d v="2023-07-02T00:00:00"/>
    <x v="0"/>
    <x v="3"/>
    <x v="11"/>
    <n v="14620"/>
    <n v="5"/>
    <n v="10965"/>
    <n v="3655"/>
    <n v="0.25"/>
    <x v="6"/>
    <n v="2023"/>
  </r>
  <r>
    <x v="13"/>
    <d v="2023-12-26T00:00:00"/>
    <x v="1"/>
    <x v="2"/>
    <x v="12"/>
    <n v="6258"/>
    <n v="3"/>
    <n v="4380.5999999999995"/>
    <n v="1877.4000000000005"/>
    <n v="0.3000000000000001"/>
    <x v="7"/>
    <n v="2023"/>
  </r>
  <r>
    <x v="14"/>
    <d v="2023-02-08T00:00:00"/>
    <x v="2"/>
    <x v="3"/>
    <x v="13"/>
    <n v="9498"/>
    <n v="5"/>
    <n v="7123.5"/>
    <n v="2374.5"/>
    <n v="0.25"/>
    <x v="8"/>
    <n v="2023"/>
  </r>
  <r>
    <x v="15"/>
    <d v="2023-06-12T00:00:00"/>
    <x v="3"/>
    <x v="0"/>
    <x v="14"/>
    <n v="4235"/>
    <n v="8"/>
    <n v="2541"/>
    <n v="1694"/>
    <n v="0.4"/>
    <x v="2"/>
    <n v="2023"/>
  </r>
  <r>
    <x v="16"/>
    <d v="2023-01-27T00:00:00"/>
    <x v="0"/>
    <x v="2"/>
    <x v="15"/>
    <n v="4991"/>
    <n v="5"/>
    <n v="3493.7"/>
    <n v="1497.3000000000002"/>
    <n v="0.30000000000000004"/>
    <x v="9"/>
    <n v="2023"/>
  </r>
  <r>
    <x v="17"/>
    <d v="2023-09-11T00:00:00"/>
    <x v="1"/>
    <x v="1"/>
    <x v="16"/>
    <n v="16960"/>
    <n v="2"/>
    <n v="11024"/>
    <n v="5936"/>
    <n v="0.35"/>
    <x v="10"/>
    <n v="2023"/>
  </r>
  <r>
    <x v="18"/>
    <d v="2023-11-10T00:00:00"/>
    <x v="2"/>
    <x v="3"/>
    <x v="17"/>
    <n v="16437"/>
    <n v="4"/>
    <n v="12327.75"/>
    <n v="4109.25"/>
    <n v="0.25"/>
    <x v="3"/>
    <n v="2023"/>
  </r>
  <r>
    <x v="19"/>
    <d v="2023-09-05T00:00:00"/>
    <x v="3"/>
    <x v="3"/>
    <x v="18"/>
    <n v="10783"/>
    <n v="8"/>
    <n v="8087.25"/>
    <n v="2695.75"/>
    <n v="0.25"/>
    <x v="10"/>
    <n v="2023"/>
  </r>
  <r>
    <x v="20"/>
    <d v="2023-09-19T00:00:00"/>
    <x v="0"/>
    <x v="0"/>
    <x v="14"/>
    <n v="7434"/>
    <n v="10"/>
    <n v="4460.3999999999996"/>
    <n v="2973.6000000000004"/>
    <n v="0.4"/>
    <x v="10"/>
    <n v="2023"/>
  </r>
  <r>
    <x v="21"/>
    <d v="2023-12-17T00:00:00"/>
    <x v="1"/>
    <x v="1"/>
    <x v="19"/>
    <n v="17118"/>
    <n v="6"/>
    <n v="11126.7"/>
    <n v="5991.2999999999993"/>
    <n v="0.35"/>
    <x v="7"/>
    <n v="2023"/>
  </r>
  <r>
    <x v="22"/>
    <d v="2023-06-21T00:00:00"/>
    <x v="2"/>
    <x v="0"/>
    <x v="17"/>
    <n v="17366"/>
    <n v="5"/>
    <n v="10419.6"/>
    <n v="6946.4"/>
    <n v="0.39999999999999997"/>
    <x v="2"/>
    <n v="2023"/>
  </r>
  <r>
    <x v="23"/>
    <d v="2023-09-12T00:00:00"/>
    <x v="3"/>
    <x v="2"/>
    <x v="20"/>
    <n v="1077"/>
    <n v="3"/>
    <n v="753.9"/>
    <n v="323.10000000000002"/>
    <n v="0.30000000000000004"/>
    <x v="10"/>
    <n v="2023"/>
  </r>
  <r>
    <x v="24"/>
    <d v="2023-07-17T00:00:00"/>
    <x v="0"/>
    <x v="0"/>
    <x v="21"/>
    <n v="8742"/>
    <n v="8"/>
    <n v="5245.2"/>
    <n v="3496.8"/>
    <n v="0.4"/>
    <x v="6"/>
    <n v="2023"/>
  </r>
  <r>
    <x v="25"/>
    <d v="2023-04-03T00:00:00"/>
    <x v="1"/>
    <x v="1"/>
    <x v="15"/>
    <n v="11548"/>
    <n v="10"/>
    <n v="7506.2"/>
    <n v="4041.8"/>
    <n v="0.35000000000000003"/>
    <x v="1"/>
    <n v="2023"/>
  </r>
  <r>
    <x v="26"/>
    <d v="2023-04-14T00:00:00"/>
    <x v="2"/>
    <x v="3"/>
    <x v="14"/>
    <n v="17994"/>
    <n v="4"/>
    <n v="13495.5"/>
    <n v="4498.5"/>
    <n v="0.25"/>
    <x v="1"/>
    <n v="2023"/>
  </r>
  <r>
    <x v="27"/>
    <d v="2023-01-04T00:00:00"/>
    <x v="3"/>
    <x v="2"/>
    <x v="10"/>
    <n v="4575"/>
    <n v="10"/>
    <n v="3202.5"/>
    <n v="1372.5"/>
    <n v="0.3"/>
    <x v="9"/>
    <n v="2023"/>
  </r>
  <r>
    <x v="28"/>
    <d v="2023-08-06T00:00:00"/>
    <x v="0"/>
    <x v="1"/>
    <x v="20"/>
    <n v="12256"/>
    <n v="10"/>
    <n v="7966.4000000000005"/>
    <n v="4289.5999999999995"/>
    <n v="0.35"/>
    <x v="5"/>
    <n v="2023"/>
  </r>
  <r>
    <x v="29"/>
    <d v="2023-12-14T00:00:00"/>
    <x v="1"/>
    <x v="2"/>
    <x v="22"/>
    <n v="6785"/>
    <n v="6"/>
    <n v="4749.5"/>
    <n v="2035.5"/>
    <n v="0.3"/>
    <x v="7"/>
    <n v="2023"/>
  </r>
  <r>
    <x v="30"/>
    <d v="2023-03-11T00:00:00"/>
    <x v="2"/>
    <x v="3"/>
    <x v="23"/>
    <n v="2098"/>
    <n v="2"/>
    <n v="1573.5"/>
    <n v="524.5"/>
    <n v="0.25"/>
    <x v="11"/>
    <n v="2023"/>
  </r>
  <r>
    <x v="31"/>
    <d v="2023-10-14T00:00:00"/>
    <x v="3"/>
    <x v="3"/>
    <x v="24"/>
    <n v="11046"/>
    <n v="3"/>
    <n v="8284.5"/>
    <n v="2761.5"/>
    <n v="0.25"/>
    <x v="0"/>
    <n v="2023"/>
  </r>
  <r>
    <x v="32"/>
    <d v="2023-04-28T00:00:00"/>
    <x v="0"/>
    <x v="0"/>
    <x v="23"/>
    <n v="4661"/>
    <n v="7"/>
    <n v="2796.6"/>
    <n v="1864.4"/>
    <n v="0.4"/>
    <x v="1"/>
    <n v="2023"/>
  </r>
  <r>
    <x v="33"/>
    <d v="2023-02-06T00:00:00"/>
    <x v="1"/>
    <x v="0"/>
    <x v="25"/>
    <n v="17058"/>
    <n v="8"/>
    <n v="10234.799999999999"/>
    <n v="6823.2000000000007"/>
    <n v="0.4"/>
    <x v="8"/>
    <n v="2023"/>
  </r>
  <r>
    <x v="34"/>
    <d v="2023-07-24T00:00:00"/>
    <x v="2"/>
    <x v="0"/>
    <x v="26"/>
    <n v="14741"/>
    <n v="7"/>
    <n v="8844.6"/>
    <n v="5896.4"/>
    <n v="0.39999999999999997"/>
    <x v="6"/>
    <n v="2023"/>
  </r>
  <r>
    <x v="35"/>
    <d v="2023-02-19T00:00:00"/>
    <x v="3"/>
    <x v="0"/>
    <x v="7"/>
    <n v="16812"/>
    <n v="7"/>
    <n v="10087.199999999999"/>
    <n v="6724.8000000000011"/>
    <n v="0.40000000000000008"/>
    <x v="8"/>
    <n v="2023"/>
  </r>
  <r>
    <x v="36"/>
    <d v="2023-02-01T00:00:00"/>
    <x v="0"/>
    <x v="0"/>
    <x v="8"/>
    <n v="3116"/>
    <n v="1"/>
    <n v="1869.6"/>
    <n v="1246.4000000000001"/>
    <n v="0.4"/>
    <x v="8"/>
    <n v="2023"/>
  </r>
  <r>
    <x v="37"/>
    <d v="2023-05-06T00:00:00"/>
    <x v="1"/>
    <x v="0"/>
    <x v="27"/>
    <n v="18232"/>
    <n v="7"/>
    <n v="10939.199999999999"/>
    <n v="7292.8000000000011"/>
    <n v="0.40000000000000008"/>
    <x v="4"/>
    <n v="2023"/>
  </r>
  <r>
    <x v="38"/>
    <d v="2023-08-06T00:00:00"/>
    <x v="2"/>
    <x v="1"/>
    <x v="28"/>
    <n v="7598"/>
    <n v="5"/>
    <n v="4938.7"/>
    <n v="2659.3"/>
    <n v="0.35000000000000003"/>
    <x v="5"/>
    <n v="2023"/>
  </r>
  <r>
    <x v="39"/>
    <d v="2023-01-17T00:00:00"/>
    <x v="3"/>
    <x v="3"/>
    <x v="26"/>
    <n v="13967"/>
    <n v="10"/>
    <n v="10475.25"/>
    <n v="3491.75"/>
    <n v="0.25"/>
    <x v="9"/>
    <n v="2023"/>
  </r>
  <r>
    <x v="40"/>
    <d v="2023-10-11T00:00:00"/>
    <x v="0"/>
    <x v="3"/>
    <x v="29"/>
    <n v="11256"/>
    <n v="9"/>
    <n v="8442"/>
    <n v="2814"/>
    <n v="0.25"/>
    <x v="0"/>
    <n v="2023"/>
  </r>
  <r>
    <x v="41"/>
    <d v="2023-06-13T00:00:00"/>
    <x v="1"/>
    <x v="2"/>
    <x v="15"/>
    <n v="13703"/>
    <n v="7"/>
    <n v="9592.0999999999985"/>
    <n v="4110.9000000000015"/>
    <n v="0.3000000000000001"/>
    <x v="2"/>
    <n v="2023"/>
  </r>
  <r>
    <x v="42"/>
    <d v="2023-05-15T00:00:00"/>
    <x v="2"/>
    <x v="3"/>
    <x v="5"/>
    <n v="18435"/>
    <n v="1"/>
    <n v="13826.25"/>
    <n v="4608.75"/>
    <n v="0.25"/>
    <x v="4"/>
    <n v="2023"/>
  </r>
  <r>
    <x v="43"/>
    <d v="2023-12-22T00:00:00"/>
    <x v="3"/>
    <x v="3"/>
    <x v="2"/>
    <n v="19909"/>
    <n v="5"/>
    <n v="14931.75"/>
    <n v="4977.25"/>
    <n v="0.25"/>
    <x v="7"/>
    <n v="2023"/>
  </r>
  <r>
    <x v="44"/>
    <d v="2023-03-11T00:00:00"/>
    <x v="0"/>
    <x v="0"/>
    <x v="30"/>
    <n v="7851"/>
    <n v="5"/>
    <n v="4710.5999999999995"/>
    <n v="3140.4000000000005"/>
    <n v="0.40000000000000008"/>
    <x v="11"/>
    <n v="2023"/>
  </r>
  <r>
    <x v="45"/>
    <d v="2023-11-03T00:00:00"/>
    <x v="1"/>
    <x v="2"/>
    <x v="31"/>
    <n v="19882"/>
    <n v="4"/>
    <n v="13917.4"/>
    <n v="5964.6"/>
    <n v="0.30000000000000004"/>
    <x v="3"/>
    <n v="2023"/>
  </r>
  <r>
    <x v="46"/>
    <d v="2023-07-27T00:00:00"/>
    <x v="2"/>
    <x v="1"/>
    <x v="25"/>
    <n v="11681"/>
    <n v="8"/>
    <n v="7592.6500000000005"/>
    <n v="4088.3499999999995"/>
    <n v="0.35"/>
    <x v="6"/>
    <n v="2023"/>
  </r>
  <r>
    <x v="47"/>
    <d v="2023-12-16T00:00:00"/>
    <x v="3"/>
    <x v="1"/>
    <x v="32"/>
    <n v="3730"/>
    <n v="1"/>
    <n v="2424.5"/>
    <n v="1305.5"/>
    <n v="0.35"/>
    <x v="7"/>
    <n v="2023"/>
  </r>
  <r>
    <x v="48"/>
    <d v="2023-02-27T00:00:00"/>
    <x v="0"/>
    <x v="3"/>
    <x v="24"/>
    <n v="15133"/>
    <n v="7"/>
    <n v="11349.75"/>
    <n v="3783.25"/>
    <n v="0.25"/>
    <x v="8"/>
    <n v="2023"/>
  </r>
  <r>
    <x v="49"/>
    <d v="2023-12-16T00:00:00"/>
    <x v="1"/>
    <x v="0"/>
    <x v="33"/>
    <n v="17806"/>
    <n v="2"/>
    <n v="10683.6"/>
    <n v="7122.4"/>
    <n v="0.39999999999999997"/>
    <x v="7"/>
    <n v="2023"/>
  </r>
  <r>
    <x v="50"/>
    <d v="2023-03-04T00:00:00"/>
    <x v="2"/>
    <x v="0"/>
    <x v="34"/>
    <n v="15936"/>
    <n v="2"/>
    <n v="9561.6"/>
    <n v="6374.4"/>
    <n v="0.39999999999999997"/>
    <x v="11"/>
    <n v="2023"/>
  </r>
  <r>
    <x v="51"/>
    <d v="2023-05-01T00:00:00"/>
    <x v="3"/>
    <x v="1"/>
    <x v="3"/>
    <n v="11586"/>
    <n v="3"/>
    <n v="7530.9000000000005"/>
    <n v="4055.0999999999995"/>
    <n v="0.35"/>
    <x v="4"/>
    <n v="2023"/>
  </r>
  <r>
    <x v="52"/>
    <d v="2023-02-28T00:00:00"/>
    <x v="0"/>
    <x v="2"/>
    <x v="29"/>
    <n v="12743"/>
    <n v="8"/>
    <n v="8920.0999999999985"/>
    <n v="3822.9000000000015"/>
    <n v="0.3000000000000001"/>
    <x v="8"/>
    <n v="2023"/>
  </r>
  <r>
    <x v="53"/>
    <d v="2023-05-27T00:00:00"/>
    <x v="1"/>
    <x v="3"/>
    <x v="30"/>
    <n v="3639"/>
    <n v="5"/>
    <n v="2729.25"/>
    <n v="909.75"/>
    <n v="0.25"/>
    <x v="4"/>
    <n v="2023"/>
  </r>
  <r>
    <x v="54"/>
    <d v="2023-12-16T00:00:00"/>
    <x v="2"/>
    <x v="3"/>
    <x v="2"/>
    <n v="11658"/>
    <n v="3"/>
    <n v="8743.5"/>
    <n v="2914.5"/>
    <n v="0.25"/>
    <x v="7"/>
    <n v="2023"/>
  </r>
  <r>
    <x v="55"/>
    <d v="2023-03-07T00:00:00"/>
    <x v="3"/>
    <x v="2"/>
    <x v="9"/>
    <n v="3272"/>
    <n v="2"/>
    <n v="2290.3999999999996"/>
    <n v="981.60000000000036"/>
    <n v="0.3000000000000001"/>
    <x v="11"/>
    <n v="2023"/>
  </r>
  <r>
    <x v="56"/>
    <d v="2023-11-15T00:00:00"/>
    <x v="0"/>
    <x v="0"/>
    <x v="35"/>
    <n v="13277"/>
    <n v="3"/>
    <n v="7966.2"/>
    <n v="5310.8"/>
    <n v="0.4"/>
    <x v="3"/>
    <n v="2023"/>
  </r>
  <r>
    <x v="57"/>
    <d v="2023-06-05T00:00:00"/>
    <x v="1"/>
    <x v="1"/>
    <x v="36"/>
    <n v="13672"/>
    <n v="1"/>
    <n v="8886.8000000000011"/>
    <n v="4785.1999999999989"/>
    <n v="0.34999999999999992"/>
    <x v="2"/>
    <n v="2023"/>
  </r>
  <r>
    <x v="58"/>
    <d v="2023-01-15T00:00:00"/>
    <x v="2"/>
    <x v="2"/>
    <x v="11"/>
    <n v="17668"/>
    <n v="1"/>
    <n v="12367.599999999999"/>
    <n v="5300.4000000000015"/>
    <n v="0.3000000000000001"/>
    <x v="9"/>
    <n v="2023"/>
  </r>
  <r>
    <x v="59"/>
    <d v="2023-10-16T00:00:00"/>
    <x v="3"/>
    <x v="3"/>
    <x v="23"/>
    <n v="19576"/>
    <n v="6"/>
    <n v="14682"/>
    <n v="4894"/>
    <n v="0.25"/>
    <x v="0"/>
    <n v="2023"/>
  </r>
  <r>
    <x v="60"/>
    <d v="2023-07-21T00:00:00"/>
    <x v="0"/>
    <x v="2"/>
    <x v="36"/>
    <n v="9725"/>
    <n v="1"/>
    <n v="6807.5"/>
    <n v="2917.5"/>
    <n v="0.3"/>
    <x v="6"/>
    <n v="2023"/>
  </r>
  <r>
    <x v="61"/>
    <d v="2023-07-14T00:00:00"/>
    <x v="1"/>
    <x v="0"/>
    <x v="9"/>
    <n v="19342"/>
    <n v="8"/>
    <n v="11605.199999999999"/>
    <n v="7736.8000000000011"/>
    <n v="0.40000000000000008"/>
    <x v="6"/>
    <n v="2023"/>
  </r>
  <r>
    <x v="62"/>
    <d v="2023-02-02T00:00:00"/>
    <x v="2"/>
    <x v="3"/>
    <x v="0"/>
    <n v="9361"/>
    <n v="2"/>
    <n v="7020.75"/>
    <n v="2340.25"/>
    <n v="0.25"/>
    <x v="8"/>
    <n v="2023"/>
  </r>
  <r>
    <x v="63"/>
    <d v="2023-06-14T00:00:00"/>
    <x v="3"/>
    <x v="1"/>
    <x v="29"/>
    <n v="6494"/>
    <n v="8"/>
    <n v="4221.1000000000004"/>
    <n v="2272.8999999999996"/>
    <n v="0.34999999999999992"/>
    <x v="2"/>
    <n v="2023"/>
  </r>
  <r>
    <x v="64"/>
    <d v="2023-10-06T00:00:00"/>
    <x v="0"/>
    <x v="3"/>
    <x v="10"/>
    <n v="7130"/>
    <n v="9"/>
    <n v="5347.5"/>
    <n v="1782.5"/>
    <n v="0.25"/>
    <x v="0"/>
    <n v="2023"/>
  </r>
  <r>
    <x v="65"/>
    <d v="2023-02-07T00:00:00"/>
    <x v="1"/>
    <x v="0"/>
    <x v="37"/>
    <n v="659"/>
    <n v="2"/>
    <n v="395.4"/>
    <n v="263.60000000000002"/>
    <n v="0.4"/>
    <x v="8"/>
    <n v="2023"/>
  </r>
  <r>
    <x v="66"/>
    <d v="2023-04-24T00:00:00"/>
    <x v="2"/>
    <x v="1"/>
    <x v="21"/>
    <n v="2113"/>
    <n v="3"/>
    <n v="1373.45"/>
    <n v="739.55"/>
    <n v="0.35"/>
    <x v="1"/>
    <n v="2023"/>
  </r>
  <r>
    <x v="67"/>
    <d v="2023-07-02T00:00:00"/>
    <x v="3"/>
    <x v="3"/>
    <x v="38"/>
    <n v="7957"/>
    <n v="10"/>
    <n v="5967.75"/>
    <n v="1989.25"/>
    <n v="0.25"/>
    <x v="6"/>
    <n v="2023"/>
  </r>
  <r>
    <x v="68"/>
    <d v="2023-02-27T00:00:00"/>
    <x v="0"/>
    <x v="1"/>
    <x v="37"/>
    <n v="13665"/>
    <n v="2"/>
    <n v="8882.25"/>
    <n v="4782.75"/>
    <n v="0.35"/>
    <x v="8"/>
    <n v="2023"/>
  </r>
  <r>
    <x v="69"/>
    <d v="2023-07-09T00:00:00"/>
    <x v="1"/>
    <x v="2"/>
    <x v="18"/>
    <n v="1923"/>
    <n v="7"/>
    <n v="1346.1"/>
    <n v="576.90000000000009"/>
    <n v="0.30000000000000004"/>
    <x v="6"/>
    <n v="2023"/>
  </r>
  <r>
    <x v="70"/>
    <d v="2023-02-21T00:00:00"/>
    <x v="2"/>
    <x v="2"/>
    <x v="17"/>
    <n v="15137"/>
    <n v="5"/>
    <n v="10595.9"/>
    <n v="4541.1000000000004"/>
    <n v="0.30000000000000004"/>
    <x v="8"/>
    <n v="2023"/>
  </r>
  <r>
    <x v="71"/>
    <d v="2023-01-08T00:00:00"/>
    <x v="3"/>
    <x v="0"/>
    <x v="34"/>
    <n v="17316"/>
    <n v="8"/>
    <n v="10389.6"/>
    <n v="6926.4"/>
    <n v="0.39999999999999997"/>
    <x v="9"/>
    <n v="2023"/>
  </r>
  <r>
    <x v="72"/>
    <d v="2023-03-13T00:00:00"/>
    <x v="0"/>
    <x v="0"/>
    <x v="36"/>
    <n v="13577"/>
    <n v="3"/>
    <n v="8146.2"/>
    <n v="5430.8"/>
    <n v="0.4"/>
    <x v="11"/>
    <n v="2023"/>
  </r>
  <r>
    <x v="73"/>
    <d v="2023-04-13T00:00:00"/>
    <x v="1"/>
    <x v="3"/>
    <x v="2"/>
    <n v="1050"/>
    <n v="3"/>
    <n v="787.5"/>
    <n v="262.5"/>
    <n v="0.25"/>
    <x v="1"/>
    <n v="2023"/>
  </r>
  <r>
    <x v="74"/>
    <d v="2023-04-07T00:00:00"/>
    <x v="2"/>
    <x v="3"/>
    <x v="38"/>
    <n v="5462"/>
    <n v="1"/>
    <n v="4096.5"/>
    <n v="1365.5"/>
    <n v="0.25"/>
    <x v="1"/>
    <n v="2023"/>
  </r>
  <r>
    <x v="75"/>
    <d v="2023-02-16T00:00:00"/>
    <x v="3"/>
    <x v="1"/>
    <x v="5"/>
    <n v="8142"/>
    <n v="9"/>
    <n v="5292.3"/>
    <n v="2849.7"/>
    <n v="0.35"/>
    <x v="8"/>
    <n v="2023"/>
  </r>
  <r>
    <x v="76"/>
    <d v="2023-12-26T00:00:00"/>
    <x v="0"/>
    <x v="0"/>
    <x v="25"/>
    <n v="14396"/>
    <n v="1"/>
    <n v="8637.6"/>
    <n v="5758.4"/>
    <n v="0.39999999999999997"/>
    <x v="7"/>
    <n v="2023"/>
  </r>
  <r>
    <x v="77"/>
    <d v="2023-04-08T00:00:00"/>
    <x v="1"/>
    <x v="1"/>
    <x v="39"/>
    <n v="8498"/>
    <n v="6"/>
    <n v="5523.7"/>
    <n v="2974.3"/>
    <n v="0.35000000000000003"/>
    <x v="1"/>
    <n v="2023"/>
  </r>
  <r>
    <x v="78"/>
    <d v="2023-02-25T00:00:00"/>
    <x v="2"/>
    <x v="2"/>
    <x v="40"/>
    <n v="3808"/>
    <n v="6"/>
    <n v="2665.6"/>
    <n v="1142.4000000000001"/>
    <n v="0.30000000000000004"/>
    <x v="8"/>
    <n v="2023"/>
  </r>
  <r>
    <x v="79"/>
    <d v="2023-10-15T00:00:00"/>
    <x v="3"/>
    <x v="1"/>
    <x v="33"/>
    <n v="16736"/>
    <n v="1"/>
    <n v="10878.4"/>
    <n v="5857.6"/>
    <n v="0.35000000000000003"/>
    <x v="0"/>
    <n v="2023"/>
  </r>
  <r>
    <x v="80"/>
    <d v="2023-01-10T00:00:00"/>
    <x v="0"/>
    <x v="1"/>
    <x v="41"/>
    <n v="4549"/>
    <n v="9"/>
    <n v="2956.85"/>
    <n v="1592.15"/>
    <n v="0.35000000000000003"/>
    <x v="9"/>
    <n v="2023"/>
  </r>
  <r>
    <x v="81"/>
    <d v="2023-12-23T00:00:00"/>
    <x v="1"/>
    <x v="3"/>
    <x v="28"/>
    <n v="17598"/>
    <n v="9"/>
    <n v="13198.5"/>
    <n v="4399.5"/>
    <n v="0.25"/>
    <x v="7"/>
    <n v="2023"/>
  </r>
  <r>
    <x v="82"/>
    <d v="2023-11-11T00:00:00"/>
    <x v="2"/>
    <x v="2"/>
    <x v="5"/>
    <n v="17641"/>
    <n v="2"/>
    <n v="12348.699999999999"/>
    <n v="5292.3000000000011"/>
    <n v="0.30000000000000004"/>
    <x v="3"/>
    <n v="2023"/>
  </r>
  <r>
    <x v="83"/>
    <d v="2023-03-09T00:00:00"/>
    <x v="3"/>
    <x v="0"/>
    <x v="35"/>
    <n v="3819"/>
    <n v="3"/>
    <n v="2291.4"/>
    <n v="1527.6"/>
    <n v="0.39999999999999997"/>
    <x v="11"/>
    <n v="2023"/>
  </r>
  <r>
    <x v="84"/>
    <d v="2023-09-07T00:00:00"/>
    <x v="0"/>
    <x v="3"/>
    <x v="11"/>
    <n v="5126"/>
    <n v="8"/>
    <n v="3844.5"/>
    <n v="1281.5"/>
    <n v="0.25"/>
    <x v="10"/>
    <n v="2023"/>
  </r>
  <r>
    <x v="85"/>
    <d v="2023-07-07T00:00:00"/>
    <x v="1"/>
    <x v="2"/>
    <x v="34"/>
    <n v="4444"/>
    <n v="9"/>
    <n v="3110.7999999999997"/>
    <n v="1333.2000000000003"/>
    <n v="0.30000000000000004"/>
    <x v="6"/>
    <n v="2023"/>
  </r>
  <r>
    <x v="86"/>
    <d v="2023-04-06T00:00:00"/>
    <x v="2"/>
    <x v="3"/>
    <x v="12"/>
    <n v="1082"/>
    <n v="4"/>
    <n v="811.5"/>
    <n v="270.5"/>
    <n v="0.25"/>
    <x v="1"/>
    <n v="2023"/>
  </r>
  <r>
    <x v="87"/>
    <d v="2023-10-14T00:00:00"/>
    <x v="3"/>
    <x v="1"/>
    <x v="34"/>
    <n v="6012"/>
    <n v="5"/>
    <n v="3907.8"/>
    <n v="2104.1999999999998"/>
    <n v="0.35"/>
    <x v="0"/>
    <n v="2023"/>
  </r>
  <r>
    <x v="88"/>
    <d v="2023-06-16T00:00:00"/>
    <x v="0"/>
    <x v="2"/>
    <x v="34"/>
    <n v="8710"/>
    <n v="6"/>
    <n v="6097"/>
    <n v="2613"/>
    <n v="0.3"/>
    <x v="2"/>
    <n v="2023"/>
  </r>
  <r>
    <x v="89"/>
    <d v="2023-03-25T00:00:00"/>
    <x v="1"/>
    <x v="2"/>
    <x v="23"/>
    <n v="12085"/>
    <n v="1"/>
    <n v="8459.5"/>
    <n v="3625.5"/>
    <n v="0.3"/>
    <x v="11"/>
    <n v="2023"/>
  </r>
  <r>
    <x v="90"/>
    <d v="2023-10-20T00:00:00"/>
    <x v="2"/>
    <x v="1"/>
    <x v="42"/>
    <n v="19569"/>
    <n v="4"/>
    <n v="12719.85"/>
    <n v="6849.15"/>
    <n v="0.35"/>
    <x v="0"/>
    <n v="2023"/>
  </r>
  <r>
    <x v="91"/>
    <d v="2023-09-01T00:00:00"/>
    <x v="3"/>
    <x v="0"/>
    <x v="23"/>
    <n v="2748"/>
    <n v="10"/>
    <n v="1648.8"/>
    <n v="1099.2"/>
    <n v="0.4"/>
    <x v="10"/>
    <n v="2023"/>
  </r>
  <r>
    <x v="92"/>
    <d v="2023-07-27T00:00:00"/>
    <x v="0"/>
    <x v="1"/>
    <x v="37"/>
    <n v="9448"/>
    <n v="2"/>
    <n v="6141.2"/>
    <n v="3306.8"/>
    <n v="0.35000000000000003"/>
    <x v="6"/>
    <n v="2023"/>
  </r>
  <r>
    <x v="93"/>
    <d v="2023-06-16T00:00:00"/>
    <x v="1"/>
    <x v="3"/>
    <x v="40"/>
    <n v="5976"/>
    <n v="7"/>
    <n v="4482"/>
    <n v="1494"/>
    <n v="0.25"/>
    <x v="2"/>
    <n v="2023"/>
  </r>
  <r>
    <x v="94"/>
    <d v="2023-05-17T00:00:00"/>
    <x v="2"/>
    <x v="2"/>
    <x v="43"/>
    <n v="17534"/>
    <n v="3"/>
    <n v="12273.8"/>
    <n v="5260.2000000000007"/>
    <n v="0.30000000000000004"/>
    <x v="4"/>
    <n v="2023"/>
  </r>
  <r>
    <x v="95"/>
    <d v="2023-02-28T00:00:00"/>
    <x v="3"/>
    <x v="0"/>
    <x v="30"/>
    <n v="17087"/>
    <n v="6"/>
    <n v="10252.199999999999"/>
    <n v="6834.8000000000011"/>
    <n v="0.40000000000000008"/>
    <x v="8"/>
    <n v="2023"/>
  </r>
  <r>
    <x v="96"/>
    <d v="2023-06-12T00:00:00"/>
    <x v="0"/>
    <x v="2"/>
    <x v="23"/>
    <n v="11046"/>
    <n v="10"/>
    <n v="7732.2"/>
    <n v="3313.8"/>
    <n v="0.3"/>
    <x v="2"/>
    <n v="2023"/>
  </r>
  <r>
    <x v="97"/>
    <d v="2023-02-13T00:00:00"/>
    <x v="1"/>
    <x v="0"/>
    <x v="8"/>
    <n v="1800"/>
    <n v="5"/>
    <n v="1080"/>
    <n v="720"/>
    <n v="0.4"/>
    <x v="8"/>
    <n v="2023"/>
  </r>
  <r>
    <x v="98"/>
    <d v="2023-08-20T00:00:00"/>
    <x v="2"/>
    <x v="0"/>
    <x v="16"/>
    <n v="8722"/>
    <n v="7"/>
    <n v="5233.2"/>
    <n v="3488.8"/>
    <n v="0.4"/>
    <x v="5"/>
    <n v="2023"/>
  </r>
  <r>
    <x v="99"/>
    <d v="2023-12-12T00:00:00"/>
    <x v="3"/>
    <x v="3"/>
    <x v="34"/>
    <n v="4829"/>
    <n v="3"/>
    <n v="3621.75"/>
    <n v="1207.25"/>
    <n v="0.25"/>
    <x v="7"/>
    <n v="2023"/>
  </r>
  <r>
    <x v="100"/>
    <d v="2023-10-15T00:00:00"/>
    <x v="0"/>
    <x v="1"/>
    <x v="12"/>
    <n v="13190"/>
    <n v="6"/>
    <n v="8573.5"/>
    <n v="4616.5"/>
    <n v="0.35"/>
    <x v="0"/>
    <n v="2023"/>
  </r>
  <r>
    <x v="101"/>
    <d v="2023-03-08T00:00:00"/>
    <x v="1"/>
    <x v="1"/>
    <x v="19"/>
    <n v="11869"/>
    <n v="10"/>
    <n v="7714.85"/>
    <n v="4154.1499999999996"/>
    <n v="0.35"/>
    <x v="11"/>
    <n v="2023"/>
  </r>
  <r>
    <x v="102"/>
    <d v="2023-02-21T00:00:00"/>
    <x v="2"/>
    <x v="3"/>
    <x v="44"/>
    <n v="3153"/>
    <n v="6"/>
    <n v="2364.75"/>
    <n v="788.25"/>
    <n v="0.25"/>
    <x v="8"/>
    <n v="2023"/>
  </r>
  <r>
    <x v="103"/>
    <d v="2023-02-26T00:00:00"/>
    <x v="3"/>
    <x v="2"/>
    <x v="45"/>
    <n v="9220"/>
    <n v="6"/>
    <n v="6454"/>
    <n v="2766"/>
    <n v="0.3"/>
    <x v="8"/>
    <n v="2023"/>
  </r>
  <r>
    <x v="104"/>
    <d v="2023-11-18T00:00:00"/>
    <x v="0"/>
    <x v="2"/>
    <x v="38"/>
    <n v="16505"/>
    <n v="1"/>
    <n v="11553.5"/>
    <n v="4951.5"/>
    <n v="0.3"/>
    <x v="3"/>
    <n v="2023"/>
  </r>
  <r>
    <x v="105"/>
    <d v="2023-06-16T00:00:00"/>
    <x v="1"/>
    <x v="2"/>
    <x v="0"/>
    <n v="4996"/>
    <n v="2"/>
    <n v="3497.2"/>
    <n v="1498.8000000000002"/>
    <n v="0.30000000000000004"/>
    <x v="2"/>
    <n v="2023"/>
  </r>
  <r>
    <x v="106"/>
    <d v="2023-03-21T00:00:00"/>
    <x v="2"/>
    <x v="0"/>
    <x v="4"/>
    <n v="3277"/>
    <n v="9"/>
    <n v="1966.1999999999998"/>
    <n v="1310.8000000000002"/>
    <n v="0.40000000000000008"/>
    <x v="11"/>
    <n v="2023"/>
  </r>
  <r>
    <x v="107"/>
    <d v="2023-01-04T00:00:00"/>
    <x v="3"/>
    <x v="0"/>
    <x v="24"/>
    <n v="18571"/>
    <n v="8"/>
    <n v="11142.6"/>
    <n v="7428.4"/>
    <n v="0.39999999999999997"/>
    <x v="9"/>
    <n v="2023"/>
  </r>
  <r>
    <x v="108"/>
    <d v="2023-08-07T00:00:00"/>
    <x v="0"/>
    <x v="0"/>
    <x v="5"/>
    <n v="2730"/>
    <n v="9"/>
    <n v="1638"/>
    <n v="1092"/>
    <n v="0.4"/>
    <x v="5"/>
    <n v="2023"/>
  </r>
  <r>
    <x v="109"/>
    <d v="2023-10-13T00:00:00"/>
    <x v="1"/>
    <x v="2"/>
    <x v="18"/>
    <n v="1072"/>
    <n v="2"/>
    <n v="750.4"/>
    <n v="321.60000000000002"/>
    <n v="0.30000000000000004"/>
    <x v="0"/>
    <n v="2023"/>
  </r>
  <r>
    <x v="110"/>
    <d v="2023-04-20T00:00:00"/>
    <x v="2"/>
    <x v="1"/>
    <x v="30"/>
    <n v="15677"/>
    <n v="2"/>
    <n v="10190.050000000001"/>
    <n v="5486.9499999999989"/>
    <n v="0.34999999999999992"/>
    <x v="1"/>
    <n v="2023"/>
  </r>
  <r>
    <x v="111"/>
    <d v="2023-12-10T00:00:00"/>
    <x v="3"/>
    <x v="2"/>
    <x v="46"/>
    <n v="8304"/>
    <n v="6"/>
    <n v="5812.7999999999993"/>
    <n v="2491.2000000000007"/>
    <n v="0.3000000000000001"/>
    <x v="7"/>
    <n v="2023"/>
  </r>
  <r>
    <x v="112"/>
    <d v="2023-10-16T00:00:00"/>
    <x v="0"/>
    <x v="0"/>
    <x v="7"/>
    <n v="14238"/>
    <n v="2"/>
    <n v="8542.7999999999993"/>
    <n v="5695.2000000000007"/>
    <n v="0.40000000000000008"/>
    <x v="0"/>
    <n v="2023"/>
  </r>
  <r>
    <x v="113"/>
    <d v="2023-02-10T00:00:00"/>
    <x v="1"/>
    <x v="3"/>
    <x v="37"/>
    <n v="829"/>
    <n v="10"/>
    <n v="621.75"/>
    <n v="207.25"/>
    <n v="0.25"/>
    <x v="8"/>
    <n v="2023"/>
  </r>
  <r>
    <x v="114"/>
    <d v="2023-08-07T00:00:00"/>
    <x v="2"/>
    <x v="3"/>
    <x v="44"/>
    <n v="9758"/>
    <n v="5"/>
    <n v="7318.5"/>
    <n v="2439.5"/>
    <n v="0.25"/>
    <x v="5"/>
    <n v="2023"/>
  </r>
  <r>
    <x v="115"/>
    <d v="2023-10-11T00:00:00"/>
    <x v="3"/>
    <x v="1"/>
    <x v="29"/>
    <n v="2209"/>
    <n v="4"/>
    <n v="1435.8500000000001"/>
    <n v="773.14999999999986"/>
    <n v="0.34999999999999992"/>
    <x v="0"/>
    <n v="2023"/>
  </r>
  <r>
    <x v="116"/>
    <d v="2023-06-10T00:00:00"/>
    <x v="0"/>
    <x v="2"/>
    <x v="46"/>
    <n v="11680"/>
    <n v="2"/>
    <n v="8175.9999999999991"/>
    <n v="3504.0000000000009"/>
    <n v="0.3000000000000001"/>
    <x v="2"/>
    <n v="2023"/>
  </r>
  <r>
    <x v="117"/>
    <d v="2023-10-12T00:00:00"/>
    <x v="1"/>
    <x v="2"/>
    <x v="47"/>
    <n v="12526"/>
    <n v="1"/>
    <n v="8768.1999999999989"/>
    <n v="3757.8000000000011"/>
    <n v="0.3000000000000001"/>
    <x v="0"/>
    <n v="2023"/>
  </r>
  <r>
    <x v="118"/>
    <d v="2023-02-10T00:00:00"/>
    <x v="2"/>
    <x v="2"/>
    <x v="38"/>
    <n v="7875"/>
    <n v="4"/>
    <n v="5512.5"/>
    <n v="2362.5"/>
    <n v="0.3"/>
    <x v="8"/>
    <n v="2023"/>
  </r>
  <r>
    <x v="119"/>
    <d v="2023-03-08T00:00:00"/>
    <x v="3"/>
    <x v="2"/>
    <x v="23"/>
    <n v="13742"/>
    <n v="5"/>
    <n v="9619.4"/>
    <n v="4122.6000000000004"/>
    <n v="0.30000000000000004"/>
    <x v="11"/>
    <n v="2023"/>
  </r>
  <r>
    <x v="120"/>
    <d v="2023-01-08T00:00:00"/>
    <x v="0"/>
    <x v="1"/>
    <x v="47"/>
    <n v="6433"/>
    <n v="7"/>
    <n v="4181.45"/>
    <n v="2251.5500000000002"/>
    <n v="0.35000000000000003"/>
    <x v="9"/>
    <n v="2023"/>
  </r>
  <r>
    <x v="121"/>
    <d v="2023-02-15T00:00:00"/>
    <x v="1"/>
    <x v="0"/>
    <x v="46"/>
    <n v="10800"/>
    <n v="4"/>
    <n v="6480"/>
    <n v="4320"/>
    <n v="0.4"/>
    <x v="8"/>
    <n v="2023"/>
  </r>
  <r>
    <x v="122"/>
    <d v="2023-11-12T00:00:00"/>
    <x v="2"/>
    <x v="3"/>
    <x v="18"/>
    <n v="808"/>
    <n v="6"/>
    <n v="606"/>
    <n v="202"/>
    <n v="0.25"/>
    <x v="3"/>
    <n v="2023"/>
  </r>
  <r>
    <x v="123"/>
    <d v="2023-09-15T00:00:00"/>
    <x v="3"/>
    <x v="1"/>
    <x v="6"/>
    <n v="10379"/>
    <n v="4"/>
    <n v="6746.35"/>
    <n v="3632.6499999999996"/>
    <n v="0.35"/>
    <x v="10"/>
    <n v="2023"/>
  </r>
  <r>
    <x v="124"/>
    <d v="2023-12-04T00:00:00"/>
    <x v="0"/>
    <x v="0"/>
    <x v="1"/>
    <n v="18404"/>
    <n v="7"/>
    <n v="11042.4"/>
    <n v="7361.6"/>
    <n v="0.4"/>
    <x v="7"/>
    <n v="2023"/>
  </r>
  <r>
    <x v="125"/>
    <d v="2023-07-06T00:00:00"/>
    <x v="1"/>
    <x v="1"/>
    <x v="2"/>
    <n v="5873"/>
    <n v="10"/>
    <n v="3817.4500000000003"/>
    <n v="2055.5499999999997"/>
    <n v="0.35"/>
    <x v="6"/>
    <n v="2023"/>
  </r>
  <r>
    <x v="126"/>
    <d v="2023-11-16T00:00:00"/>
    <x v="2"/>
    <x v="1"/>
    <x v="31"/>
    <n v="14502"/>
    <n v="3"/>
    <n v="9426.3000000000011"/>
    <n v="5075.6999999999989"/>
    <n v="0.34999999999999992"/>
    <x v="3"/>
    <n v="2023"/>
  </r>
  <r>
    <x v="127"/>
    <d v="2023-03-22T00:00:00"/>
    <x v="3"/>
    <x v="0"/>
    <x v="6"/>
    <n v="19367"/>
    <n v="5"/>
    <n v="11620.199999999999"/>
    <n v="7746.8000000000011"/>
    <n v="0.40000000000000008"/>
    <x v="11"/>
    <n v="2023"/>
  </r>
  <r>
    <x v="128"/>
    <d v="2023-01-09T00:00:00"/>
    <x v="0"/>
    <x v="3"/>
    <x v="47"/>
    <n v="5752"/>
    <n v="2"/>
    <n v="4314"/>
    <n v="1438"/>
    <n v="0.25"/>
    <x v="9"/>
    <n v="2023"/>
  </r>
  <r>
    <x v="129"/>
    <d v="2023-01-25T00:00:00"/>
    <x v="1"/>
    <x v="2"/>
    <x v="0"/>
    <n v="3757"/>
    <n v="9"/>
    <n v="2629.8999999999996"/>
    <n v="1127.1000000000004"/>
    <n v="0.3000000000000001"/>
    <x v="9"/>
    <n v="2023"/>
  </r>
  <r>
    <x v="130"/>
    <d v="2023-04-20T00:00:00"/>
    <x v="2"/>
    <x v="3"/>
    <x v="9"/>
    <n v="17887"/>
    <n v="5"/>
    <n v="13415.25"/>
    <n v="4471.75"/>
    <n v="0.25"/>
    <x v="1"/>
    <n v="2023"/>
  </r>
  <r>
    <x v="131"/>
    <d v="2023-04-19T00:00:00"/>
    <x v="3"/>
    <x v="0"/>
    <x v="17"/>
    <n v="6673"/>
    <n v="5"/>
    <n v="4003.7999999999997"/>
    <n v="2669.2000000000003"/>
    <n v="0.4"/>
    <x v="1"/>
    <n v="2023"/>
  </r>
  <r>
    <x v="132"/>
    <d v="2023-11-04T00:00:00"/>
    <x v="0"/>
    <x v="2"/>
    <x v="36"/>
    <n v="13238"/>
    <n v="8"/>
    <n v="9266.5999999999985"/>
    <n v="3971.4000000000015"/>
    <n v="0.3000000000000001"/>
    <x v="3"/>
    <n v="2023"/>
  </r>
  <r>
    <x v="133"/>
    <d v="2023-06-16T00:00:00"/>
    <x v="1"/>
    <x v="3"/>
    <x v="37"/>
    <n v="16743"/>
    <n v="7"/>
    <n v="12557.25"/>
    <n v="4185.75"/>
    <n v="0.25"/>
    <x v="2"/>
    <n v="2023"/>
  </r>
  <r>
    <x v="134"/>
    <d v="2023-12-16T00:00:00"/>
    <x v="2"/>
    <x v="0"/>
    <x v="27"/>
    <n v="17357"/>
    <n v="1"/>
    <n v="10414.199999999999"/>
    <n v="6942.8000000000011"/>
    <n v="0.40000000000000008"/>
    <x v="7"/>
    <n v="2023"/>
  </r>
  <r>
    <x v="135"/>
    <d v="2023-04-22T00:00:00"/>
    <x v="3"/>
    <x v="2"/>
    <x v="5"/>
    <n v="8092"/>
    <n v="7"/>
    <n v="5664.4"/>
    <n v="2427.6000000000004"/>
    <n v="0.30000000000000004"/>
    <x v="1"/>
    <n v="2023"/>
  </r>
  <r>
    <x v="136"/>
    <d v="2023-04-07T00:00:00"/>
    <x v="0"/>
    <x v="1"/>
    <x v="7"/>
    <n v="19274"/>
    <n v="1"/>
    <n v="12528.1"/>
    <n v="6745.9"/>
    <n v="0.35"/>
    <x v="1"/>
    <n v="2023"/>
  </r>
  <r>
    <x v="137"/>
    <d v="2023-10-22T00:00:00"/>
    <x v="1"/>
    <x v="0"/>
    <x v="26"/>
    <n v="1833"/>
    <n v="4"/>
    <n v="1099.8"/>
    <n v="733.2"/>
    <n v="0.4"/>
    <x v="0"/>
    <n v="2023"/>
  </r>
  <r>
    <x v="138"/>
    <d v="2023-01-17T00:00:00"/>
    <x v="2"/>
    <x v="2"/>
    <x v="33"/>
    <n v="7557"/>
    <n v="6"/>
    <n v="5289.9"/>
    <n v="2267.1000000000004"/>
    <n v="0.30000000000000004"/>
    <x v="9"/>
    <n v="2023"/>
  </r>
  <r>
    <x v="139"/>
    <d v="2023-07-01T00:00:00"/>
    <x v="3"/>
    <x v="3"/>
    <x v="20"/>
    <n v="2784"/>
    <n v="8"/>
    <n v="2088"/>
    <n v="696"/>
    <n v="0.25"/>
    <x v="6"/>
    <n v="2023"/>
  </r>
  <r>
    <x v="140"/>
    <d v="2023-09-10T00:00:00"/>
    <x v="0"/>
    <x v="1"/>
    <x v="47"/>
    <n v="19186"/>
    <n v="4"/>
    <n v="12470.9"/>
    <n v="6715.1"/>
    <n v="0.35000000000000003"/>
    <x v="10"/>
    <n v="2023"/>
  </r>
  <r>
    <x v="141"/>
    <d v="2023-06-05T00:00:00"/>
    <x v="1"/>
    <x v="3"/>
    <x v="42"/>
    <n v="13878"/>
    <n v="9"/>
    <n v="10408.5"/>
    <n v="3469.5"/>
    <n v="0.25"/>
    <x v="2"/>
    <n v="2023"/>
  </r>
  <r>
    <x v="142"/>
    <d v="2023-01-02T00:00:00"/>
    <x v="2"/>
    <x v="3"/>
    <x v="48"/>
    <n v="13493"/>
    <n v="9"/>
    <n v="10119.75"/>
    <n v="3373.25"/>
    <n v="0.25"/>
    <x v="9"/>
    <n v="2023"/>
  </r>
  <r>
    <x v="143"/>
    <d v="2023-08-24T00:00:00"/>
    <x v="3"/>
    <x v="2"/>
    <x v="40"/>
    <n v="18230"/>
    <n v="2"/>
    <n v="12761"/>
    <n v="5469"/>
    <n v="0.3"/>
    <x v="5"/>
    <n v="2023"/>
  </r>
  <r>
    <x v="144"/>
    <d v="2023-11-13T00:00:00"/>
    <x v="0"/>
    <x v="3"/>
    <x v="18"/>
    <n v="4074"/>
    <n v="6"/>
    <n v="3055.5"/>
    <n v="1018.5"/>
    <n v="0.25"/>
    <x v="3"/>
    <n v="2023"/>
  </r>
  <r>
    <x v="145"/>
    <d v="2023-03-18T00:00:00"/>
    <x v="1"/>
    <x v="1"/>
    <x v="45"/>
    <n v="14932"/>
    <n v="7"/>
    <n v="9705.8000000000011"/>
    <n v="5226.1999999999989"/>
    <n v="0.34999999999999992"/>
    <x v="11"/>
    <n v="2023"/>
  </r>
  <r>
    <x v="146"/>
    <d v="2023-11-12T00:00:00"/>
    <x v="2"/>
    <x v="0"/>
    <x v="23"/>
    <n v="9684"/>
    <n v="10"/>
    <n v="5810.4"/>
    <n v="3873.6000000000004"/>
    <n v="0.4"/>
    <x v="3"/>
    <n v="2023"/>
  </r>
  <r>
    <x v="147"/>
    <d v="2023-07-04T00:00:00"/>
    <x v="3"/>
    <x v="3"/>
    <x v="14"/>
    <n v="9835"/>
    <n v="3"/>
    <n v="7376.25"/>
    <n v="2458.75"/>
    <n v="0.25"/>
    <x v="6"/>
    <n v="2023"/>
  </r>
  <r>
    <x v="148"/>
    <d v="2023-02-19T00:00:00"/>
    <x v="0"/>
    <x v="0"/>
    <x v="26"/>
    <n v="12012"/>
    <n v="3"/>
    <n v="7207.2"/>
    <n v="4804.8"/>
    <n v="0.4"/>
    <x v="8"/>
    <n v="2023"/>
  </r>
  <r>
    <x v="149"/>
    <d v="2023-03-18T00:00:00"/>
    <x v="1"/>
    <x v="1"/>
    <x v="40"/>
    <n v="4876"/>
    <n v="9"/>
    <n v="3169.4"/>
    <n v="1706.6"/>
    <n v="0.35"/>
    <x v="11"/>
    <n v="2023"/>
  </r>
  <r>
    <x v="150"/>
    <d v="2023-05-17T00:00:00"/>
    <x v="2"/>
    <x v="2"/>
    <x v="6"/>
    <n v="3409"/>
    <n v="6"/>
    <n v="2386.2999999999997"/>
    <n v="1022.7000000000003"/>
    <n v="0.3000000000000001"/>
    <x v="4"/>
    <n v="2023"/>
  </r>
  <r>
    <x v="151"/>
    <d v="2023-05-19T00:00:00"/>
    <x v="3"/>
    <x v="0"/>
    <x v="42"/>
    <n v="12727"/>
    <n v="2"/>
    <n v="7636.2"/>
    <n v="5090.8"/>
    <n v="0.4"/>
    <x v="4"/>
    <n v="2023"/>
  </r>
  <r>
    <x v="152"/>
    <d v="2023-11-10T00:00:00"/>
    <x v="0"/>
    <x v="0"/>
    <x v="8"/>
    <n v="6909"/>
    <n v="3"/>
    <n v="4145.3999999999996"/>
    <n v="2763.6000000000004"/>
    <n v="0.40000000000000008"/>
    <x v="3"/>
    <n v="2023"/>
  </r>
  <r>
    <x v="153"/>
    <d v="2023-10-21T00:00:00"/>
    <x v="1"/>
    <x v="1"/>
    <x v="42"/>
    <n v="18961"/>
    <n v="4"/>
    <n v="12324.65"/>
    <n v="6636.35"/>
    <n v="0.35000000000000003"/>
    <x v="0"/>
    <n v="2023"/>
  </r>
  <r>
    <x v="154"/>
    <d v="2023-01-06T00:00:00"/>
    <x v="2"/>
    <x v="3"/>
    <x v="43"/>
    <n v="12976"/>
    <n v="6"/>
    <n v="9732"/>
    <n v="3244"/>
    <n v="0.25"/>
    <x v="9"/>
    <n v="2023"/>
  </r>
  <r>
    <x v="155"/>
    <d v="2023-01-24T00:00:00"/>
    <x v="3"/>
    <x v="2"/>
    <x v="30"/>
    <n v="12328"/>
    <n v="8"/>
    <n v="8629.5999999999985"/>
    <n v="3698.4000000000015"/>
    <n v="0.3000000000000001"/>
    <x v="9"/>
    <n v="2023"/>
  </r>
  <r>
    <x v="156"/>
    <d v="2023-11-28T00:00:00"/>
    <x v="0"/>
    <x v="0"/>
    <x v="22"/>
    <n v="13398"/>
    <n v="5"/>
    <n v="8038.7999999999993"/>
    <n v="5359.2000000000007"/>
    <n v="0.40000000000000008"/>
    <x v="3"/>
    <n v="2023"/>
  </r>
  <r>
    <x v="157"/>
    <d v="2023-07-13T00:00:00"/>
    <x v="1"/>
    <x v="3"/>
    <x v="29"/>
    <n v="16265"/>
    <n v="6"/>
    <n v="12198.75"/>
    <n v="4066.25"/>
    <n v="0.25"/>
    <x v="6"/>
    <n v="2023"/>
  </r>
  <r>
    <x v="158"/>
    <d v="2023-02-01T00:00:00"/>
    <x v="2"/>
    <x v="3"/>
    <x v="34"/>
    <n v="3870"/>
    <n v="4"/>
    <n v="2902.5"/>
    <n v="967.5"/>
    <n v="0.25"/>
    <x v="8"/>
    <n v="2023"/>
  </r>
  <r>
    <x v="159"/>
    <d v="2023-11-02T00:00:00"/>
    <x v="3"/>
    <x v="1"/>
    <x v="18"/>
    <n v="3331"/>
    <n v="3"/>
    <n v="2165.15"/>
    <n v="1165.8499999999999"/>
    <n v="0.35"/>
    <x v="3"/>
    <n v="2023"/>
  </r>
  <r>
    <x v="160"/>
    <d v="2023-12-04T00:00:00"/>
    <x v="0"/>
    <x v="0"/>
    <x v="22"/>
    <n v="16675"/>
    <n v="7"/>
    <n v="10005"/>
    <n v="6670"/>
    <n v="0.4"/>
    <x v="7"/>
    <n v="2023"/>
  </r>
  <r>
    <x v="161"/>
    <d v="2023-12-19T00:00:00"/>
    <x v="1"/>
    <x v="1"/>
    <x v="14"/>
    <n v="1880"/>
    <n v="9"/>
    <n v="1222"/>
    <n v="658"/>
    <n v="0.35"/>
    <x v="7"/>
    <n v="2023"/>
  </r>
  <r>
    <x v="162"/>
    <d v="2023-12-12T00:00:00"/>
    <x v="2"/>
    <x v="0"/>
    <x v="27"/>
    <n v="1960"/>
    <n v="9"/>
    <n v="1176"/>
    <n v="784"/>
    <n v="0.4"/>
    <x v="7"/>
    <n v="2023"/>
  </r>
  <r>
    <x v="163"/>
    <d v="2023-02-19T00:00:00"/>
    <x v="3"/>
    <x v="2"/>
    <x v="2"/>
    <n v="17815"/>
    <n v="3"/>
    <n v="12470.5"/>
    <n v="5344.5"/>
    <n v="0.3"/>
    <x v="8"/>
    <n v="2023"/>
  </r>
  <r>
    <x v="164"/>
    <d v="2023-11-26T00:00:00"/>
    <x v="0"/>
    <x v="2"/>
    <x v="43"/>
    <n v="7631"/>
    <n v="5"/>
    <n v="5341.7"/>
    <n v="2289.3000000000002"/>
    <n v="0.30000000000000004"/>
    <x v="3"/>
    <n v="2023"/>
  </r>
  <r>
    <x v="165"/>
    <d v="2023-05-14T00:00:00"/>
    <x v="1"/>
    <x v="0"/>
    <x v="22"/>
    <n v="7968"/>
    <n v="4"/>
    <n v="4780.8"/>
    <n v="3187.2"/>
    <n v="0.39999999999999997"/>
    <x v="4"/>
    <n v="2023"/>
  </r>
  <r>
    <x v="166"/>
    <d v="2023-03-06T00:00:00"/>
    <x v="2"/>
    <x v="3"/>
    <x v="48"/>
    <n v="15130"/>
    <n v="5"/>
    <n v="11347.5"/>
    <n v="3782.5"/>
    <n v="0.25"/>
    <x v="11"/>
    <n v="2023"/>
  </r>
  <r>
    <x v="167"/>
    <d v="2023-08-22T00:00:00"/>
    <x v="3"/>
    <x v="0"/>
    <x v="43"/>
    <n v="15863"/>
    <n v="8"/>
    <n v="9517.7999999999993"/>
    <n v="6345.2000000000007"/>
    <n v="0.4"/>
    <x v="5"/>
    <n v="2023"/>
  </r>
  <r>
    <x v="168"/>
    <d v="2023-11-28T00:00:00"/>
    <x v="0"/>
    <x v="2"/>
    <x v="16"/>
    <n v="16148"/>
    <n v="2"/>
    <n v="11303.599999999999"/>
    <n v="4844.4000000000015"/>
    <n v="0.3000000000000001"/>
    <x v="3"/>
    <n v="2023"/>
  </r>
  <r>
    <x v="169"/>
    <d v="2023-06-02T00:00:00"/>
    <x v="1"/>
    <x v="1"/>
    <x v="46"/>
    <n v="10076"/>
    <n v="9"/>
    <n v="6549.4000000000005"/>
    <n v="3526.5999999999995"/>
    <n v="0.34999999999999992"/>
    <x v="2"/>
    <n v="2023"/>
  </r>
  <r>
    <x v="170"/>
    <d v="2023-09-06T00:00:00"/>
    <x v="2"/>
    <x v="1"/>
    <x v="43"/>
    <n v="15208"/>
    <n v="4"/>
    <n v="9885.2000000000007"/>
    <n v="5322.7999999999993"/>
    <n v="0.35"/>
    <x v="10"/>
    <n v="2023"/>
  </r>
  <r>
    <x v="171"/>
    <d v="2023-04-15T00:00:00"/>
    <x v="3"/>
    <x v="1"/>
    <x v="0"/>
    <n v="14388"/>
    <n v="2"/>
    <n v="9352.2000000000007"/>
    <n v="5035.7999999999993"/>
    <n v="0.34999999999999992"/>
    <x v="1"/>
    <n v="2023"/>
  </r>
  <r>
    <x v="172"/>
    <d v="2023-08-23T00:00:00"/>
    <x v="0"/>
    <x v="2"/>
    <x v="44"/>
    <n v="8502"/>
    <n v="5"/>
    <n v="5951.4"/>
    <n v="2550.6000000000004"/>
    <n v="0.30000000000000004"/>
    <x v="5"/>
    <n v="2023"/>
  </r>
  <r>
    <x v="173"/>
    <d v="2023-05-09T00:00:00"/>
    <x v="1"/>
    <x v="3"/>
    <x v="44"/>
    <n v="12070"/>
    <n v="6"/>
    <n v="9052.5"/>
    <n v="3017.5"/>
    <n v="0.25"/>
    <x v="4"/>
    <n v="2023"/>
  </r>
  <r>
    <x v="174"/>
    <d v="2023-05-08T00:00:00"/>
    <x v="2"/>
    <x v="2"/>
    <x v="0"/>
    <n v="11801"/>
    <n v="1"/>
    <n v="8260.6999999999989"/>
    <n v="3540.3000000000011"/>
    <n v="0.3000000000000001"/>
    <x v="4"/>
    <n v="2023"/>
  </r>
  <r>
    <x v="175"/>
    <d v="2023-03-21T00:00:00"/>
    <x v="3"/>
    <x v="3"/>
    <x v="1"/>
    <n v="14197"/>
    <n v="7"/>
    <n v="10647.75"/>
    <n v="3549.25"/>
    <n v="0.25"/>
    <x v="11"/>
    <n v="2023"/>
  </r>
  <r>
    <x v="176"/>
    <d v="2023-04-07T00:00:00"/>
    <x v="0"/>
    <x v="2"/>
    <x v="42"/>
    <n v="18280"/>
    <n v="1"/>
    <n v="12796"/>
    <n v="5484"/>
    <n v="0.3"/>
    <x v="1"/>
    <n v="2023"/>
  </r>
  <r>
    <x v="177"/>
    <d v="2023-05-22T00:00:00"/>
    <x v="1"/>
    <x v="1"/>
    <x v="39"/>
    <n v="5817"/>
    <n v="2"/>
    <n v="3781.05"/>
    <n v="2035.9499999999998"/>
    <n v="0.35"/>
    <x v="4"/>
    <n v="2023"/>
  </r>
  <r>
    <x v="178"/>
    <d v="2023-11-09T00:00:00"/>
    <x v="2"/>
    <x v="3"/>
    <x v="2"/>
    <n v="18534"/>
    <n v="9"/>
    <n v="13900.5"/>
    <n v="4633.5"/>
    <n v="0.25"/>
    <x v="3"/>
    <n v="2023"/>
  </r>
  <r>
    <x v="179"/>
    <d v="2023-04-23T00:00:00"/>
    <x v="3"/>
    <x v="2"/>
    <x v="44"/>
    <n v="16178"/>
    <n v="8"/>
    <n v="11324.599999999999"/>
    <n v="4853.4000000000015"/>
    <n v="0.3000000000000001"/>
    <x v="1"/>
    <n v="2023"/>
  </r>
  <r>
    <x v="180"/>
    <d v="2023-01-06T00:00:00"/>
    <x v="0"/>
    <x v="1"/>
    <x v="27"/>
    <n v="9481"/>
    <n v="2"/>
    <n v="6162.6500000000005"/>
    <n v="3318.3499999999995"/>
    <n v="0.34999999999999992"/>
    <x v="9"/>
    <n v="2023"/>
  </r>
  <r>
    <x v="181"/>
    <d v="2023-04-15T00:00:00"/>
    <x v="1"/>
    <x v="2"/>
    <x v="18"/>
    <n v="6147"/>
    <n v="8"/>
    <n v="4302.8999999999996"/>
    <n v="1844.1000000000004"/>
    <n v="0.30000000000000004"/>
    <x v="1"/>
    <n v="2023"/>
  </r>
  <r>
    <x v="182"/>
    <d v="2023-02-21T00:00:00"/>
    <x v="2"/>
    <x v="3"/>
    <x v="20"/>
    <n v="909"/>
    <n v="7"/>
    <n v="681.75"/>
    <n v="227.25"/>
    <n v="0.25"/>
    <x v="8"/>
    <n v="2023"/>
  </r>
  <r>
    <x v="183"/>
    <d v="2023-04-27T00:00:00"/>
    <x v="3"/>
    <x v="1"/>
    <x v="10"/>
    <n v="11093"/>
    <n v="5"/>
    <n v="7210.45"/>
    <n v="3882.55"/>
    <n v="0.35000000000000003"/>
    <x v="1"/>
    <n v="2023"/>
  </r>
  <r>
    <x v="184"/>
    <d v="2023-06-01T00:00:00"/>
    <x v="0"/>
    <x v="1"/>
    <x v="32"/>
    <n v="718"/>
    <n v="9"/>
    <n v="466.7"/>
    <n v="251.3"/>
    <n v="0.35000000000000003"/>
    <x v="2"/>
    <n v="2023"/>
  </r>
  <r>
    <x v="185"/>
    <d v="2023-04-05T00:00:00"/>
    <x v="1"/>
    <x v="1"/>
    <x v="46"/>
    <n v="4455"/>
    <n v="8"/>
    <n v="2895.75"/>
    <n v="1559.25"/>
    <n v="0.35"/>
    <x v="1"/>
    <n v="2023"/>
  </r>
  <r>
    <x v="186"/>
    <d v="2023-07-08T00:00:00"/>
    <x v="2"/>
    <x v="2"/>
    <x v="41"/>
    <n v="9346"/>
    <n v="6"/>
    <n v="6542.2"/>
    <n v="2803.8"/>
    <n v="0.30000000000000004"/>
    <x v="6"/>
    <n v="2023"/>
  </r>
  <r>
    <x v="187"/>
    <d v="2023-03-16T00:00:00"/>
    <x v="3"/>
    <x v="2"/>
    <x v="40"/>
    <n v="17861"/>
    <n v="3"/>
    <n v="12502.699999999999"/>
    <n v="5358.3000000000011"/>
    <n v="0.30000000000000004"/>
    <x v="11"/>
    <n v="2023"/>
  </r>
  <r>
    <x v="188"/>
    <d v="2023-03-17T00:00:00"/>
    <x v="0"/>
    <x v="3"/>
    <x v="25"/>
    <n v="18088"/>
    <n v="5"/>
    <n v="13566"/>
    <n v="4522"/>
    <n v="0.25"/>
    <x v="11"/>
    <n v="2023"/>
  </r>
  <r>
    <x v="189"/>
    <d v="2023-09-11T00:00:00"/>
    <x v="1"/>
    <x v="1"/>
    <x v="5"/>
    <n v="4252"/>
    <n v="1"/>
    <n v="2763.8"/>
    <n v="1488.1999999999998"/>
    <n v="0.35"/>
    <x v="10"/>
    <n v="2023"/>
  </r>
  <r>
    <x v="190"/>
    <d v="2023-08-14T00:00:00"/>
    <x v="2"/>
    <x v="2"/>
    <x v="42"/>
    <n v="11107"/>
    <n v="9"/>
    <n v="7774.9"/>
    <n v="3332.1000000000004"/>
    <n v="0.30000000000000004"/>
    <x v="5"/>
    <n v="2023"/>
  </r>
  <r>
    <x v="191"/>
    <d v="2023-03-18T00:00:00"/>
    <x v="3"/>
    <x v="1"/>
    <x v="49"/>
    <n v="12470"/>
    <n v="9"/>
    <n v="8105.5"/>
    <n v="4364.5"/>
    <n v="0.35"/>
    <x v="11"/>
    <n v="2023"/>
  </r>
  <r>
    <x v="192"/>
    <d v="2023-10-17T00:00:00"/>
    <x v="0"/>
    <x v="2"/>
    <x v="6"/>
    <n v="7384"/>
    <n v="3"/>
    <n v="5168.7999999999993"/>
    <n v="2215.2000000000007"/>
    <n v="0.3000000000000001"/>
    <x v="0"/>
    <n v="2023"/>
  </r>
  <r>
    <x v="193"/>
    <d v="2023-04-20T00:00:00"/>
    <x v="1"/>
    <x v="1"/>
    <x v="40"/>
    <n v="15519"/>
    <n v="7"/>
    <n v="10087.35"/>
    <n v="5431.65"/>
    <n v="0.35"/>
    <x v="1"/>
    <n v="2023"/>
  </r>
  <r>
    <x v="194"/>
    <d v="2023-02-15T00:00:00"/>
    <x v="2"/>
    <x v="1"/>
    <x v="8"/>
    <n v="5437"/>
    <n v="5"/>
    <n v="3534.05"/>
    <n v="1902.9499999999998"/>
    <n v="0.35"/>
    <x v="8"/>
    <n v="2023"/>
  </r>
  <r>
    <x v="195"/>
    <d v="2023-06-26T00:00:00"/>
    <x v="3"/>
    <x v="2"/>
    <x v="18"/>
    <n v="17472"/>
    <n v="3"/>
    <n v="12230.4"/>
    <n v="5241.6000000000004"/>
    <n v="0.30000000000000004"/>
    <x v="2"/>
    <n v="2023"/>
  </r>
  <r>
    <x v="196"/>
    <d v="2023-11-12T00:00:00"/>
    <x v="0"/>
    <x v="0"/>
    <x v="40"/>
    <n v="12848"/>
    <n v="7"/>
    <n v="7708.7999999999993"/>
    <n v="5139.2000000000007"/>
    <n v="0.40000000000000008"/>
    <x v="3"/>
    <n v="2023"/>
  </r>
  <r>
    <x v="197"/>
    <d v="2023-02-12T00:00:00"/>
    <x v="1"/>
    <x v="1"/>
    <x v="0"/>
    <n v="10543"/>
    <n v="9"/>
    <n v="6852.95"/>
    <n v="3690.05"/>
    <n v="0.35000000000000003"/>
    <x v="8"/>
    <n v="2023"/>
  </r>
  <r>
    <x v="198"/>
    <d v="2023-04-15T00:00:00"/>
    <x v="2"/>
    <x v="3"/>
    <x v="49"/>
    <n v="10095"/>
    <n v="6"/>
    <n v="7571.25"/>
    <n v="2523.75"/>
    <n v="0.25"/>
    <x v="1"/>
    <n v="2023"/>
  </r>
  <r>
    <x v="199"/>
    <d v="2023-06-21T00:00:00"/>
    <x v="3"/>
    <x v="2"/>
    <x v="4"/>
    <n v="7215"/>
    <n v="9"/>
    <n v="5050.5"/>
    <n v="2164.5"/>
    <n v="0.3"/>
    <x v="2"/>
    <n v="2023"/>
  </r>
  <r>
    <x v="200"/>
    <d v="2023-06-27T00:00:00"/>
    <x v="0"/>
    <x v="1"/>
    <x v="22"/>
    <n v="18876"/>
    <n v="3"/>
    <n v="12269.4"/>
    <n v="6606.6"/>
    <n v="0.35000000000000003"/>
    <x v="2"/>
    <n v="2023"/>
  </r>
  <r>
    <x v="201"/>
    <d v="2023-03-20T00:00:00"/>
    <x v="1"/>
    <x v="1"/>
    <x v="24"/>
    <n v="14716"/>
    <n v="7"/>
    <n v="9565.4"/>
    <n v="5150.6000000000004"/>
    <n v="0.35000000000000003"/>
    <x v="11"/>
    <n v="2023"/>
  </r>
  <r>
    <x v="202"/>
    <d v="2023-03-17T00:00:00"/>
    <x v="2"/>
    <x v="3"/>
    <x v="4"/>
    <n v="4237"/>
    <n v="1"/>
    <n v="3177.75"/>
    <n v="1059.25"/>
    <n v="0.25"/>
    <x v="11"/>
    <n v="2023"/>
  </r>
  <r>
    <x v="203"/>
    <d v="2023-06-25T00:00:00"/>
    <x v="3"/>
    <x v="1"/>
    <x v="19"/>
    <n v="9535"/>
    <n v="5"/>
    <n v="6197.75"/>
    <n v="3337.25"/>
    <n v="0.35"/>
    <x v="2"/>
    <n v="2023"/>
  </r>
  <r>
    <x v="204"/>
    <d v="2023-12-13T00:00:00"/>
    <x v="0"/>
    <x v="2"/>
    <x v="7"/>
    <n v="19381"/>
    <n v="7"/>
    <n v="13566.699999999999"/>
    <n v="5814.3000000000011"/>
    <n v="0.30000000000000004"/>
    <x v="7"/>
    <n v="2023"/>
  </r>
  <r>
    <x v="205"/>
    <d v="2023-07-06T00:00:00"/>
    <x v="1"/>
    <x v="2"/>
    <x v="31"/>
    <n v="1823"/>
    <n v="9"/>
    <n v="1276.0999999999999"/>
    <n v="546.90000000000009"/>
    <n v="0.30000000000000004"/>
    <x v="6"/>
    <n v="2023"/>
  </r>
  <r>
    <x v="206"/>
    <d v="2023-09-03T00:00:00"/>
    <x v="2"/>
    <x v="0"/>
    <x v="13"/>
    <n v="13755"/>
    <n v="8"/>
    <n v="8253"/>
    <n v="5502"/>
    <n v="0.4"/>
    <x v="10"/>
    <n v="2023"/>
  </r>
  <r>
    <x v="207"/>
    <d v="2023-10-28T00:00:00"/>
    <x v="3"/>
    <x v="1"/>
    <x v="7"/>
    <n v="14096"/>
    <n v="7"/>
    <n v="9162.4"/>
    <n v="4933.6000000000004"/>
    <n v="0.35000000000000003"/>
    <x v="0"/>
    <n v="2023"/>
  </r>
  <r>
    <x v="208"/>
    <d v="2023-03-26T00:00:00"/>
    <x v="0"/>
    <x v="3"/>
    <x v="32"/>
    <n v="16841"/>
    <n v="10"/>
    <n v="12630.75"/>
    <n v="4210.25"/>
    <n v="0.25"/>
    <x v="11"/>
    <n v="2023"/>
  </r>
  <r>
    <x v="209"/>
    <d v="2023-09-10T00:00:00"/>
    <x v="1"/>
    <x v="3"/>
    <x v="42"/>
    <n v="11619"/>
    <n v="8"/>
    <n v="8714.25"/>
    <n v="2904.75"/>
    <n v="0.25"/>
    <x v="10"/>
    <n v="2023"/>
  </r>
  <r>
    <x v="210"/>
    <d v="2023-04-10T00:00:00"/>
    <x v="2"/>
    <x v="2"/>
    <x v="3"/>
    <n v="16146"/>
    <n v="1"/>
    <n v="11302.199999999999"/>
    <n v="4843.8000000000011"/>
    <n v="0.30000000000000004"/>
    <x v="1"/>
    <n v="2023"/>
  </r>
  <r>
    <x v="211"/>
    <d v="2023-10-13T00:00:00"/>
    <x v="3"/>
    <x v="2"/>
    <x v="23"/>
    <n v="6583"/>
    <n v="8"/>
    <n v="4608.0999999999995"/>
    <n v="1974.9000000000005"/>
    <n v="0.3000000000000001"/>
    <x v="0"/>
    <n v="2023"/>
  </r>
  <r>
    <x v="212"/>
    <d v="2023-07-15T00:00:00"/>
    <x v="0"/>
    <x v="3"/>
    <x v="42"/>
    <n v="18301"/>
    <n v="7"/>
    <n v="13725.75"/>
    <n v="4575.25"/>
    <n v="0.25"/>
    <x v="6"/>
    <n v="2023"/>
  </r>
  <r>
    <x v="213"/>
    <d v="2023-02-02T00:00:00"/>
    <x v="1"/>
    <x v="3"/>
    <x v="39"/>
    <n v="12099"/>
    <n v="9"/>
    <n v="9074.25"/>
    <n v="3024.75"/>
    <n v="0.25"/>
    <x v="8"/>
    <n v="2023"/>
  </r>
  <r>
    <x v="214"/>
    <d v="2023-09-16T00:00:00"/>
    <x v="2"/>
    <x v="1"/>
    <x v="3"/>
    <n v="6580"/>
    <n v="8"/>
    <n v="4277"/>
    <n v="2303"/>
    <n v="0.35"/>
    <x v="10"/>
    <n v="2023"/>
  </r>
  <r>
    <x v="215"/>
    <d v="2023-06-16T00:00:00"/>
    <x v="3"/>
    <x v="1"/>
    <x v="43"/>
    <n v="14830"/>
    <n v="9"/>
    <n v="9639.5"/>
    <n v="5190.5"/>
    <n v="0.35"/>
    <x v="2"/>
    <n v="2023"/>
  </r>
  <r>
    <x v="216"/>
    <d v="2023-04-01T00:00:00"/>
    <x v="0"/>
    <x v="3"/>
    <x v="19"/>
    <n v="17767"/>
    <n v="8"/>
    <n v="13325.25"/>
    <n v="4441.75"/>
    <n v="0.25"/>
    <x v="1"/>
    <n v="2023"/>
  </r>
  <r>
    <x v="217"/>
    <d v="2023-02-21T00:00:00"/>
    <x v="1"/>
    <x v="1"/>
    <x v="41"/>
    <n v="2670"/>
    <n v="2"/>
    <n v="1735.5"/>
    <n v="934.5"/>
    <n v="0.35"/>
    <x v="8"/>
    <n v="2023"/>
  </r>
  <r>
    <x v="218"/>
    <d v="2023-05-07T00:00:00"/>
    <x v="2"/>
    <x v="2"/>
    <x v="19"/>
    <n v="19288"/>
    <n v="5"/>
    <n v="13501.599999999999"/>
    <n v="5786.4000000000015"/>
    <n v="0.3000000000000001"/>
    <x v="4"/>
    <n v="2023"/>
  </r>
  <r>
    <x v="219"/>
    <d v="2023-05-05T00:00:00"/>
    <x v="3"/>
    <x v="0"/>
    <x v="47"/>
    <n v="16587"/>
    <n v="5"/>
    <n v="9952.1999999999989"/>
    <n v="6634.8000000000011"/>
    <n v="0.40000000000000008"/>
    <x v="4"/>
    <n v="2023"/>
  </r>
  <r>
    <x v="220"/>
    <d v="2023-05-04T00:00:00"/>
    <x v="0"/>
    <x v="1"/>
    <x v="49"/>
    <n v="18616"/>
    <n v="1"/>
    <n v="12100.4"/>
    <n v="6515.6"/>
    <n v="0.35000000000000003"/>
    <x v="4"/>
    <n v="2023"/>
  </r>
  <r>
    <x v="221"/>
    <d v="2023-08-27T00:00:00"/>
    <x v="1"/>
    <x v="3"/>
    <x v="49"/>
    <n v="16606"/>
    <n v="1"/>
    <n v="12454.5"/>
    <n v="4151.5"/>
    <n v="0.25"/>
    <x v="5"/>
    <n v="2023"/>
  </r>
  <r>
    <x v="222"/>
    <d v="2023-06-10T00:00:00"/>
    <x v="2"/>
    <x v="0"/>
    <x v="18"/>
    <n v="7220"/>
    <n v="3"/>
    <n v="4332"/>
    <n v="2888"/>
    <n v="0.4"/>
    <x v="2"/>
    <n v="2023"/>
  </r>
  <r>
    <x v="223"/>
    <d v="2023-04-28T00:00:00"/>
    <x v="3"/>
    <x v="2"/>
    <x v="5"/>
    <n v="8760"/>
    <n v="3"/>
    <n v="6132"/>
    <n v="2628"/>
    <n v="0.3"/>
    <x v="1"/>
    <n v="2023"/>
  </r>
  <r>
    <x v="224"/>
    <d v="2023-11-12T00:00:00"/>
    <x v="0"/>
    <x v="1"/>
    <x v="29"/>
    <n v="952"/>
    <n v="10"/>
    <n v="618.80000000000007"/>
    <n v="333.19999999999993"/>
    <n v="0.34999999999999992"/>
    <x v="3"/>
    <n v="2023"/>
  </r>
  <r>
    <x v="225"/>
    <d v="2023-11-01T00:00:00"/>
    <x v="1"/>
    <x v="1"/>
    <x v="36"/>
    <n v="15298"/>
    <n v="7"/>
    <n v="9943.7000000000007"/>
    <n v="5354.2999999999993"/>
    <n v="0.35"/>
    <x v="3"/>
    <n v="2023"/>
  </r>
  <r>
    <x v="226"/>
    <d v="2023-11-12T00:00:00"/>
    <x v="2"/>
    <x v="2"/>
    <x v="37"/>
    <n v="5569"/>
    <n v="7"/>
    <n v="3898.2999999999997"/>
    <n v="1670.7000000000003"/>
    <n v="0.30000000000000004"/>
    <x v="3"/>
    <n v="2023"/>
  </r>
  <r>
    <x v="227"/>
    <d v="2023-01-08T00:00:00"/>
    <x v="3"/>
    <x v="3"/>
    <x v="44"/>
    <n v="4129"/>
    <n v="2"/>
    <n v="3096.75"/>
    <n v="1032.25"/>
    <n v="0.25"/>
    <x v="9"/>
    <n v="2023"/>
  </r>
  <r>
    <x v="228"/>
    <d v="2023-12-10T00:00:00"/>
    <x v="0"/>
    <x v="3"/>
    <x v="16"/>
    <n v="3024"/>
    <n v="1"/>
    <n v="2268"/>
    <n v="756"/>
    <n v="0.25"/>
    <x v="7"/>
    <n v="2023"/>
  </r>
  <r>
    <x v="229"/>
    <d v="2023-09-25T00:00:00"/>
    <x v="1"/>
    <x v="3"/>
    <x v="45"/>
    <n v="4569"/>
    <n v="9"/>
    <n v="3426.75"/>
    <n v="1142.25"/>
    <n v="0.25"/>
    <x v="10"/>
    <n v="2023"/>
  </r>
  <r>
    <x v="230"/>
    <d v="2023-05-22T00:00:00"/>
    <x v="2"/>
    <x v="0"/>
    <x v="42"/>
    <n v="1459"/>
    <n v="10"/>
    <n v="875.4"/>
    <n v="583.6"/>
    <n v="0.4"/>
    <x v="4"/>
    <n v="2023"/>
  </r>
  <r>
    <x v="231"/>
    <d v="2023-01-15T00:00:00"/>
    <x v="3"/>
    <x v="1"/>
    <x v="12"/>
    <n v="7769"/>
    <n v="6"/>
    <n v="5049.8500000000004"/>
    <n v="2719.1499999999996"/>
    <n v="0.35"/>
    <x v="9"/>
    <n v="2023"/>
  </r>
  <r>
    <x v="232"/>
    <d v="2023-10-18T00:00:00"/>
    <x v="0"/>
    <x v="1"/>
    <x v="0"/>
    <n v="5925"/>
    <n v="5"/>
    <n v="3851.25"/>
    <n v="2073.75"/>
    <n v="0.35"/>
    <x v="0"/>
    <n v="2023"/>
  </r>
  <r>
    <x v="233"/>
    <d v="2023-04-11T00:00:00"/>
    <x v="1"/>
    <x v="2"/>
    <x v="23"/>
    <n v="2077"/>
    <n v="1"/>
    <n v="1453.8999999999999"/>
    <n v="623.10000000000014"/>
    <n v="0.30000000000000004"/>
    <x v="1"/>
    <n v="2023"/>
  </r>
  <r>
    <x v="234"/>
    <d v="2023-11-10T00:00:00"/>
    <x v="2"/>
    <x v="1"/>
    <x v="33"/>
    <n v="2871"/>
    <n v="8"/>
    <n v="1866.15"/>
    <n v="1004.8499999999999"/>
    <n v="0.35"/>
    <x v="3"/>
    <n v="2023"/>
  </r>
  <r>
    <x v="235"/>
    <d v="2023-03-27T00:00:00"/>
    <x v="3"/>
    <x v="3"/>
    <x v="28"/>
    <n v="12002"/>
    <n v="9"/>
    <n v="9001.5"/>
    <n v="3000.5"/>
    <n v="0.25"/>
    <x v="11"/>
    <n v="2023"/>
  </r>
  <r>
    <x v="236"/>
    <d v="2023-03-05T00:00:00"/>
    <x v="0"/>
    <x v="2"/>
    <x v="18"/>
    <n v="18213"/>
    <n v="2"/>
    <n v="12749.099999999999"/>
    <n v="5463.9000000000015"/>
    <n v="0.3000000000000001"/>
    <x v="11"/>
    <n v="2023"/>
  </r>
  <r>
    <x v="237"/>
    <d v="2023-05-14T00:00:00"/>
    <x v="1"/>
    <x v="1"/>
    <x v="46"/>
    <n v="13225"/>
    <n v="10"/>
    <n v="8596.25"/>
    <n v="4628.75"/>
    <n v="0.35"/>
    <x v="4"/>
    <n v="2023"/>
  </r>
  <r>
    <x v="238"/>
    <d v="2023-10-15T00:00:00"/>
    <x v="2"/>
    <x v="3"/>
    <x v="12"/>
    <n v="8658"/>
    <n v="1"/>
    <n v="6493.5"/>
    <n v="2164.5"/>
    <n v="0.25"/>
    <x v="0"/>
    <n v="2023"/>
  </r>
  <r>
    <x v="239"/>
    <d v="2023-08-07T00:00:00"/>
    <x v="3"/>
    <x v="2"/>
    <x v="24"/>
    <n v="14512"/>
    <n v="3"/>
    <n v="10158.4"/>
    <n v="4353.6000000000004"/>
    <n v="0.30000000000000004"/>
    <x v="5"/>
    <n v="2023"/>
  </r>
  <r>
    <x v="240"/>
    <d v="2023-10-25T00:00:00"/>
    <x v="0"/>
    <x v="2"/>
    <x v="49"/>
    <n v="19799"/>
    <n v="6"/>
    <n v="13859.3"/>
    <n v="5939.7000000000007"/>
    <n v="0.30000000000000004"/>
    <x v="0"/>
    <n v="2023"/>
  </r>
  <r>
    <x v="241"/>
    <d v="2023-08-18T00:00:00"/>
    <x v="1"/>
    <x v="3"/>
    <x v="22"/>
    <n v="5307"/>
    <n v="2"/>
    <n v="3980.25"/>
    <n v="1326.75"/>
    <n v="0.25"/>
    <x v="5"/>
    <n v="2023"/>
  </r>
  <r>
    <x v="242"/>
    <d v="2023-05-15T00:00:00"/>
    <x v="2"/>
    <x v="0"/>
    <x v="18"/>
    <n v="15859"/>
    <n v="2"/>
    <n v="9515.4"/>
    <n v="6343.6"/>
    <n v="0.4"/>
    <x v="4"/>
    <n v="2023"/>
  </r>
  <r>
    <x v="243"/>
    <d v="2023-04-03T00:00:00"/>
    <x v="3"/>
    <x v="2"/>
    <x v="14"/>
    <n v="19449"/>
    <n v="3"/>
    <n v="13614.3"/>
    <n v="5834.7000000000007"/>
    <n v="0.30000000000000004"/>
    <x v="1"/>
    <n v="2023"/>
  </r>
  <r>
    <x v="244"/>
    <d v="2023-03-21T00:00:00"/>
    <x v="0"/>
    <x v="2"/>
    <x v="38"/>
    <n v="11576"/>
    <n v="1"/>
    <n v="8103.2"/>
    <n v="3472.8"/>
    <n v="0.3"/>
    <x v="11"/>
    <n v="2023"/>
  </r>
  <r>
    <x v="245"/>
    <d v="2023-08-28T00:00:00"/>
    <x v="1"/>
    <x v="2"/>
    <x v="36"/>
    <n v="7660"/>
    <n v="6"/>
    <n v="5362"/>
    <n v="2298"/>
    <n v="0.3"/>
    <x v="5"/>
    <n v="2023"/>
  </r>
  <r>
    <x v="246"/>
    <d v="2023-10-03T00:00:00"/>
    <x v="2"/>
    <x v="2"/>
    <x v="7"/>
    <n v="8136"/>
    <n v="7"/>
    <n v="5695.2"/>
    <n v="2440.8000000000002"/>
    <n v="0.30000000000000004"/>
    <x v="0"/>
    <n v="2023"/>
  </r>
  <r>
    <x v="247"/>
    <d v="2023-07-17T00:00:00"/>
    <x v="3"/>
    <x v="0"/>
    <x v="38"/>
    <n v="9113"/>
    <n v="10"/>
    <n v="5467.8"/>
    <n v="3645.2"/>
    <n v="0.39999999999999997"/>
    <x v="6"/>
    <n v="2023"/>
  </r>
  <r>
    <x v="248"/>
    <d v="2023-10-05T00:00:00"/>
    <x v="0"/>
    <x v="0"/>
    <x v="24"/>
    <n v="19089"/>
    <n v="10"/>
    <n v="11453.4"/>
    <n v="7635.6"/>
    <n v="0.4"/>
    <x v="0"/>
    <n v="2023"/>
  </r>
  <r>
    <x v="249"/>
    <d v="2023-08-09T00:00:00"/>
    <x v="1"/>
    <x v="0"/>
    <x v="46"/>
    <n v="18303"/>
    <n v="8"/>
    <n v="10981.8"/>
    <n v="7321.2000000000007"/>
    <n v="0.4"/>
    <x v="5"/>
    <n v="2023"/>
  </r>
  <r>
    <x v="250"/>
    <d v="2023-08-12T00:00:00"/>
    <x v="2"/>
    <x v="0"/>
    <x v="3"/>
    <n v="9431"/>
    <n v="9"/>
    <n v="5658.5999999999995"/>
    <n v="3772.4000000000005"/>
    <n v="0.40000000000000008"/>
    <x v="5"/>
    <n v="2023"/>
  </r>
  <r>
    <x v="251"/>
    <d v="2023-11-03T00:00:00"/>
    <x v="3"/>
    <x v="3"/>
    <x v="29"/>
    <n v="11960"/>
    <n v="1"/>
    <n v="8970"/>
    <n v="2990"/>
    <n v="0.25"/>
    <x v="3"/>
    <n v="2023"/>
  </r>
  <r>
    <x v="252"/>
    <d v="2023-06-10T00:00:00"/>
    <x v="0"/>
    <x v="0"/>
    <x v="30"/>
    <n v="2207"/>
    <n v="2"/>
    <n v="1324.2"/>
    <n v="882.8"/>
    <n v="0.39999999999999997"/>
    <x v="2"/>
    <n v="2023"/>
  </r>
  <r>
    <x v="253"/>
    <d v="2023-05-26T00:00:00"/>
    <x v="1"/>
    <x v="3"/>
    <x v="24"/>
    <n v="4956"/>
    <n v="2"/>
    <n v="3717"/>
    <n v="1239"/>
    <n v="0.25"/>
    <x v="4"/>
    <n v="2023"/>
  </r>
  <r>
    <x v="254"/>
    <d v="2023-04-13T00:00:00"/>
    <x v="2"/>
    <x v="3"/>
    <x v="31"/>
    <n v="6885"/>
    <n v="9"/>
    <n v="5163.75"/>
    <n v="1721.25"/>
    <n v="0.25"/>
    <x v="1"/>
    <n v="2023"/>
  </r>
  <r>
    <x v="255"/>
    <d v="2023-10-09T00:00:00"/>
    <x v="3"/>
    <x v="0"/>
    <x v="15"/>
    <n v="8025"/>
    <n v="7"/>
    <n v="4815"/>
    <n v="3210"/>
    <n v="0.4"/>
    <x v="0"/>
    <n v="2023"/>
  </r>
  <r>
    <x v="256"/>
    <d v="2023-01-24T00:00:00"/>
    <x v="0"/>
    <x v="0"/>
    <x v="8"/>
    <n v="6316"/>
    <n v="4"/>
    <n v="3789.6"/>
    <n v="2526.4"/>
    <n v="0.4"/>
    <x v="9"/>
    <n v="2023"/>
  </r>
  <r>
    <x v="257"/>
    <d v="2023-06-03T00:00:00"/>
    <x v="1"/>
    <x v="0"/>
    <x v="26"/>
    <n v="18765"/>
    <n v="8"/>
    <n v="11259"/>
    <n v="7506"/>
    <n v="0.4"/>
    <x v="2"/>
    <n v="2023"/>
  </r>
  <r>
    <x v="258"/>
    <d v="2023-06-07T00:00:00"/>
    <x v="2"/>
    <x v="0"/>
    <x v="36"/>
    <n v="6668"/>
    <n v="7"/>
    <n v="4000.7999999999997"/>
    <n v="2667.2000000000003"/>
    <n v="0.4"/>
    <x v="2"/>
    <n v="2023"/>
  </r>
  <r>
    <x v="259"/>
    <d v="2023-05-24T00:00:00"/>
    <x v="3"/>
    <x v="1"/>
    <x v="44"/>
    <n v="19008"/>
    <n v="4"/>
    <n v="12355.2"/>
    <n v="6652.7999999999993"/>
    <n v="0.35"/>
    <x v="4"/>
    <n v="2023"/>
  </r>
  <r>
    <x v="260"/>
    <d v="2023-01-07T00:00:00"/>
    <x v="0"/>
    <x v="0"/>
    <x v="9"/>
    <n v="9447"/>
    <n v="6"/>
    <n v="5668.2"/>
    <n v="3778.8"/>
    <n v="0.4"/>
    <x v="9"/>
    <n v="2023"/>
  </r>
  <r>
    <x v="261"/>
    <d v="2023-04-21T00:00:00"/>
    <x v="1"/>
    <x v="0"/>
    <x v="16"/>
    <n v="12500"/>
    <n v="1"/>
    <n v="7500"/>
    <n v="5000"/>
    <n v="0.4"/>
    <x v="1"/>
    <n v="2023"/>
  </r>
  <r>
    <x v="262"/>
    <d v="2023-08-24T00:00:00"/>
    <x v="2"/>
    <x v="0"/>
    <x v="18"/>
    <n v="18607"/>
    <n v="4"/>
    <n v="11164.199999999999"/>
    <n v="7442.8000000000011"/>
    <n v="0.40000000000000008"/>
    <x v="5"/>
    <n v="2023"/>
  </r>
  <r>
    <x v="263"/>
    <d v="2023-03-23T00:00:00"/>
    <x v="3"/>
    <x v="1"/>
    <x v="26"/>
    <n v="1975"/>
    <n v="9"/>
    <n v="1283.75"/>
    <n v="691.25"/>
    <n v="0.35"/>
    <x v="11"/>
    <n v="2023"/>
  </r>
  <r>
    <x v="264"/>
    <d v="2023-01-05T00:00:00"/>
    <x v="0"/>
    <x v="0"/>
    <x v="28"/>
    <n v="17460"/>
    <n v="4"/>
    <n v="10476"/>
    <n v="6984"/>
    <n v="0.4"/>
    <x v="9"/>
    <n v="2023"/>
  </r>
  <r>
    <x v="265"/>
    <d v="2023-08-24T00:00:00"/>
    <x v="1"/>
    <x v="3"/>
    <x v="2"/>
    <n v="15754"/>
    <n v="5"/>
    <n v="11815.5"/>
    <n v="3938.5"/>
    <n v="0.25"/>
    <x v="5"/>
    <n v="2023"/>
  </r>
  <r>
    <x v="266"/>
    <d v="2023-02-08T00:00:00"/>
    <x v="2"/>
    <x v="1"/>
    <x v="11"/>
    <n v="9454"/>
    <n v="8"/>
    <n v="6145.1"/>
    <n v="3308.8999999999996"/>
    <n v="0.35"/>
    <x v="8"/>
    <n v="2023"/>
  </r>
  <r>
    <x v="267"/>
    <d v="2023-02-25T00:00:00"/>
    <x v="3"/>
    <x v="0"/>
    <x v="42"/>
    <n v="14604"/>
    <n v="4"/>
    <n v="8762.4"/>
    <n v="5841.6"/>
    <n v="0.4"/>
    <x v="8"/>
    <n v="2023"/>
  </r>
  <r>
    <x v="268"/>
    <d v="2023-06-22T00:00:00"/>
    <x v="0"/>
    <x v="2"/>
    <x v="4"/>
    <n v="19605"/>
    <n v="5"/>
    <n v="13723.5"/>
    <n v="5881.5"/>
    <n v="0.3"/>
    <x v="2"/>
    <n v="2023"/>
  </r>
  <r>
    <x v="269"/>
    <d v="2023-09-22T00:00:00"/>
    <x v="1"/>
    <x v="0"/>
    <x v="24"/>
    <n v="10791"/>
    <n v="4"/>
    <n v="6474.5999999999995"/>
    <n v="4316.4000000000005"/>
    <n v="0.40000000000000008"/>
    <x v="10"/>
    <n v="2023"/>
  </r>
  <r>
    <x v="270"/>
    <d v="2023-03-11T00:00:00"/>
    <x v="2"/>
    <x v="0"/>
    <x v="32"/>
    <n v="8203"/>
    <n v="1"/>
    <n v="4921.8"/>
    <n v="3281.2"/>
    <n v="0.39999999999999997"/>
    <x v="11"/>
    <n v="2023"/>
  </r>
  <r>
    <x v="271"/>
    <d v="2023-08-13T00:00:00"/>
    <x v="3"/>
    <x v="0"/>
    <x v="3"/>
    <n v="17456"/>
    <n v="7"/>
    <n v="10473.6"/>
    <n v="6982.4"/>
    <n v="0.39999999999999997"/>
    <x v="5"/>
    <n v="2023"/>
  </r>
  <r>
    <x v="272"/>
    <d v="2023-08-04T00:00:00"/>
    <x v="0"/>
    <x v="1"/>
    <x v="35"/>
    <n v="5047"/>
    <n v="8"/>
    <n v="3280.55"/>
    <n v="1766.4499999999998"/>
    <n v="0.35"/>
    <x v="5"/>
    <n v="2023"/>
  </r>
  <r>
    <x v="273"/>
    <d v="2023-09-15T00:00:00"/>
    <x v="1"/>
    <x v="0"/>
    <x v="28"/>
    <n v="19758"/>
    <n v="3"/>
    <n v="11854.8"/>
    <n v="7903.2000000000007"/>
    <n v="0.4"/>
    <x v="10"/>
    <n v="2023"/>
  </r>
  <r>
    <x v="274"/>
    <d v="2023-08-02T00:00:00"/>
    <x v="2"/>
    <x v="3"/>
    <x v="33"/>
    <n v="3951"/>
    <n v="3"/>
    <n v="2963.25"/>
    <n v="987.75"/>
    <n v="0.25"/>
    <x v="5"/>
    <n v="2023"/>
  </r>
  <r>
    <x v="275"/>
    <d v="2023-04-20T00:00:00"/>
    <x v="3"/>
    <x v="1"/>
    <x v="46"/>
    <n v="13130"/>
    <n v="6"/>
    <n v="8534.5"/>
    <n v="4595.5"/>
    <n v="0.35"/>
    <x v="1"/>
    <n v="2023"/>
  </r>
  <r>
    <x v="276"/>
    <d v="2023-04-26T00:00:00"/>
    <x v="0"/>
    <x v="3"/>
    <x v="22"/>
    <n v="4603"/>
    <n v="2"/>
    <n v="3452.25"/>
    <n v="1150.75"/>
    <n v="0.25"/>
    <x v="1"/>
    <n v="2023"/>
  </r>
  <r>
    <x v="277"/>
    <d v="2023-01-08T00:00:00"/>
    <x v="1"/>
    <x v="0"/>
    <x v="22"/>
    <n v="2789"/>
    <n v="6"/>
    <n v="1673.3999999999999"/>
    <n v="1115.6000000000001"/>
    <n v="0.4"/>
    <x v="9"/>
    <n v="2023"/>
  </r>
  <r>
    <x v="278"/>
    <d v="2023-12-26T00:00:00"/>
    <x v="2"/>
    <x v="0"/>
    <x v="44"/>
    <n v="5599"/>
    <n v="2"/>
    <n v="3359.4"/>
    <n v="2239.6"/>
    <n v="0.39999999999999997"/>
    <x v="7"/>
    <n v="2023"/>
  </r>
  <r>
    <x v="279"/>
    <d v="2023-06-27T00:00:00"/>
    <x v="3"/>
    <x v="3"/>
    <x v="14"/>
    <n v="6208"/>
    <n v="1"/>
    <n v="4656"/>
    <n v="1552"/>
    <n v="0.25"/>
    <x v="2"/>
    <n v="2023"/>
  </r>
  <r>
    <x v="280"/>
    <d v="2023-11-07T00:00:00"/>
    <x v="0"/>
    <x v="1"/>
    <x v="49"/>
    <n v="2069"/>
    <n v="9"/>
    <n v="1344.8500000000001"/>
    <n v="724.14999999999986"/>
    <n v="0.34999999999999992"/>
    <x v="3"/>
    <n v="2023"/>
  </r>
  <r>
    <x v="281"/>
    <d v="2023-05-23T00:00:00"/>
    <x v="1"/>
    <x v="1"/>
    <x v="28"/>
    <n v="5947"/>
    <n v="1"/>
    <n v="3865.55"/>
    <n v="2081.4499999999998"/>
    <n v="0.35"/>
    <x v="4"/>
    <n v="2023"/>
  </r>
  <r>
    <x v="282"/>
    <d v="2023-11-14T00:00:00"/>
    <x v="2"/>
    <x v="3"/>
    <x v="17"/>
    <n v="13228"/>
    <n v="8"/>
    <n v="9921"/>
    <n v="3307"/>
    <n v="0.25"/>
    <x v="3"/>
    <n v="2023"/>
  </r>
  <r>
    <x v="283"/>
    <d v="2023-05-28T00:00:00"/>
    <x v="3"/>
    <x v="3"/>
    <x v="43"/>
    <n v="6494"/>
    <n v="10"/>
    <n v="4870.5"/>
    <n v="1623.5"/>
    <n v="0.25"/>
    <x v="4"/>
    <n v="2023"/>
  </r>
  <r>
    <x v="284"/>
    <d v="2023-12-17T00:00:00"/>
    <x v="0"/>
    <x v="2"/>
    <x v="16"/>
    <n v="18477"/>
    <n v="3"/>
    <n v="12933.9"/>
    <n v="5543.1"/>
    <n v="0.30000000000000004"/>
    <x v="7"/>
    <n v="2023"/>
  </r>
  <r>
    <x v="285"/>
    <d v="2023-07-04T00:00:00"/>
    <x v="1"/>
    <x v="2"/>
    <x v="35"/>
    <n v="16400"/>
    <n v="3"/>
    <n v="11480"/>
    <n v="4920"/>
    <n v="0.3"/>
    <x v="6"/>
    <n v="2023"/>
  </r>
  <r>
    <x v="286"/>
    <d v="2023-12-20T00:00:00"/>
    <x v="2"/>
    <x v="1"/>
    <x v="47"/>
    <n v="18901"/>
    <n v="8"/>
    <n v="12285.65"/>
    <n v="6615.35"/>
    <n v="0.35000000000000003"/>
    <x v="7"/>
    <n v="2023"/>
  </r>
  <r>
    <x v="287"/>
    <d v="2023-12-11T00:00:00"/>
    <x v="3"/>
    <x v="0"/>
    <x v="29"/>
    <n v="18330"/>
    <n v="2"/>
    <n v="10998"/>
    <n v="7332"/>
    <n v="0.4"/>
    <x v="7"/>
    <n v="2023"/>
  </r>
  <r>
    <x v="288"/>
    <d v="2023-03-22T00:00:00"/>
    <x v="0"/>
    <x v="1"/>
    <x v="46"/>
    <n v="19458"/>
    <n v="1"/>
    <n v="12647.7"/>
    <n v="6810.2999999999993"/>
    <n v="0.35"/>
    <x v="11"/>
    <n v="2023"/>
  </r>
  <r>
    <x v="289"/>
    <d v="2023-03-04T00:00:00"/>
    <x v="1"/>
    <x v="1"/>
    <x v="35"/>
    <n v="5451"/>
    <n v="3"/>
    <n v="3543.15"/>
    <n v="1907.85"/>
    <n v="0.35"/>
    <x v="11"/>
    <n v="2023"/>
  </r>
  <r>
    <x v="290"/>
    <d v="2023-01-25T00:00:00"/>
    <x v="2"/>
    <x v="2"/>
    <x v="28"/>
    <n v="17562"/>
    <n v="6"/>
    <n v="12293.4"/>
    <n v="5268.6"/>
    <n v="0.30000000000000004"/>
    <x v="9"/>
    <n v="2023"/>
  </r>
  <r>
    <x v="291"/>
    <d v="2023-08-18T00:00:00"/>
    <x v="3"/>
    <x v="1"/>
    <x v="5"/>
    <n v="1908"/>
    <n v="1"/>
    <n v="1240.2"/>
    <n v="667.8"/>
    <n v="0.35"/>
    <x v="5"/>
    <n v="2023"/>
  </r>
  <r>
    <x v="292"/>
    <d v="2023-08-06T00:00:00"/>
    <x v="0"/>
    <x v="2"/>
    <x v="28"/>
    <n v="6552"/>
    <n v="1"/>
    <n v="4586.3999999999996"/>
    <n v="1965.6000000000004"/>
    <n v="0.30000000000000004"/>
    <x v="5"/>
    <n v="2023"/>
  </r>
  <r>
    <x v="293"/>
    <d v="2023-08-27T00:00:00"/>
    <x v="1"/>
    <x v="0"/>
    <x v="19"/>
    <n v="12688"/>
    <n v="10"/>
    <n v="7612.7999999999993"/>
    <n v="5075.2000000000007"/>
    <n v="0.40000000000000008"/>
    <x v="5"/>
    <n v="2023"/>
  </r>
  <r>
    <x v="294"/>
    <d v="2023-10-28T00:00:00"/>
    <x v="2"/>
    <x v="0"/>
    <x v="17"/>
    <n v="3787"/>
    <n v="7"/>
    <n v="2272.1999999999998"/>
    <n v="1514.8000000000002"/>
    <n v="0.4"/>
    <x v="0"/>
    <n v="2023"/>
  </r>
  <r>
    <x v="295"/>
    <d v="2023-12-26T00:00:00"/>
    <x v="3"/>
    <x v="0"/>
    <x v="3"/>
    <n v="16651"/>
    <n v="5"/>
    <n v="9990.6"/>
    <n v="6660.4"/>
    <n v="0.39999999999999997"/>
    <x v="7"/>
    <n v="2023"/>
  </r>
  <r>
    <x v="296"/>
    <d v="2023-09-18T00:00:00"/>
    <x v="0"/>
    <x v="2"/>
    <x v="3"/>
    <n v="10877"/>
    <n v="2"/>
    <n v="7613.9"/>
    <n v="3263.1000000000004"/>
    <n v="0.30000000000000004"/>
    <x v="10"/>
    <n v="2023"/>
  </r>
  <r>
    <x v="297"/>
    <d v="2023-05-24T00:00:00"/>
    <x v="1"/>
    <x v="0"/>
    <x v="38"/>
    <n v="16551"/>
    <n v="5"/>
    <n v="9930.6"/>
    <n v="6620.4"/>
    <n v="0.39999999999999997"/>
    <x v="4"/>
    <n v="2023"/>
  </r>
  <r>
    <x v="298"/>
    <d v="2023-07-10T00:00:00"/>
    <x v="2"/>
    <x v="0"/>
    <x v="30"/>
    <n v="19332"/>
    <n v="4"/>
    <n v="11599.199999999999"/>
    <n v="7732.8000000000011"/>
    <n v="0.40000000000000008"/>
    <x v="6"/>
    <n v="2023"/>
  </r>
  <r>
    <x v="299"/>
    <d v="2023-02-17T00:00:00"/>
    <x v="3"/>
    <x v="0"/>
    <x v="11"/>
    <n v="14205"/>
    <n v="5"/>
    <n v="8523"/>
    <n v="5682"/>
    <n v="0.4"/>
    <x v="8"/>
    <n v="2023"/>
  </r>
  <r>
    <x v="300"/>
    <d v="2023-01-07T00:00:00"/>
    <x v="0"/>
    <x v="2"/>
    <x v="16"/>
    <n v="18359"/>
    <n v="10"/>
    <n v="12851.3"/>
    <n v="5507.7000000000007"/>
    <n v="0.30000000000000004"/>
    <x v="9"/>
    <n v="2023"/>
  </r>
  <r>
    <x v="301"/>
    <d v="2023-02-13T00:00:00"/>
    <x v="1"/>
    <x v="3"/>
    <x v="10"/>
    <n v="14206"/>
    <n v="6"/>
    <n v="10654.5"/>
    <n v="3551.5"/>
    <n v="0.25"/>
    <x v="8"/>
    <n v="2023"/>
  </r>
  <r>
    <x v="302"/>
    <d v="2023-09-25T00:00:00"/>
    <x v="2"/>
    <x v="1"/>
    <x v="29"/>
    <n v="10036"/>
    <n v="2"/>
    <n v="6523.4000000000005"/>
    <n v="3512.5999999999995"/>
    <n v="0.34999999999999992"/>
    <x v="10"/>
    <n v="2023"/>
  </r>
  <r>
    <x v="303"/>
    <d v="2023-08-18T00:00:00"/>
    <x v="3"/>
    <x v="1"/>
    <x v="23"/>
    <n v="17679"/>
    <n v="5"/>
    <n v="11491.35"/>
    <n v="6187.65"/>
    <n v="0.35"/>
    <x v="5"/>
    <n v="2023"/>
  </r>
  <r>
    <x v="304"/>
    <d v="2023-01-17T00:00:00"/>
    <x v="0"/>
    <x v="2"/>
    <x v="28"/>
    <n v="18302"/>
    <n v="9"/>
    <n v="12811.4"/>
    <n v="5490.6"/>
    <n v="0.30000000000000004"/>
    <x v="9"/>
    <n v="2023"/>
  </r>
  <r>
    <x v="305"/>
    <d v="2023-05-07T00:00:00"/>
    <x v="1"/>
    <x v="0"/>
    <x v="2"/>
    <n v="14307"/>
    <n v="5"/>
    <n v="8584.1999999999989"/>
    <n v="5722.8000000000011"/>
    <n v="0.40000000000000008"/>
    <x v="4"/>
    <n v="2023"/>
  </r>
  <r>
    <x v="306"/>
    <d v="2023-11-08T00:00:00"/>
    <x v="2"/>
    <x v="3"/>
    <x v="16"/>
    <n v="5011"/>
    <n v="10"/>
    <n v="3758.25"/>
    <n v="1252.75"/>
    <n v="0.25"/>
    <x v="3"/>
    <n v="2023"/>
  </r>
  <r>
    <x v="307"/>
    <d v="2023-05-24T00:00:00"/>
    <x v="3"/>
    <x v="1"/>
    <x v="22"/>
    <n v="17675"/>
    <n v="3"/>
    <n v="11488.75"/>
    <n v="6186.25"/>
    <n v="0.35"/>
    <x v="4"/>
    <n v="2023"/>
  </r>
  <r>
    <x v="308"/>
    <d v="2023-01-11T00:00:00"/>
    <x v="0"/>
    <x v="3"/>
    <x v="19"/>
    <n v="18207"/>
    <n v="7"/>
    <n v="13655.25"/>
    <n v="4551.75"/>
    <n v="0.25"/>
    <x v="9"/>
    <n v="2023"/>
  </r>
  <r>
    <x v="309"/>
    <d v="2023-11-28T00:00:00"/>
    <x v="1"/>
    <x v="1"/>
    <x v="40"/>
    <n v="6522"/>
    <n v="3"/>
    <n v="4239.3"/>
    <n v="2282.6999999999998"/>
    <n v="0.35"/>
    <x v="3"/>
    <n v="2023"/>
  </r>
  <r>
    <x v="310"/>
    <d v="2023-02-04T00:00:00"/>
    <x v="2"/>
    <x v="0"/>
    <x v="18"/>
    <n v="2652"/>
    <n v="1"/>
    <n v="1591.2"/>
    <n v="1060.8"/>
    <n v="0.39999999999999997"/>
    <x v="8"/>
    <n v="2023"/>
  </r>
  <r>
    <x v="311"/>
    <d v="2023-02-01T00:00:00"/>
    <x v="3"/>
    <x v="3"/>
    <x v="8"/>
    <n v="3095"/>
    <n v="6"/>
    <n v="2321.25"/>
    <n v="773.75"/>
    <n v="0.25"/>
    <x v="8"/>
    <n v="2023"/>
  </r>
  <r>
    <x v="312"/>
    <d v="2023-12-17T00:00:00"/>
    <x v="0"/>
    <x v="0"/>
    <x v="0"/>
    <n v="18969"/>
    <n v="2"/>
    <n v="11381.4"/>
    <n v="7587.6"/>
    <n v="0.4"/>
    <x v="7"/>
    <n v="2023"/>
  </r>
  <r>
    <x v="313"/>
    <d v="2023-07-01T00:00:00"/>
    <x v="1"/>
    <x v="0"/>
    <x v="35"/>
    <n v="2366"/>
    <n v="2"/>
    <n v="1419.6"/>
    <n v="946.40000000000009"/>
    <n v="0.4"/>
    <x v="6"/>
    <n v="2023"/>
  </r>
  <r>
    <x v="314"/>
    <d v="2023-10-12T00:00:00"/>
    <x v="2"/>
    <x v="0"/>
    <x v="44"/>
    <n v="15405"/>
    <n v="5"/>
    <n v="9243"/>
    <n v="6162"/>
    <n v="0.4"/>
    <x v="0"/>
    <n v="2023"/>
  </r>
  <r>
    <x v="315"/>
    <d v="2023-09-17T00:00:00"/>
    <x v="3"/>
    <x v="1"/>
    <x v="43"/>
    <n v="18210"/>
    <n v="1"/>
    <n v="11836.5"/>
    <n v="6373.5"/>
    <n v="0.35"/>
    <x v="10"/>
    <n v="2023"/>
  </r>
  <r>
    <x v="316"/>
    <d v="2023-01-28T00:00:00"/>
    <x v="0"/>
    <x v="3"/>
    <x v="7"/>
    <n v="10136"/>
    <n v="9"/>
    <n v="7602"/>
    <n v="2534"/>
    <n v="0.25"/>
    <x v="9"/>
    <n v="2023"/>
  </r>
  <r>
    <x v="317"/>
    <d v="2023-02-24T00:00:00"/>
    <x v="1"/>
    <x v="1"/>
    <x v="7"/>
    <n v="1755"/>
    <n v="5"/>
    <n v="1140.75"/>
    <n v="614.25"/>
    <n v="0.35"/>
    <x v="8"/>
    <n v="2023"/>
  </r>
  <r>
    <x v="318"/>
    <d v="2023-03-05T00:00:00"/>
    <x v="2"/>
    <x v="1"/>
    <x v="16"/>
    <n v="1602"/>
    <n v="9"/>
    <n v="1041.3"/>
    <n v="560.70000000000005"/>
    <n v="0.35000000000000003"/>
    <x v="11"/>
    <n v="2023"/>
  </r>
  <r>
    <x v="319"/>
    <d v="2023-08-12T00:00:00"/>
    <x v="3"/>
    <x v="3"/>
    <x v="33"/>
    <n v="18771"/>
    <n v="1"/>
    <n v="14078.25"/>
    <n v="4692.75"/>
    <n v="0.25"/>
    <x v="5"/>
    <n v="2023"/>
  </r>
  <r>
    <x v="320"/>
    <d v="2023-11-09T00:00:00"/>
    <x v="0"/>
    <x v="3"/>
    <x v="40"/>
    <n v="14902"/>
    <n v="8"/>
    <n v="11176.5"/>
    <n v="3725.5"/>
    <n v="0.25"/>
    <x v="3"/>
    <n v="2023"/>
  </r>
  <r>
    <x v="321"/>
    <d v="2023-04-12T00:00:00"/>
    <x v="1"/>
    <x v="0"/>
    <x v="30"/>
    <n v="17596"/>
    <n v="2"/>
    <n v="10557.6"/>
    <n v="7038.4"/>
    <n v="0.39999999999999997"/>
    <x v="1"/>
    <n v="2023"/>
  </r>
  <r>
    <x v="322"/>
    <d v="2023-06-06T00:00:00"/>
    <x v="2"/>
    <x v="3"/>
    <x v="49"/>
    <n v="2417"/>
    <n v="6"/>
    <n v="1812.75"/>
    <n v="604.25"/>
    <n v="0.25"/>
    <x v="2"/>
    <n v="2023"/>
  </r>
  <r>
    <x v="323"/>
    <d v="2023-12-20T00:00:00"/>
    <x v="3"/>
    <x v="3"/>
    <x v="48"/>
    <n v="1148"/>
    <n v="5"/>
    <n v="861"/>
    <n v="287"/>
    <n v="0.25"/>
    <x v="7"/>
    <n v="2023"/>
  </r>
  <r>
    <x v="324"/>
    <d v="2023-08-01T00:00:00"/>
    <x v="0"/>
    <x v="0"/>
    <x v="30"/>
    <n v="8924"/>
    <n v="10"/>
    <n v="5354.4"/>
    <n v="3569.6000000000004"/>
    <n v="0.4"/>
    <x v="5"/>
    <n v="2023"/>
  </r>
  <r>
    <x v="325"/>
    <d v="2023-04-01T00:00:00"/>
    <x v="1"/>
    <x v="2"/>
    <x v="37"/>
    <n v="2940"/>
    <n v="6"/>
    <n v="2058"/>
    <n v="882"/>
    <n v="0.3"/>
    <x v="1"/>
    <n v="2023"/>
  </r>
  <r>
    <x v="326"/>
    <d v="2023-06-27T00:00:00"/>
    <x v="2"/>
    <x v="0"/>
    <x v="26"/>
    <n v="10559"/>
    <n v="5"/>
    <n v="6335.4"/>
    <n v="4223.6000000000004"/>
    <n v="0.4"/>
    <x v="2"/>
    <n v="2023"/>
  </r>
  <r>
    <x v="327"/>
    <d v="2023-08-10T00:00:00"/>
    <x v="3"/>
    <x v="2"/>
    <x v="2"/>
    <n v="10805"/>
    <n v="7"/>
    <n v="7563.4999999999991"/>
    <n v="3241.5000000000009"/>
    <n v="0.3000000000000001"/>
    <x v="5"/>
    <n v="2023"/>
  </r>
  <r>
    <x v="328"/>
    <d v="2023-03-02T00:00:00"/>
    <x v="0"/>
    <x v="2"/>
    <x v="0"/>
    <n v="4618"/>
    <n v="2"/>
    <n v="3232.6"/>
    <n v="1385.4"/>
    <n v="0.30000000000000004"/>
    <x v="11"/>
    <n v="2023"/>
  </r>
  <r>
    <x v="329"/>
    <d v="2023-10-21T00:00:00"/>
    <x v="1"/>
    <x v="2"/>
    <x v="25"/>
    <n v="15664"/>
    <n v="10"/>
    <n v="10964.8"/>
    <n v="4699.2000000000007"/>
    <n v="0.30000000000000004"/>
    <x v="0"/>
    <n v="2023"/>
  </r>
  <r>
    <x v="330"/>
    <d v="2023-03-22T00:00:00"/>
    <x v="2"/>
    <x v="1"/>
    <x v="37"/>
    <n v="17301"/>
    <n v="7"/>
    <n v="11245.65"/>
    <n v="6055.35"/>
    <n v="0.35000000000000003"/>
    <x v="11"/>
    <n v="2023"/>
  </r>
  <r>
    <x v="331"/>
    <d v="2023-03-19T00:00:00"/>
    <x v="3"/>
    <x v="2"/>
    <x v="45"/>
    <n v="1044"/>
    <n v="7"/>
    <n v="730.8"/>
    <n v="313.20000000000005"/>
    <n v="0.30000000000000004"/>
    <x v="11"/>
    <n v="2023"/>
  </r>
  <r>
    <x v="332"/>
    <d v="2023-01-19T00:00:00"/>
    <x v="0"/>
    <x v="0"/>
    <x v="25"/>
    <n v="12704"/>
    <n v="2"/>
    <n v="7622.4"/>
    <n v="5081.6000000000004"/>
    <n v="0.4"/>
    <x v="9"/>
    <n v="2023"/>
  </r>
  <r>
    <x v="333"/>
    <d v="2023-05-25T00:00:00"/>
    <x v="1"/>
    <x v="0"/>
    <x v="7"/>
    <n v="6649"/>
    <n v="7"/>
    <n v="3989.3999999999996"/>
    <n v="2659.6000000000004"/>
    <n v="0.40000000000000008"/>
    <x v="4"/>
    <n v="2023"/>
  </r>
  <r>
    <x v="334"/>
    <d v="2023-01-11T00:00:00"/>
    <x v="2"/>
    <x v="2"/>
    <x v="27"/>
    <n v="9903"/>
    <n v="10"/>
    <n v="6932.0999999999995"/>
    <n v="2970.9000000000005"/>
    <n v="0.30000000000000004"/>
    <x v="9"/>
    <n v="2023"/>
  </r>
  <r>
    <x v="335"/>
    <d v="2023-10-27T00:00:00"/>
    <x v="3"/>
    <x v="2"/>
    <x v="18"/>
    <n v="16947"/>
    <n v="3"/>
    <n v="11862.9"/>
    <n v="5084.1000000000004"/>
    <n v="0.30000000000000004"/>
    <x v="0"/>
    <n v="2023"/>
  </r>
  <r>
    <x v="336"/>
    <d v="2023-10-27T00:00:00"/>
    <x v="0"/>
    <x v="1"/>
    <x v="6"/>
    <n v="7195"/>
    <n v="4"/>
    <n v="4676.75"/>
    <n v="2518.25"/>
    <n v="0.35"/>
    <x v="0"/>
    <n v="2023"/>
  </r>
  <r>
    <x v="337"/>
    <d v="2023-07-14T00:00:00"/>
    <x v="1"/>
    <x v="0"/>
    <x v="15"/>
    <n v="13486"/>
    <n v="8"/>
    <n v="8091.5999999999995"/>
    <n v="5394.4000000000005"/>
    <n v="0.4"/>
    <x v="6"/>
    <n v="2023"/>
  </r>
  <r>
    <x v="338"/>
    <d v="2023-11-07T00:00:00"/>
    <x v="2"/>
    <x v="0"/>
    <x v="14"/>
    <n v="11739"/>
    <n v="10"/>
    <n v="7043.4"/>
    <n v="4695.6000000000004"/>
    <n v="0.4"/>
    <x v="3"/>
    <n v="2023"/>
  </r>
  <r>
    <x v="339"/>
    <d v="2023-05-27T00:00:00"/>
    <x v="3"/>
    <x v="3"/>
    <x v="6"/>
    <n v="11397"/>
    <n v="4"/>
    <n v="8547.75"/>
    <n v="2849.25"/>
    <n v="0.25"/>
    <x v="4"/>
    <n v="2023"/>
  </r>
  <r>
    <x v="340"/>
    <d v="2023-08-14T00:00:00"/>
    <x v="0"/>
    <x v="1"/>
    <x v="18"/>
    <n v="1537"/>
    <n v="5"/>
    <n v="999.05000000000007"/>
    <n v="537.94999999999993"/>
    <n v="0.35"/>
    <x v="5"/>
    <n v="2023"/>
  </r>
  <r>
    <x v="341"/>
    <d v="2023-09-03T00:00:00"/>
    <x v="1"/>
    <x v="3"/>
    <x v="17"/>
    <n v="631"/>
    <n v="3"/>
    <n v="473.25"/>
    <n v="157.75"/>
    <n v="0.25"/>
    <x v="10"/>
    <n v="2023"/>
  </r>
  <r>
    <x v="342"/>
    <d v="2023-02-15T00:00:00"/>
    <x v="2"/>
    <x v="2"/>
    <x v="24"/>
    <n v="11567"/>
    <n v="9"/>
    <n v="8096.9"/>
    <n v="3470.1000000000004"/>
    <n v="0.30000000000000004"/>
    <x v="8"/>
    <n v="2023"/>
  </r>
  <r>
    <x v="343"/>
    <d v="2023-01-27T00:00:00"/>
    <x v="3"/>
    <x v="0"/>
    <x v="7"/>
    <n v="15499"/>
    <n v="2"/>
    <n v="9299.4"/>
    <n v="6199.6"/>
    <n v="0.4"/>
    <x v="9"/>
    <n v="2023"/>
  </r>
  <r>
    <x v="344"/>
    <d v="2023-03-27T00:00:00"/>
    <x v="0"/>
    <x v="1"/>
    <x v="34"/>
    <n v="14483"/>
    <n v="2"/>
    <n v="9413.9500000000007"/>
    <n v="5069.0499999999993"/>
    <n v="0.34999999999999992"/>
    <x v="11"/>
    <n v="2023"/>
  </r>
  <r>
    <x v="345"/>
    <d v="2023-07-25T00:00:00"/>
    <x v="1"/>
    <x v="0"/>
    <x v="31"/>
    <n v="8038"/>
    <n v="10"/>
    <n v="4822.8"/>
    <n v="3215.2"/>
    <n v="0.39999999999999997"/>
    <x v="6"/>
    <n v="2023"/>
  </r>
  <r>
    <x v="346"/>
    <d v="2023-05-17T00:00:00"/>
    <x v="2"/>
    <x v="2"/>
    <x v="12"/>
    <n v="12471"/>
    <n v="6"/>
    <n v="8729.6999999999989"/>
    <n v="3741.3000000000011"/>
    <n v="0.3000000000000001"/>
    <x v="4"/>
    <n v="2023"/>
  </r>
  <r>
    <x v="347"/>
    <d v="2023-07-22T00:00:00"/>
    <x v="3"/>
    <x v="0"/>
    <x v="25"/>
    <n v="4227"/>
    <n v="1"/>
    <n v="2536.1999999999998"/>
    <n v="1690.8000000000002"/>
    <n v="0.4"/>
    <x v="6"/>
    <n v="2023"/>
  </r>
  <r>
    <x v="348"/>
    <d v="2023-11-05T00:00:00"/>
    <x v="0"/>
    <x v="0"/>
    <x v="17"/>
    <n v="7344"/>
    <n v="2"/>
    <n v="4406.3999999999996"/>
    <n v="2937.6000000000004"/>
    <n v="0.4"/>
    <x v="3"/>
    <n v="2023"/>
  </r>
  <r>
    <x v="349"/>
    <d v="2023-11-11T00:00:00"/>
    <x v="1"/>
    <x v="3"/>
    <x v="35"/>
    <n v="8581"/>
    <n v="9"/>
    <n v="6435.75"/>
    <n v="2145.25"/>
    <n v="0.25"/>
    <x v="3"/>
    <n v="2023"/>
  </r>
  <r>
    <x v="350"/>
    <d v="2023-06-13T00:00:00"/>
    <x v="2"/>
    <x v="3"/>
    <x v="5"/>
    <n v="2476"/>
    <n v="7"/>
    <n v="1857"/>
    <n v="619"/>
    <n v="0.25"/>
    <x v="2"/>
    <n v="2023"/>
  </r>
  <r>
    <x v="351"/>
    <d v="2023-06-10T00:00:00"/>
    <x v="3"/>
    <x v="3"/>
    <x v="2"/>
    <n v="4104"/>
    <n v="4"/>
    <n v="3078"/>
    <n v="1026"/>
    <n v="0.25"/>
    <x v="2"/>
    <n v="2023"/>
  </r>
  <r>
    <x v="352"/>
    <d v="2023-01-02T00:00:00"/>
    <x v="0"/>
    <x v="2"/>
    <x v="38"/>
    <n v="10054"/>
    <n v="7"/>
    <n v="7037.7999999999993"/>
    <n v="3016.2000000000007"/>
    <n v="0.3000000000000001"/>
    <x v="9"/>
    <n v="2023"/>
  </r>
  <r>
    <x v="353"/>
    <d v="2023-09-22T00:00:00"/>
    <x v="1"/>
    <x v="3"/>
    <x v="37"/>
    <n v="7760"/>
    <n v="6"/>
    <n v="5820"/>
    <n v="1940"/>
    <n v="0.25"/>
    <x v="10"/>
    <n v="2023"/>
  </r>
  <r>
    <x v="354"/>
    <d v="2023-08-27T00:00:00"/>
    <x v="2"/>
    <x v="1"/>
    <x v="26"/>
    <n v="4531"/>
    <n v="6"/>
    <n v="2945.15"/>
    <n v="1585.85"/>
    <n v="0.35"/>
    <x v="5"/>
    <n v="2023"/>
  </r>
  <r>
    <x v="355"/>
    <d v="2023-08-11T00:00:00"/>
    <x v="3"/>
    <x v="3"/>
    <x v="11"/>
    <n v="5910"/>
    <n v="1"/>
    <n v="4432.5"/>
    <n v="1477.5"/>
    <n v="0.25"/>
    <x v="5"/>
    <n v="2023"/>
  </r>
  <r>
    <x v="356"/>
    <d v="2023-07-25T00:00:00"/>
    <x v="0"/>
    <x v="2"/>
    <x v="14"/>
    <n v="9602"/>
    <n v="8"/>
    <n v="6721.4"/>
    <n v="2880.6000000000004"/>
    <n v="0.30000000000000004"/>
    <x v="6"/>
    <n v="2023"/>
  </r>
  <r>
    <x v="357"/>
    <d v="2023-07-23T00:00:00"/>
    <x v="1"/>
    <x v="1"/>
    <x v="5"/>
    <n v="10840"/>
    <n v="2"/>
    <n v="7046"/>
    <n v="3794"/>
    <n v="0.35"/>
    <x v="6"/>
    <n v="2023"/>
  </r>
  <r>
    <x v="358"/>
    <d v="2023-04-20T00:00:00"/>
    <x v="2"/>
    <x v="2"/>
    <x v="18"/>
    <n v="14579"/>
    <n v="7"/>
    <n v="10205.299999999999"/>
    <n v="4373.7000000000007"/>
    <n v="0.30000000000000004"/>
    <x v="1"/>
    <n v="2023"/>
  </r>
  <r>
    <x v="359"/>
    <d v="2023-06-16T00:00:00"/>
    <x v="3"/>
    <x v="3"/>
    <x v="3"/>
    <n v="7153"/>
    <n v="4"/>
    <n v="5364.75"/>
    <n v="1788.25"/>
    <n v="0.25"/>
    <x v="2"/>
    <n v="2023"/>
  </r>
  <r>
    <x v="360"/>
    <d v="2023-12-08T00:00:00"/>
    <x v="0"/>
    <x v="3"/>
    <x v="20"/>
    <n v="13818"/>
    <n v="8"/>
    <n v="10363.5"/>
    <n v="3454.5"/>
    <n v="0.25"/>
    <x v="7"/>
    <n v="2023"/>
  </r>
  <r>
    <x v="361"/>
    <d v="2023-06-26T00:00:00"/>
    <x v="1"/>
    <x v="0"/>
    <x v="5"/>
    <n v="12810"/>
    <n v="2"/>
    <n v="7686"/>
    <n v="5124"/>
    <n v="0.4"/>
    <x v="2"/>
    <n v="2023"/>
  </r>
  <r>
    <x v="362"/>
    <d v="2023-11-09T00:00:00"/>
    <x v="2"/>
    <x v="1"/>
    <x v="15"/>
    <n v="18660"/>
    <n v="7"/>
    <n v="12129"/>
    <n v="6531"/>
    <n v="0.35"/>
    <x v="3"/>
    <n v="2023"/>
  </r>
  <r>
    <x v="363"/>
    <d v="2023-07-05T00:00:00"/>
    <x v="3"/>
    <x v="2"/>
    <x v="20"/>
    <n v="8912"/>
    <n v="8"/>
    <n v="6238.4"/>
    <n v="2673.6000000000004"/>
    <n v="0.30000000000000004"/>
    <x v="6"/>
    <n v="2023"/>
  </r>
  <r>
    <x v="364"/>
    <d v="2023-02-20T00:00:00"/>
    <x v="0"/>
    <x v="3"/>
    <x v="37"/>
    <n v="1023"/>
    <n v="10"/>
    <n v="767.25"/>
    <n v="255.75"/>
    <n v="0.25"/>
    <x v="8"/>
    <n v="2023"/>
  </r>
  <r>
    <x v="365"/>
    <d v="2023-08-12T00:00:00"/>
    <x v="1"/>
    <x v="3"/>
    <x v="49"/>
    <n v="17935"/>
    <n v="5"/>
    <n v="13451.25"/>
    <n v="4483.75"/>
    <n v="0.25"/>
    <x v="5"/>
    <n v="2023"/>
  </r>
  <r>
    <x v="366"/>
    <d v="2023-11-21T00:00:00"/>
    <x v="2"/>
    <x v="2"/>
    <x v="20"/>
    <n v="13363"/>
    <n v="6"/>
    <n v="9354.0999999999985"/>
    <n v="4008.9000000000015"/>
    <n v="0.3000000000000001"/>
    <x v="3"/>
    <n v="2023"/>
  </r>
  <r>
    <x v="367"/>
    <d v="2023-10-18T00:00:00"/>
    <x v="3"/>
    <x v="1"/>
    <x v="23"/>
    <n v="3227"/>
    <n v="10"/>
    <n v="2097.5500000000002"/>
    <n v="1129.4499999999998"/>
    <n v="0.34999999999999992"/>
    <x v="0"/>
    <n v="2023"/>
  </r>
  <r>
    <x v="368"/>
    <d v="2023-08-28T00:00:00"/>
    <x v="0"/>
    <x v="2"/>
    <x v="45"/>
    <n v="3870"/>
    <n v="2"/>
    <n v="2709"/>
    <n v="1161"/>
    <n v="0.3"/>
    <x v="5"/>
    <n v="2023"/>
  </r>
  <r>
    <x v="369"/>
    <d v="2023-10-08T00:00:00"/>
    <x v="1"/>
    <x v="1"/>
    <x v="13"/>
    <n v="7336"/>
    <n v="9"/>
    <n v="4768.4000000000005"/>
    <n v="2567.5999999999995"/>
    <n v="0.34999999999999992"/>
    <x v="0"/>
    <n v="2023"/>
  </r>
  <r>
    <x v="370"/>
    <d v="2023-10-20T00:00:00"/>
    <x v="2"/>
    <x v="3"/>
    <x v="29"/>
    <n v="8924"/>
    <n v="3"/>
    <n v="6693"/>
    <n v="2231"/>
    <n v="0.25"/>
    <x v="0"/>
    <n v="2023"/>
  </r>
  <r>
    <x v="371"/>
    <d v="2023-05-20T00:00:00"/>
    <x v="3"/>
    <x v="3"/>
    <x v="13"/>
    <n v="7087"/>
    <n v="5"/>
    <n v="5315.25"/>
    <n v="1771.75"/>
    <n v="0.25"/>
    <x v="4"/>
    <n v="2023"/>
  </r>
  <r>
    <x v="372"/>
    <d v="2023-03-11T00:00:00"/>
    <x v="0"/>
    <x v="3"/>
    <x v="35"/>
    <n v="6467"/>
    <n v="7"/>
    <n v="4850.25"/>
    <n v="1616.75"/>
    <n v="0.25"/>
    <x v="11"/>
    <n v="2023"/>
  </r>
  <r>
    <x v="373"/>
    <d v="2023-05-11T00:00:00"/>
    <x v="1"/>
    <x v="1"/>
    <x v="40"/>
    <n v="18468"/>
    <n v="5"/>
    <n v="12004.2"/>
    <n v="6463.7999999999993"/>
    <n v="0.35"/>
    <x v="4"/>
    <n v="2023"/>
  </r>
  <r>
    <x v="374"/>
    <d v="2023-08-11T00:00:00"/>
    <x v="2"/>
    <x v="1"/>
    <x v="23"/>
    <n v="18922"/>
    <n v="4"/>
    <n v="12299.300000000001"/>
    <n v="6622.6999999999989"/>
    <n v="0.34999999999999992"/>
    <x v="5"/>
    <n v="2023"/>
  </r>
  <r>
    <x v="375"/>
    <d v="2023-06-08T00:00:00"/>
    <x v="3"/>
    <x v="2"/>
    <x v="14"/>
    <n v="18677"/>
    <n v="5"/>
    <n v="13073.9"/>
    <n v="5603.1"/>
    <n v="0.30000000000000004"/>
    <x v="2"/>
    <n v="2023"/>
  </r>
  <r>
    <x v="376"/>
    <d v="2023-12-01T00:00:00"/>
    <x v="0"/>
    <x v="0"/>
    <x v="48"/>
    <n v="15006"/>
    <n v="2"/>
    <n v="9003.6"/>
    <n v="6002.4"/>
    <n v="0.39999999999999997"/>
    <x v="7"/>
    <n v="2023"/>
  </r>
  <r>
    <x v="377"/>
    <d v="2023-06-02T00:00:00"/>
    <x v="1"/>
    <x v="1"/>
    <x v="17"/>
    <n v="16681"/>
    <n v="2"/>
    <n v="10842.65"/>
    <n v="5838.35"/>
    <n v="0.35000000000000003"/>
    <x v="2"/>
    <n v="2023"/>
  </r>
  <r>
    <x v="378"/>
    <d v="2023-05-09T00:00:00"/>
    <x v="2"/>
    <x v="2"/>
    <x v="17"/>
    <n v="19130"/>
    <n v="5"/>
    <n v="13391"/>
    <n v="5739"/>
    <n v="0.3"/>
    <x v="4"/>
    <n v="2023"/>
  </r>
  <r>
    <x v="379"/>
    <d v="2023-05-22T00:00:00"/>
    <x v="3"/>
    <x v="3"/>
    <x v="35"/>
    <n v="10385"/>
    <n v="3"/>
    <n v="7788.75"/>
    <n v="2596.25"/>
    <n v="0.25"/>
    <x v="4"/>
    <n v="2023"/>
  </r>
  <r>
    <x v="380"/>
    <d v="2023-07-03T00:00:00"/>
    <x v="0"/>
    <x v="3"/>
    <x v="0"/>
    <n v="11367"/>
    <n v="4"/>
    <n v="8525.25"/>
    <n v="2841.75"/>
    <n v="0.25"/>
    <x v="6"/>
    <n v="2023"/>
  </r>
  <r>
    <x v="381"/>
    <d v="2023-06-20T00:00:00"/>
    <x v="1"/>
    <x v="3"/>
    <x v="46"/>
    <n v="7091"/>
    <n v="7"/>
    <n v="5318.25"/>
    <n v="1772.75"/>
    <n v="0.25"/>
    <x v="2"/>
    <n v="2023"/>
  </r>
  <r>
    <x v="382"/>
    <d v="2023-10-27T00:00:00"/>
    <x v="2"/>
    <x v="0"/>
    <x v="15"/>
    <n v="6523"/>
    <n v="3"/>
    <n v="3913.7999999999997"/>
    <n v="2609.2000000000003"/>
    <n v="0.4"/>
    <x v="0"/>
    <n v="2023"/>
  </r>
  <r>
    <x v="383"/>
    <d v="2023-08-16T00:00:00"/>
    <x v="3"/>
    <x v="3"/>
    <x v="4"/>
    <n v="4748"/>
    <n v="3"/>
    <n v="3561"/>
    <n v="1187"/>
    <n v="0.25"/>
    <x v="5"/>
    <n v="2023"/>
  </r>
  <r>
    <x v="384"/>
    <d v="2023-12-01T00:00:00"/>
    <x v="0"/>
    <x v="2"/>
    <x v="14"/>
    <n v="15378"/>
    <n v="2"/>
    <n v="10764.599999999999"/>
    <n v="4613.4000000000015"/>
    <n v="0.3000000000000001"/>
    <x v="7"/>
    <n v="2023"/>
  </r>
  <r>
    <x v="385"/>
    <d v="2023-07-06T00:00:00"/>
    <x v="1"/>
    <x v="2"/>
    <x v="12"/>
    <n v="18359"/>
    <n v="7"/>
    <n v="12851.3"/>
    <n v="5507.7000000000007"/>
    <n v="0.30000000000000004"/>
    <x v="6"/>
    <n v="2023"/>
  </r>
  <r>
    <x v="386"/>
    <d v="2023-02-23T00:00:00"/>
    <x v="2"/>
    <x v="0"/>
    <x v="40"/>
    <n v="3896"/>
    <n v="8"/>
    <n v="2337.6"/>
    <n v="1558.4"/>
    <n v="0.4"/>
    <x v="8"/>
    <n v="2023"/>
  </r>
  <r>
    <x v="387"/>
    <d v="2023-10-08T00:00:00"/>
    <x v="3"/>
    <x v="1"/>
    <x v="33"/>
    <n v="7631"/>
    <n v="1"/>
    <n v="4960.1500000000005"/>
    <n v="2670.8499999999995"/>
    <n v="0.34999999999999992"/>
    <x v="0"/>
    <n v="2023"/>
  </r>
  <r>
    <x v="388"/>
    <d v="2023-02-24T00:00:00"/>
    <x v="0"/>
    <x v="3"/>
    <x v="10"/>
    <n v="3311"/>
    <n v="10"/>
    <n v="2483.25"/>
    <n v="827.75"/>
    <n v="0.25"/>
    <x v="8"/>
    <n v="2023"/>
  </r>
  <r>
    <x v="389"/>
    <d v="2023-02-10T00:00:00"/>
    <x v="1"/>
    <x v="0"/>
    <x v="9"/>
    <n v="9174"/>
    <n v="9"/>
    <n v="5504.4"/>
    <n v="3669.6000000000004"/>
    <n v="0.4"/>
    <x v="8"/>
    <n v="2023"/>
  </r>
  <r>
    <x v="390"/>
    <d v="2023-01-17T00:00:00"/>
    <x v="2"/>
    <x v="3"/>
    <x v="40"/>
    <n v="8324"/>
    <n v="2"/>
    <n v="6243"/>
    <n v="2081"/>
    <n v="0.25"/>
    <x v="9"/>
    <n v="2023"/>
  </r>
  <r>
    <x v="391"/>
    <d v="2023-05-09T00:00:00"/>
    <x v="3"/>
    <x v="1"/>
    <x v="11"/>
    <n v="1375"/>
    <n v="1"/>
    <n v="893.75"/>
    <n v="481.25"/>
    <n v="0.35"/>
    <x v="4"/>
    <n v="2023"/>
  </r>
  <r>
    <x v="392"/>
    <d v="2023-01-23T00:00:00"/>
    <x v="0"/>
    <x v="3"/>
    <x v="41"/>
    <n v="6070"/>
    <n v="10"/>
    <n v="4552.5"/>
    <n v="1517.5"/>
    <n v="0.25"/>
    <x v="9"/>
    <n v="2023"/>
  </r>
  <r>
    <x v="393"/>
    <d v="2023-01-23T00:00:00"/>
    <x v="1"/>
    <x v="0"/>
    <x v="33"/>
    <n v="14754"/>
    <n v="7"/>
    <n v="8852.4"/>
    <n v="5901.6"/>
    <n v="0.4"/>
    <x v="9"/>
    <n v="2023"/>
  </r>
  <r>
    <x v="394"/>
    <d v="2023-12-05T00:00:00"/>
    <x v="2"/>
    <x v="1"/>
    <x v="48"/>
    <n v="7517"/>
    <n v="5"/>
    <n v="4886.05"/>
    <n v="2630.95"/>
    <n v="0.35"/>
    <x v="7"/>
    <n v="2023"/>
  </r>
  <r>
    <x v="395"/>
    <d v="2023-05-02T00:00:00"/>
    <x v="3"/>
    <x v="0"/>
    <x v="19"/>
    <n v="10242"/>
    <n v="7"/>
    <n v="6145.2"/>
    <n v="4096.8"/>
    <n v="0.4"/>
    <x v="4"/>
    <n v="2023"/>
  </r>
  <r>
    <x v="396"/>
    <d v="2023-04-07T00:00:00"/>
    <x v="0"/>
    <x v="0"/>
    <x v="1"/>
    <n v="16468"/>
    <n v="1"/>
    <n v="9880.7999999999993"/>
    <n v="6587.2000000000007"/>
    <n v="0.4"/>
    <x v="1"/>
    <n v="2023"/>
  </r>
  <r>
    <x v="397"/>
    <d v="2023-03-08T00:00:00"/>
    <x v="1"/>
    <x v="1"/>
    <x v="42"/>
    <n v="16197"/>
    <n v="1"/>
    <n v="10528.050000000001"/>
    <n v="5668.9499999999989"/>
    <n v="0.34999999999999992"/>
    <x v="11"/>
    <n v="2023"/>
  </r>
  <r>
    <x v="398"/>
    <d v="2023-05-05T00:00:00"/>
    <x v="2"/>
    <x v="0"/>
    <x v="16"/>
    <n v="11995"/>
    <n v="1"/>
    <n v="7197"/>
    <n v="4798"/>
    <n v="0.4"/>
    <x v="4"/>
    <n v="2023"/>
  </r>
  <r>
    <x v="399"/>
    <d v="2023-10-27T00:00:00"/>
    <x v="3"/>
    <x v="1"/>
    <x v="17"/>
    <n v="17066"/>
    <n v="9"/>
    <n v="11092.9"/>
    <n v="5973.1"/>
    <n v="0.35000000000000003"/>
    <x v="0"/>
    <n v="2023"/>
  </r>
  <r>
    <x v="400"/>
    <d v="2023-10-14T00:00:00"/>
    <x v="0"/>
    <x v="3"/>
    <x v="38"/>
    <n v="18903"/>
    <n v="8"/>
    <n v="14177.25"/>
    <n v="4725.75"/>
    <n v="0.25"/>
    <x v="0"/>
    <n v="2023"/>
  </r>
  <r>
    <x v="401"/>
    <d v="2023-08-20T00:00:00"/>
    <x v="1"/>
    <x v="3"/>
    <x v="30"/>
    <n v="1379"/>
    <n v="6"/>
    <n v="1034.25"/>
    <n v="344.75"/>
    <n v="0.25"/>
    <x v="5"/>
    <n v="2023"/>
  </r>
  <r>
    <x v="402"/>
    <d v="2023-11-03T00:00:00"/>
    <x v="2"/>
    <x v="3"/>
    <x v="10"/>
    <n v="13197"/>
    <n v="7"/>
    <n v="9897.75"/>
    <n v="3299.25"/>
    <n v="0.25"/>
    <x v="3"/>
    <n v="2023"/>
  </r>
  <r>
    <x v="403"/>
    <d v="2023-04-21T00:00:00"/>
    <x v="3"/>
    <x v="0"/>
    <x v="14"/>
    <n v="892"/>
    <n v="6"/>
    <n v="535.19999999999993"/>
    <n v="356.80000000000007"/>
    <n v="0.40000000000000008"/>
    <x v="1"/>
    <n v="2023"/>
  </r>
  <r>
    <x v="404"/>
    <d v="2023-11-10T00:00:00"/>
    <x v="0"/>
    <x v="0"/>
    <x v="2"/>
    <n v="8806"/>
    <n v="2"/>
    <n v="5283.5999999999995"/>
    <n v="3522.4000000000005"/>
    <n v="0.40000000000000008"/>
    <x v="3"/>
    <n v="2023"/>
  </r>
  <r>
    <x v="405"/>
    <d v="2023-11-14T00:00:00"/>
    <x v="1"/>
    <x v="1"/>
    <x v="34"/>
    <n v="13937"/>
    <n v="8"/>
    <n v="9059.0500000000011"/>
    <n v="4877.9499999999989"/>
    <n v="0.34999999999999992"/>
    <x v="3"/>
    <n v="2023"/>
  </r>
  <r>
    <x v="406"/>
    <d v="2023-05-02T00:00:00"/>
    <x v="2"/>
    <x v="2"/>
    <x v="29"/>
    <n v="10160"/>
    <n v="7"/>
    <n v="7112"/>
    <n v="3048"/>
    <n v="0.3"/>
    <x v="4"/>
    <n v="2023"/>
  </r>
  <r>
    <x v="407"/>
    <d v="2023-10-08T00:00:00"/>
    <x v="3"/>
    <x v="2"/>
    <x v="7"/>
    <n v="15000"/>
    <n v="7"/>
    <n v="10500"/>
    <n v="4500"/>
    <n v="0.3"/>
    <x v="0"/>
    <n v="2023"/>
  </r>
  <r>
    <x v="408"/>
    <d v="2023-05-06T00:00:00"/>
    <x v="0"/>
    <x v="2"/>
    <x v="25"/>
    <n v="1636"/>
    <n v="1"/>
    <n v="1145.1999999999998"/>
    <n v="490.80000000000018"/>
    <n v="0.3000000000000001"/>
    <x v="4"/>
    <n v="2023"/>
  </r>
  <r>
    <x v="409"/>
    <d v="2023-04-05T00:00:00"/>
    <x v="1"/>
    <x v="3"/>
    <x v="16"/>
    <n v="9237"/>
    <n v="7"/>
    <n v="6927.75"/>
    <n v="2309.25"/>
    <n v="0.25"/>
    <x v="1"/>
    <n v="2023"/>
  </r>
  <r>
    <x v="410"/>
    <d v="2023-01-14T00:00:00"/>
    <x v="2"/>
    <x v="3"/>
    <x v="3"/>
    <n v="8093"/>
    <n v="4"/>
    <n v="6069.75"/>
    <n v="2023.25"/>
    <n v="0.25"/>
    <x v="9"/>
    <n v="2023"/>
  </r>
  <r>
    <x v="411"/>
    <d v="2023-02-08T00:00:00"/>
    <x v="3"/>
    <x v="3"/>
    <x v="14"/>
    <n v="4488"/>
    <n v="7"/>
    <n v="3366"/>
    <n v="1122"/>
    <n v="0.25"/>
    <x v="8"/>
    <n v="2023"/>
  </r>
  <r>
    <x v="412"/>
    <d v="2023-04-03T00:00:00"/>
    <x v="0"/>
    <x v="0"/>
    <x v="8"/>
    <n v="1358"/>
    <n v="8"/>
    <n v="814.8"/>
    <n v="543.20000000000005"/>
    <n v="0.4"/>
    <x v="1"/>
    <n v="2023"/>
  </r>
  <r>
    <x v="413"/>
    <d v="2023-04-03T00:00:00"/>
    <x v="1"/>
    <x v="0"/>
    <x v="38"/>
    <n v="13019"/>
    <n v="6"/>
    <n v="7811.4"/>
    <n v="5207.6000000000004"/>
    <n v="0.4"/>
    <x v="1"/>
    <n v="2023"/>
  </r>
  <r>
    <x v="414"/>
    <d v="2023-02-11T00:00:00"/>
    <x v="2"/>
    <x v="0"/>
    <x v="21"/>
    <n v="2358"/>
    <n v="5"/>
    <n v="1414.8"/>
    <n v="943.2"/>
    <n v="0.4"/>
    <x v="8"/>
    <n v="2023"/>
  </r>
  <r>
    <x v="415"/>
    <d v="2023-09-02T00:00:00"/>
    <x v="3"/>
    <x v="2"/>
    <x v="21"/>
    <n v="12284"/>
    <n v="8"/>
    <n v="8598.7999999999993"/>
    <n v="3685.2000000000007"/>
    <n v="0.30000000000000004"/>
    <x v="10"/>
    <n v="2023"/>
  </r>
  <r>
    <x v="416"/>
    <d v="2023-08-19T00:00:00"/>
    <x v="0"/>
    <x v="1"/>
    <x v="18"/>
    <n v="3925"/>
    <n v="6"/>
    <n v="2551.25"/>
    <n v="1373.75"/>
    <n v="0.35"/>
    <x v="5"/>
    <n v="2023"/>
  </r>
  <r>
    <x v="417"/>
    <d v="2023-08-26T00:00:00"/>
    <x v="1"/>
    <x v="1"/>
    <x v="11"/>
    <n v="19196"/>
    <n v="6"/>
    <n v="12477.4"/>
    <n v="6718.6"/>
    <n v="0.35000000000000003"/>
    <x v="5"/>
    <n v="2023"/>
  </r>
  <r>
    <x v="418"/>
    <d v="2023-10-26T00:00:00"/>
    <x v="2"/>
    <x v="2"/>
    <x v="47"/>
    <n v="12593"/>
    <n v="1"/>
    <n v="8815.0999999999985"/>
    <n v="3777.9000000000015"/>
    <n v="0.3000000000000001"/>
    <x v="0"/>
    <n v="2023"/>
  </r>
  <r>
    <x v="419"/>
    <d v="2023-10-03T00:00:00"/>
    <x v="3"/>
    <x v="3"/>
    <x v="11"/>
    <n v="14117"/>
    <n v="9"/>
    <n v="10587.75"/>
    <n v="3529.25"/>
    <n v="0.25"/>
    <x v="0"/>
    <n v="2023"/>
  </r>
  <r>
    <x v="420"/>
    <d v="2023-07-28T00:00:00"/>
    <x v="0"/>
    <x v="0"/>
    <x v="13"/>
    <n v="18459"/>
    <n v="10"/>
    <n v="11075.4"/>
    <n v="7383.6"/>
    <n v="0.4"/>
    <x v="6"/>
    <n v="2023"/>
  </r>
  <r>
    <x v="421"/>
    <d v="2023-12-10T00:00:00"/>
    <x v="1"/>
    <x v="1"/>
    <x v="20"/>
    <n v="15570"/>
    <n v="2"/>
    <n v="10120.5"/>
    <n v="5449.5"/>
    <n v="0.35"/>
    <x v="7"/>
    <n v="2023"/>
  </r>
  <r>
    <x v="422"/>
    <d v="2023-03-12T00:00:00"/>
    <x v="2"/>
    <x v="1"/>
    <x v="2"/>
    <n v="13286"/>
    <n v="9"/>
    <n v="8635.9"/>
    <n v="4650.1000000000004"/>
    <n v="0.35000000000000003"/>
    <x v="11"/>
    <n v="2023"/>
  </r>
  <r>
    <x v="423"/>
    <d v="2023-11-04T00:00:00"/>
    <x v="3"/>
    <x v="3"/>
    <x v="2"/>
    <n v="6744"/>
    <n v="8"/>
    <n v="5058"/>
    <n v="1686"/>
    <n v="0.25"/>
    <x v="3"/>
    <n v="2023"/>
  </r>
  <r>
    <x v="424"/>
    <d v="2023-06-05T00:00:00"/>
    <x v="0"/>
    <x v="3"/>
    <x v="49"/>
    <n v="17220"/>
    <n v="6"/>
    <n v="12915"/>
    <n v="4305"/>
    <n v="0.25"/>
    <x v="2"/>
    <n v="2023"/>
  </r>
  <r>
    <x v="425"/>
    <d v="2023-07-17T00:00:00"/>
    <x v="1"/>
    <x v="2"/>
    <x v="34"/>
    <n v="17978"/>
    <n v="1"/>
    <n v="12584.599999999999"/>
    <n v="5393.4000000000015"/>
    <n v="0.3000000000000001"/>
    <x v="6"/>
    <n v="2023"/>
  </r>
  <r>
    <x v="426"/>
    <d v="2023-02-25T00:00:00"/>
    <x v="2"/>
    <x v="2"/>
    <x v="46"/>
    <n v="1478"/>
    <n v="1"/>
    <n v="1034.5999999999999"/>
    <n v="443.40000000000009"/>
    <n v="0.30000000000000004"/>
    <x v="8"/>
    <n v="2023"/>
  </r>
  <r>
    <x v="427"/>
    <d v="2023-05-14T00:00:00"/>
    <x v="3"/>
    <x v="2"/>
    <x v="31"/>
    <n v="3515"/>
    <n v="9"/>
    <n v="2460.5"/>
    <n v="1054.5"/>
    <n v="0.3"/>
    <x v="4"/>
    <n v="2023"/>
  </r>
  <r>
    <x v="428"/>
    <d v="2023-04-18T00:00:00"/>
    <x v="0"/>
    <x v="1"/>
    <x v="39"/>
    <n v="9242"/>
    <n v="10"/>
    <n v="6007.3"/>
    <n v="3234.7"/>
    <n v="0.35"/>
    <x v="1"/>
    <n v="2023"/>
  </r>
  <r>
    <x v="429"/>
    <d v="2023-12-13T00:00:00"/>
    <x v="1"/>
    <x v="2"/>
    <x v="11"/>
    <n v="7279"/>
    <n v="4"/>
    <n v="5095.2999999999993"/>
    <n v="2183.7000000000007"/>
    <n v="0.3000000000000001"/>
    <x v="7"/>
    <n v="2023"/>
  </r>
  <r>
    <x v="430"/>
    <d v="2023-09-19T00:00:00"/>
    <x v="2"/>
    <x v="0"/>
    <x v="27"/>
    <n v="8362"/>
    <n v="5"/>
    <n v="5017.2"/>
    <n v="3344.8"/>
    <n v="0.4"/>
    <x v="10"/>
    <n v="2023"/>
  </r>
  <r>
    <x v="431"/>
    <d v="2023-10-27T00:00:00"/>
    <x v="3"/>
    <x v="1"/>
    <x v="19"/>
    <n v="9333"/>
    <n v="2"/>
    <n v="6066.45"/>
    <n v="3266.55"/>
    <n v="0.35000000000000003"/>
    <x v="0"/>
    <n v="2023"/>
  </r>
  <r>
    <x v="432"/>
    <d v="2023-07-17T00:00:00"/>
    <x v="0"/>
    <x v="0"/>
    <x v="24"/>
    <n v="6566"/>
    <n v="10"/>
    <n v="3939.6"/>
    <n v="2626.4"/>
    <n v="0.4"/>
    <x v="6"/>
    <n v="2023"/>
  </r>
  <r>
    <x v="433"/>
    <d v="2023-10-09T00:00:00"/>
    <x v="1"/>
    <x v="2"/>
    <x v="8"/>
    <n v="13438"/>
    <n v="4"/>
    <n v="9406.5999999999985"/>
    <n v="4031.4000000000015"/>
    <n v="0.3000000000000001"/>
    <x v="0"/>
    <n v="2023"/>
  </r>
  <r>
    <x v="434"/>
    <d v="2023-03-23T00:00:00"/>
    <x v="2"/>
    <x v="3"/>
    <x v="27"/>
    <n v="6269"/>
    <n v="1"/>
    <n v="4701.75"/>
    <n v="1567.25"/>
    <n v="0.25"/>
    <x v="11"/>
    <n v="2023"/>
  </r>
  <r>
    <x v="435"/>
    <d v="2023-09-25T00:00:00"/>
    <x v="3"/>
    <x v="0"/>
    <x v="40"/>
    <n v="17984"/>
    <n v="8"/>
    <n v="10790.4"/>
    <n v="7193.6"/>
    <n v="0.4"/>
    <x v="10"/>
    <n v="2023"/>
  </r>
  <r>
    <x v="436"/>
    <d v="2023-04-02T00:00:00"/>
    <x v="0"/>
    <x v="3"/>
    <x v="43"/>
    <n v="4071"/>
    <n v="4"/>
    <n v="3053.25"/>
    <n v="1017.75"/>
    <n v="0.25"/>
    <x v="1"/>
    <n v="2023"/>
  </r>
  <r>
    <x v="437"/>
    <d v="2023-08-06T00:00:00"/>
    <x v="1"/>
    <x v="2"/>
    <x v="43"/>
    <n v="1149"/>
    <n v="10"/>
    <n v="804.3"/>
    <n v="344.70000000000005"/>
    <n v="0.30000000000000004"/>
    <x v="5"/>
    <n v="2023"/>
  </r>
  <r>
    <x v="438"/>
    <d v="2023-04-24T00:00:00"/>
    <x v="2"/>
    <x v="3"/>
    <x v="34"/>
    <n v="10090"/>
    <n v="9"/>
    <n v="7567.5"/>
    <n v="2522.5"/>
    <n v="0.25"/>
    <x v="1"/>
    <n v="2023"/>
  </r>
  <r>
    <x v="439"/>
    <d v="2023-03-24T00:00:00"/>
    <x v="3"/>
    <x v="1"/>
    <x v="43"/>
    <n v="19161"/>
    <n v="6"/>
    <n v="12454.65"/>
    <n v="6706.35"/>
    <n v="0.35000000000000003"/>
    <x v="11"/>
    <n v="2023"/>
  </r>
  <r>
    <x v="440"/>
    <d v="2023-03-22T00:00:00"/>
    <x v="0"/>
    <x v="2"/>
    <x v="0"/>
    <n v="12416"/>
    <n v="5"/>
    <n v="8691.1999999999989"/>
    <n v="3724.8000000000011"/>
    <n v="0.3000000000000001"/>
    <x v="11"/>
    <n v="2023"/>
  </r>
  <r>
    <x v="441"/>
    <d v="2023-11-03T00:00:00"/>
    <x v="1"/>
    <x v="2"/>
    <x v="28"/>
    <n v="5185"/>
    <n v="4"/>
    <n v="3629.4999999999995"/>
    <n v="1555.5000000000005"/>
    <n v="0.3000000000000001"/>
    <x v="3"/>
    <n v="2023"/>
  </r>
  <r>
    <x v="442"/>
    <d v="2023-06-21T00:00:00"/>
    <x v="2"/>
    <x v="2"/>
    <x v="17"/>
    <n v="5208"/>
    <n v="4"/>
    <n v="3645.6"/>
    <n v="1562.4"/>
    <n v="0.30000000000000004"/>
    <x v="2"/>
    <n v="2023"/>
  </r>
  <r>
    <x v="443"/>
    <d v="2023-07-05T00:00:00"/>
    <x v="3"/>
    <x v="0"/>
    <x v="43"/>
    <n v="16428"/>
    <n v="2"/>
    <n v="9856.7999999999993"/>
    <n v="6571.2000000000007"/>
    <n v="0.4"/>
    <x v="6"/>
    <n v="2023"/>
  </r>
  <r>
    <x v="444"/>
    <d v="2023-09-26T00:00:00"/>
    <x v="0"/>
    <x v="2"/>
    <x v="0"/>
    <n v="15260"/>
    <n v="8"/>
    <n v="10682"/>
    <n v="4578"/>
    <n v="0.3"/>
    <x v="10"/>
    <n v="2023"/>
  </r>
  <r>
    <x v="445"/>
    <d v="2023-05-07T00:00:00"/>
    <x v="1"/>
    <x v="2"/>
    <x v="20"/>
    <n v="13818"/>
    <n v="4"/>
    <n v="9672.5999999999985"/>
    <n v="4145.4000000000015"/>
    <n v="0.3000000000000001"/>
    <x v="4"/>
    <n v="2023"/>
  </r>
  <r>
    <x v="446"/>
    <d v="2023-01-22T00:00:00"/>
    <x v="2"/>
    <x v="2"/>
    <x v="3"/>
    <n v="6921"/>
    <n v="5"/>
    <n v="4844.7"/>
    <n v="2076.3000000000002"/>
    <n v="0.30000000000000004"/>
    <x v="9"/>
    <n v="2023"/>
  </r>
  <r>
    <x v="447"/>
    <d v="2023-08-23T00:00:00"/>
    <x v="3"/>
    <x v="2"/>
    <x v="40"/>
    <n v="6783"/>
    <n v="9"/>
    <n v="4748.0999999999995"/>
    <n v="2034.9000000000005"/>
    <n v="0.3000000000000001"/>
    <x v="5"/>
    <n v="2023"/>
  </r>
  <r>
    <x v="448"/>
    <d v="2023-05-10T00:00:00"/>
    <x v="0"/>
    <x v="2"/>
    <x v="38"/>
    <n v="5897"/>
    <n v="1"/>
    <n v="4127.8999999999996"/>
    <n v="1769.1000000000004"/>
    <n v="0.30000000000000004"/>
    <x v="4"/>
    <n v="2023"/>
  </r>
  <r>
    <x v="449"/>
    <d v="2023-02-05T00:00:00"/>
    <x v="1"/>
    <x v="3"/>
    <x v="22"/>
    <n v="12980"/>
    <n v="4"/>
    <n v="9735"/>
    <n v="3245"/>
    <n v="0.25"/>
    <x v="8"/>
    <n v="2023"/>
  </r>
  <r>
    <x v="450"/>
    <d v="2023-10-01T00:00:00"/>
    <x v="2"/>
    <x v="1"/>
    <x v="3"/>
    <n v="17043"/>
    <n v="8"/>
    <n v="11077.95"/>
    <n v="5965.0499999999993"/>
    <n v="0.35"/>
    <x v="0"/>
    <n v="2023"/>
  </r>
  <r>
    <x v="451"/>
    <d v="2023-11-06T00:00:00"/>
    <x v="3"/>
    <x v="0"/>
    <x v="41"/>
    <n v="12245"/>
    <n v="5"/>
    <n v="7347"/>
    <n v="4898"/>
    <n v="0.4"/>
    <x v="3"/>
    <n v="2023"/>
  </r>
  <r>
    <x v="452"/>
    <d v="2023-08-21T00:00:00"/>
    <x v="0"/>
    <x v="0"/>
    <x v="43"/>
    <n v="2967"/>
    <n v="2"/>
    <n v="1780.2"/>
    <n v="1186.8"/>
    <n v="0.39999999999999997"/>
    <x v="5"/>
    <n v="2023"/>
  </r>
  <r>
    <x v="453"/>
    <d v="2023-11-15T00:00:00"/>
    <x v="1"/>
    <x v="2"/>
    <x v="36"/>
    <n v="6856"/>
    <n v="1"/>
    <n v="4799.2"/>
    <n v="2056.8000000000002"/>
    <n v="0.30000000000000004"/>
    <x v="3"/>
    <n v="2023"/>
  </r>
  <r>
    <x v="454"/>
    <d v="2023-08-16T00:00:00"/>
    <x v="2"/>
    <x v="3"/>
    <x v="16"/>
    <n v="16327"/>
    <n v="9"/>
    <n v="12245.25"/>
    <n v="4081.75"/>
    <n v="0.25"/>
    <x v="5"/>
    <n v="2023"/>
  </r>
  <r>
    <x v="455"/>
    <d v="2023-05-09T00:00:00"/>
    <x v="3"/>
    <x v="0"/>
    <x v="32"/>
    <n v="12323"/>
    <n v="7"/>
    <n v="7393.7999999999993"/>
    <n v="4929.2000000000007"/>
    <n v="0.40000000000000008"/>
    <x v="4"/>
    <n v="2023"/>
  </r>
  <r>
    <x v="456"/>
    <d v="2023-08-13T00:00:00"/>
    <x v="0"/>
    <x v="1"/>
    <x v="7"/>
    <n v="6380"/>
    <n v="2"/>
    <n v="4147"/>
    <n v="2233"/>
    <n v="0.35"/>
    <x v="5"/>
    <n v="2023"/>
  </r>
  <r>
    <x v="457"/>
    <d v="2023-08-16T00:00:00"/>
    <x v="1"/>
    <x v="3"/>
    <x v="30"/>
    <n v="1169"/>
    <n v="1"/>
    <n v="876.75"/>
    <n v="292.25"/>
    <n v="0.25"/>
    <x v="5"/>
    <n v="2023"/>
  </r>
  <r>
    <x v="458"/>
    <d v="2023-10-07T00:00:00"/>
    <x v="2"/>
    <x v="0"/>
    <x v="38"/>
    <n v="2938"/>
    <n v="7"/>
    <n v="1762.8"/>
    <n v="1175.2"/>
    <n v="0.4"/>
    <x v="0"/>
    <n v="2023"/>
  </r>
  <r>
    <x v="459"/>
    <d v="2023-02-20T00:00:00"/>
    <x v="3"/>
    <x v="2"/>
    <x v="28"/>
    <n v="9456"/>
    <n v="1"/>
    <n v="6619.2"/>
    <n v="2836.8"/>
    <n v="0.30000000000000004"/>
    <x v="8"/>
    <n v="2023"/>
  </r>
  <r>
    <x v="460"/>
    <d v="2023-04-11T00:00:00"/>
    <x v="0"/>
    <x v="3"/>
    <x v="24"/>
    <n v="2372"/>
    <n v="7"/>
    <n v="1779"/>
    <n v="593"/>
    <n v="0.25"/>
    <x v="1"/>
    <n v="2023"/>
  </r>
  <r>
    <x v="461"/>
    <d v="2023-08-13T00:00:00"/>
    <x v="1"/>
    <x v="3"/>
    <x v="14"/>
    <n v="15493"/>
    <n v="2"/>
    <n v="11619.75"/>
    <n v="3873.25"/>
    <n v="0.25"/>
    <x v="5"/>
    <n v="2023"/>
  </r>
  <r>
    <x v="462"/>
    <d v="2023-07-22T00:00:00"/>
    <x v="2"/>
    <x v="0"/>
    <x v="21"/>
    <n v="1395"/>
    <n v="7"/>
    <n v="837"/>
    <n v="558"/>
    <n v="0.4"/>
    <x v="6"/>
    <n v="2023"/>
  </r>
  <r>
    <x v="463"/>
    <d v="2023-05-13T00:00:00"/>
    <x v="3"/>
    <x v="0"/>
    <x v="22"/>
    <n v="19499"/>
    <n v="10"/>
    <n v="11699.4"/>
    <n v="7799.6"/>
    <n v="0.4"/>
    <x v="4"/>
    <n v="2023"/>
  </r>
  <r>
    <x v="464"/>
    <d v="2023-04-17T00:00:00"/>
    <x v="0"/>
    <x v="3"/>
    <x v="38"/>
    <n v="8755"/>
    <n v="1"/>
    <n v="6566.25"/>
    <n v="2188.75"/>
    <n v="0.25"/>
    <x v="1"/>
    <n v="2023"/>
  </r>
  <r>
    <x v="465"/>
    <d v="2023-04-24T00:00:00"/>
    <x v="1"/>
    <x v="0"/>
    <x v="12"/>
    <n v="946"/>
    <n v="6"/>
    <n v="567.6"/>
    <n v="378.4"/>
    <n v="0.39999999999999997"/>
    <x v="1"/>
    <n v="2023"/>
  </r>
  <r>
    <x v="466"/>
    <d v="2023-10-26T00:00:00"/>
    <x v="2"/>
    <x v="2"/>
    <x v="34"/>
    <n v="18801"/>
    <n v="6"/>
    <n v="13160.699999999999"/>
    <n v="5640.3000000000011"/>
    <n v="0.30000000000000004"/>
    <x v="0"/>
    <n v="2023"/>
  </r>
  <r>
    <x v="467"/>
    <d v="2023-11-19T00:00:00"/>
    <x v="3"/>
    <x v="1"/>
    <x v="36"/>
    <n v="18749"/>
    <n v="10"/>
    <n v="12186.85"/>
    <n v="6562.15"/>
    <n v="0.35"/>
    <x v="3"/>
    <n v="2023"/>
  </r>
  <r>
    <x v="468"/>
    <d v="2023-09-10T00:00:00"/>
    <x v="0"/>
    <x v="1"/>
    <x v="32"/>
    <n v="17003"/>
    <n v="1"/>
    <n v="11051.95"/>
    <n v="5951.0499999999993"/>
    <n v="0.35"/>
    <x v="10"/>
    <n v="2023"/>
  </r>
  <r>
    <x v="469"/>
    <d v="2023-10-12T00:00:00"/>
    <x v="1"/>
    <x v="2"/>
    <x v="14"/>
    <n v="19987"/>
    <n v="2"/>
    <n v="13990.9"/>
    <n v="5996.1"/>
    <n v="0.30000000000000004"/>
    <x v="0"/>
    <n v="2023"/>
  </r>
  <r>
    <x v="470"/>
    <d v="2023-02-16T00:00:00"/>
    <x v="2"/>
    <x v="1"/>
    <x v="26"/>
    <n v="10091"/>
    <n v="9"/>
    <n v="6559.1500000000005"/>
    <n v="3531.8499999999995"/>
    <n v="0.34999999999999992"/>
    <x v="8"/>
    <n v="2023"/>
  </r>
  <r>
    <x v="471"/>
    <d v="2023-01-15T00:00:00"/>
    <x v="3"/>
    <x v="3"/>
    <x v="20"/>
    <n v="8809"/>
    <n v="6"/>
    <n v="6606.75"/>
    <n v="2202.25"/>
    <n v="0.25"/>
    <x v="9"/>
    <n v="2023"/>
  </r>
  <r>
    <x v="472"/>
    <d v="2023-12-22T00:00:00"/>
    <x v="0"/>
    <x v="0"/>
    <x v="36"/>
    <n v="8079"/>
    <n v="5"/>
    <n v="4847.3999999999996"/>
    <n v="3231.6000000000004"/>
    <n v="0.4"/>
    <x v="7"/>
    <n v="2023"/>
  </r>
  <r>
    <x v="473"/>
    <d v="2023-06-07T00:00:00"/>
    <x v="1"/>
    <x v="0"/>
    <x v="34"/>
    <n v="9671"/>
    <n v="7"/>
    <n v="5802.5999999999995"/>
    <n v="3868.4000000000005"/>
    <n v="0.40000000000000008"/>
    <x v="2"/>
    <n v="2023"/>
  </r>
  <r>
    <x v="474"/>
    <d v="2023-06-26T00:00:00"/>
    <x v="2"/>
    <x v="0"/>
    <x v="33"/>
    <n v="11812"/>
    <n v="9"/>
    <n v="7087.2"/>
    <n v="4724.8"/>
    <n v="0.4"/>
    <x v="2"/>
    <n v="2023"/>
  </r>
  <r>
    <x v="475"/>
    <d v="2023-09-18T00:00:00"/>
    <x v="3"/>
    <x v="2"/>
    <x v="43"/>
    <n v="12230"/>
    <n v="5"/>
    <n v="8561"/>
    <n v="3669"/>
    <n v="0.3"/>
    <x v="10"/>
    <n v="2023"/>
  </r>
  <r>
    <x v="476"/>
    <d v="2023-06-07T00:00:00"/>
    <x v="0"/>
    <x v="2"/>
    <x v="29"/>
    <n v="13783"/>
    <n v="1"/>
    <n v="9648.0999999999985"/>
    <n v="4134.9000000000015"/>
    <n v="0.3000000000000001"/>
    <x v="2"/>
    <n v="2023"/>
  </r>
  <r>
    <x v="477"/>
    <d v="2023-07-23T00:00:00"/>
    <x v="1"/>
    <x v="2"/>
    <x v="2"/>
    <n v="6112"/>
    <n v="7"/>
    <n v="4278.3999999999996"/>
    <n v="1833.6000000000004"/>
    <n v="0.30000000000000004"/>
    <x v="6"/>
    <n v="2023"/>
  </r>
  <r>
    <x v="478"/>
    <d v="2023-05-21T00:00:00"/>
    <x v="2"/>
    <x v="0"/>
    <x v="21"/>
    <n v="3126"/>
    <n v="10"/>
    <n v="1875.6"/>
    <n v="1250.4000000000001"/>
    <n v="0.4"/>
    <x v="4"/>
    <n v="2023"/>
  </r>
  <r>
    <x v="479"/>
    <d v="2023-06-07T00:00:00"/>
    <x v="3"/>
    <x v="2"/>
    <x v="30"/>
    <n v="18850"/>
    <n v="2"/>
    <n v="13195"/>
    <n v="5655"/>
    <n v="0.3"/>
    <x v="2"/>
    <n v="2023"/>
  </r>
  <r>
    <x v="480"/>
    <d v="2023-07-08T00:00:00"/>
    <x v="0"/>
    <x v="3"/>
    <x v="24"/>
    <n v="10835"/>
    <n v="1"/>
    <n v="8126.25"/>
    <n v="2708.75"/>
    <n v="0.25"/>
    <x v="6"/>
    <n v="2023"/>
  </r>
  <r>
    <x v="481"/>
    <d v="2023-03-25T00:00:00"/>
    <x v="1"/>
    <x v="0"/>
    <x v="24"/>
    <n v="18728"/>
    <n v="9"/>
    <n v="11236.8"/>
    <n v="7491.2000000000007"/>
    <n v="0.4"/>
    <x v="11"/>
    <n v="2023"/>
  </r>
  <r>
    <x v="482"/>
    <d v="2023-04-17T00:00:00"/>
    <x v="2"/>
    <x v="0"/>
    <x v="17"/>
    <n v="13637"/>
    <n v="5"/>
    <n v="8182.2"/>
    <n v="5454.8"/>
    <n v="0.4"/>
    <x v="1"/>
    <n v="2023"/>
  </r>
  <r>
    <x v="483"/>
    <d v="2023-10-20T00:00:00"/>
    <x v="3"/>
    <x v="1"/>
    <x v="6"/>
    <n v="6066"/>
    <n v="4"/>
    <n v="3942.9"/>
    <n v="2123.1"/>
    <n v="0.35"/>
    <x v="0"/>
    <n v="2023"/>
  </r>
  <r>
    <x v="484"/>
    <d v="2023-08-12T00:00:00"/>
    <x v="0"/>
    <x v="1"/>
    <x v="26"/>
    <n v="4141"/>
    <n v="3"/>
    <n v="2691.65"/>
    <n v="1449.35"/>
    <n v="0.35"/>
    <x v="5"/>
    <n v="2023"/>
  </r>
  <r>
    <x v="485"/>
    <d v="2023-10-13T00:00:00"/>
    <x v="1"/>
    <x v="2"/>
    <x v="33"/>
    <n v="8514"/>
    <n v="3"/>
    <n v="5959.7999999999993"/>
    <n v="2554.2000000000007"/>
    <n v="0.3000000000000001"/>
    <x v="0"/>
    <n v="2023"/>
  </r>
  <r>
    <x v="486"/>
    <d v="2023-08-28T00:00:00"/>
    <x v="2"/>
    <x v="1"/>
    <x v="23"/>
    <n v="5383"/>
    <n v="5"/>
    <n v="3498.9500000000003"/>
    <n v="1884.0499999999997"/>
    <n v="0.34999999999999992"/>
    <x v="5"/>
    <n v="2023"/>
  </r>
  <r>
    <x v="487"/>
    <d v="2023-04-04T00:00:00"/>
    <x v="3"/>
    <x v="3"/>
    <x v="19"/>
    <n v="19653"/>
    <n v="3"/>
    <n v="14739.75"/>
    <n v="4913.25"/>
    <n v="0.25"/>
    <x v="1"/>
    <n v="2023"/>
  </r>
  <r>
    <x v="488"/>
    <d v="2023-03-25T00:00:00"/>
    <x v="0"/>
    <x v="3"/>
    <x v="40"/>
    <n v="1076"/>
    <n v="4"/>
    <n v="807"/>
    <n v="269"/>
    <n v="0.25"/>
    <x v="11"/>
    <n v="2023"/>
  </r>
  <r>
    <x v="489"/>
    <d v="2023-06-12T00:00:00"/>
    <x v="1"/>
    <x v="2"/>
    <x v="43"/>
    <n v="1188"/>
    <n v="7"/>
    <n v="831.59999999999991"/>
    <n v="356.40000000000009"/>
    <n v="0.3000000000000001"/>
    <x v="2"/>
    <n v="2023"/>
  </r>
  <r>
    <x v="490"/>
    <d v="2023-08-06T00:00:00"/>
    <x v="2"/>
    <x v="2"/>
    <x v="44"/>
    <n v="6849"/>
    <n v="3"/>
    <n v="4794.2999999999993"/>
    <n v="2054.7000000000007"/>
    <n v="0.3000000000000001"/>
    <x v="5"/>
    <n v="2023"/>
  </r>
  <r>
    <x v="491"/>
    <d v="2023-07-06T00:00:00"/>
    <x v="3"/>
    <x v="0"/>
    <x v="26"/>
    <n v="11488"/>
    <n v="7"/>
    <n v="6892.8"/>
    <n v="4595.2"/>
    <n v="0.39999999999999997"/>
    <x v="6"/>
    <n v="2023"/>
  </r>
  <r>
    <x v="492"/>
    <d v="2023-10-25T00:00:00"/>
    <x v="0"/>
    <x v="2"/>
    <x v="20"/>
    <n v="8928"/>
    <n v="7"/>
    <n v="6249.5999999999995"/>
    <n v="2678.4000000000005"/>
    <n v="0.30000000000000004"/>
    <x v="0"/>
    <n v="2023"/>
  </r>
  <r>
    <x v="493"/>
    <d v="2023-06-12T00:00:00"/>
    <x v="1"/>
    <x v="0"/>
    <x v="16"/>
    <n v="10307"/>
    <n v="1"/>
    <n v="6184.2"/>
    <n v="4122.8"/>
    <n v="0.4"/>
    <x v="2"/>
    <n v="2023"/>
  </r>
  <r>
    <x v="494"/>
    <d v="2023-08-22T00:00:00"/>
    <x v="2"/>
    <x v="3"/>
    <x v="6"/>
    <n v="3314"/>
    <n v="7"/>
    <n v="2485.5"/>
    <n v="828.5"/>
    <n v="0.25"/>
    <x v="5"/>
    <n v="2023"/>
  </r>
  <r>
    <x v="495"/>
    <d v="2023-01-05T00:00:00"/>
    <x v="3"/>
    <x v="1"/>
    <x v="48"/>
    <n v="2599"/>
    <n v="4"/>
    <n v="1689.3500000000001"/>
    <n v="909.64999999999986"/>
    <n v="0.34999999999999992"/>
    <x v="9"/>
    <n v="2023"/>
  </r>
  <r>
    <x v="496"/>
    <d v="2023-10-25T00:00:00"/>
    <x v="0"/>
    <x v="2"/>
    <x v="6"/>
    <n v="14844"/>
    <n v="7"/>
    <n v="10390.799999999999"/>
    <n v="4453.2000000000007"/>
    <n v="0.30000000000000004"/>
    <x v="0"/>
    <n v="2023"/>
  </r>
  <r>
    <x v="497"/>
    <d v="2023-05-24T00:00:00"/>
    <x v="1"/>
    <x v="2"/>
    <x v="34"/>
    <n v="3885"/>
    <n v="1"/>
    <n v="2719.5"/>
    <n v="1165.5"/>
    <n v="0.3"/>
    <x v="4"/>
    <n v="2023"/>
  </r>
  <r>
    <x v="498"/>
    <d v="2023-02-02T00:00:00"/>
    <x v="2"/>
    <x v="0"/>
    <x v="17"/>
    <n v="18194"/>
    <n v="1"/>
    <n v="10916.4"/>
    <n v="7277.6"/>
    <n v="0.4"/>
    <x v="8"/>
    <n v="2023"/>
  </r>
  <r>
    <x v="499"/>
    <d v="2023-02-19T00:00:00"/>
    <x v="3"/>
    <x v="0"/>
    <x v="7"/>
    <n v="12243"/>
    <n v="3"/>
    <n v="7345.8"/>
    <n v="4897.2"/>
    <n v="0.39999999999999997"/>
    <x v="8"/>
    <n v="2023"/>
  </r>
  <r>
    <x v="500"/>
    <d v="2023-12-11T00:00:00"/>
    <x v="0"/>
    <x v="2"/>
    <x v="30"/>
    <n v="15692"/>
    <n v="10"/>
    <n v="10984.4"/>
    <n v="4707.6000000000004"/>
    <n v="0.30000000000000004"/>
    <x v="7"/>
    <n v="2023"/>
  </r>
  <r>
    <x v="501"/>
    <d v="2023-12-04T00:00:00"/>
    <x v="1"/>
    <x v="0"/>
    <x v="9"/>
    <n v="14892"/>
    <n v="3"/>
    <n v="8935.1999999999989"/>
    <n v="5956.8000000000011"/>
    <n v="0.40000000000000008"/>
    <x v="7"/>
    <n v="2023"/>
  </r>
  <r>
    <x v="502"/>
    <d v="2023-09-08T00:00:00"/>
    <x v="2"/>
    <x v="1"/>
    <x v="28"/>
    <n v="4095"/>
    <n v="1"/>
    <n v="2661.75"/>
    <n v="1433.25"/>
    <n v="0.35"/>
    <x v="10"/>
    <n v="2023"/>
  </r>
  <r>
    <x v="503"/>
    <d v="2023-02-25T00:00:00"/>
    <x v="3"/>
    <x v="2"/>
    <x v="34"/>
    <n v="10329"/>
    <n v="4"/>
    <n v="7230.2999999999993"/>
    <n v="3098.7000000000007"/>
    <n v="0.30000000000000004"/>
    <x v="8"/>
    <n v="2023"/>
  </r>
  <r>
    <x v="504"/>
    <d v="2023-12-20T00:00:00"/>
    <x v="0"/>
    <x v="0"/>
    <x v="38"/>
    <n v="4651"/>
    <n v="3"/>
    <n v="2790.6"/>
    <n v="1860.4"/>
    <n v="0.4"/>
    <x v="7"/>
    <n v="2023"/>
  </r>
  <r>
    <x v="505"/>
    <d v="2023-10-03T00:00:00"/>
    <x v="1"/>
    <x v="3"/>
    <x v="4"/>
    <n v="7863"/>
    <n v="1"/>
    <n v="5897.25"/>
    <n v="1965.75"/>
    <n v="0.25"/>
    <x v="0"/>
    <n v="2023"/>
  </r>
  <r>
    <x v="506"/>
    <d v="2023-01-09T00:00:00"/>
    <x v="2"/>
    <x v="0"/>
    <x v="48"/>
    <n v="19640"/>
    <n v="6"/>
    <n v="11784"/>
    <n v="7856"/>
    <n v="0.4"/>
    <x v="9"/>
    <n v="2023"/>
  </r>
  <r>
    <x v="507"/>
    <d v="2023-05-14T00:00:00"/>
    <x v="3"/>
    <x v="2"/>
    <x v="42"/>
    <n v="11690"/>
    <n v="5"/>
    <n v="8182.9999999999991"/>
    <n v="3507.0000000000009"/>
    <n v="0.3000000000000001"/>
    <x v="4"/>
    <n v="2023"/>
  </r>
  <r>
    <x v="508"/>
    <d v="2023-11-12T00:00:00"/>
    <x v="0"/>
    <x v="1"/>
    <x v="4"/>
    <n v="1000"/>
    <n v="10"/>
    <n v="650"/>
    <n v="350"/>
    <n v="0.35"/>
    <x v="3"/>
    <n v="2023"/>
  </r>
  <r>
    <x v="509"/>
    <d v="2023-12-23T00:00:00"/>
    <x v="1"/>
    <x v="0"/>
    <x v="47"/>
    <n v="4142"/>
    <n v="8"/>
    <n v="2485.1999999999998"/>
    <n v="1656.8000000000002"/>
    <n v="0.4"/>
    <x v="7"/>
    <n v="2023"/>
  </r>
  <r>
    <x v="510"/>
    <d v="2023-11-25T00:00:00"/>
    <x v="2"/>
    <x v="0"/>
    <x v="25"/>
    <n v="4592"/>
    <n v="7"/>
    <n v="2755.2"/>
    <n v="1836.8000000000002"/>
    <n v="0.4"/>
    <x v="3"/>
    <n v="2023"/>
  </r>
  <r>
    <x v="511"/>
    <d v="2023-11-19T00:00:00"/>
    <x v="3"/>
    <x v="2"/>
    <x v="34"/>
    <n v="18071"/>
    <n v="3"/>
    <n v="12649.699999999999"/>
    <n v="5421.3000000000011"/>
    <n v="0.30000000000000004"/>
    <x v="3"/>
    <n v="2023"/>
  </r>
  <r>
    <x v="512"/>
    <d v="2023-10-05T00:00:00"/>
    <x v="0"/>
    <x v="1"/>
    <x v="21"/>
    <n v="7012"/>
    <n v="9"/>
    <n v="4557.8"/>
    <n v="2454.1999999999998"/>
    <n v="0.35"/>
    <x v="0"/>
    <n v="2023"/>
  </r>
  <r>
    <x v="513"/>
    <d v="2023-09-23T00:00:00"/>
    <x v="1"/>
    <x v="2"/>
    <x v="16"/>
    <n v="4892"/>
    <n v="7"/>
    <n v="3424.3999999999996"/>
    <n v="1467.6000000000004"/>
    <n v="0.3000000000000001"/>
    <x v="10"/>
    <n v="2023"/>
  </r>
  <r>
    <x v="514"/>
    <d v="2023-09-08T00:00:00"/>
    <x v="2"/>
    <x v="1"/>
    <x v="8"/>
    <n v="4658"/>
    <n v="10"/>
    <n v="3027.7000000000003"/>
    <n v="1630.2999999999997"/>
    <n v="0.34999999999999992"/>
    <x v="10"/>
    <n v="2023"/>
  </r>
  <r>
    <x v="515"/>
    <d v="2023-05-23T00:00:00"/>
    <x v="3"/>
    <x v="0"/>
    <x v="32"/>
    <n v="815"/>
    <n v="7"/>
    <n v="489"/>
    <n v="326"/>
    <n v="0.4"/>
    <x v="4"/>
    <n v="2023"/>
  </r>
  <r>
    <x v="516"/>
    <d v="2023-08-17T00:00:00"/>
    <x v="0"/>
    <x v="1"/>
    <x v="21"/>
    <n v="9647"/>
    <n v="4"/>
    <n v="6270.55"/>
    <n v="3376.45"/>
    <n v="0.35"/>
    <x v="5"/>
    <n v="2023"/>
  </r>
  <r>
    <x v="517"/>
    <d v="2023-07-05T00:00:00"/>
    <x v="1"/>
    <x v="1"/>
    <x v="4"/>
    <n v="3192"/>
    <n v="3"/>
    <n v="2074.8000000000002"/>
    <n v="1117.1999999999998"/>
    <n v="0.34999999999999992"/>
    <x v="6"/>
    <n v="2023"/>
  </r>
  <r>
    <x v="518"/>
    <d v="2023-08-17T00:00:00"/>
    <x v="2"/>
    <x v="2"/>
    <x v="14"/>
    <n v="17746"/>
    <n v="1"/>
    <n v="12422.199999999999"/>
    <n v="5323.8000000000011"/>
    <n v="0.30000000000000004"/>
    <x v="5"/>
    <n v="2023"/>
  </r>
  <r>
    <x v="519"/>
    <d v="2023-01-12T00:00:00"/>
    <x v="3"/>
    <x v="0"/>
    <x v="7"/>
    <n v="10831"/>
    <n v="8"/>
    <n v="6498.5999999999995"/>
    <n v="4332.4000000000005"/>
    <n v="0.40000000000000008"/>
    <x v="9"/>
    <n v="2023"/>
  </r>
  <r>
    <x v="520"/>
    <d v="2023-12-02T00:00:00"/>
    <x v="0"/>
    <x v="3"/>
    <x v="20"/>
    <n v="10084"/>
    <n v="9"/>
    <n v="7563"/>
    <n v="2521"/>
    <n v="0.25"/>
    <x v="7"/>
    <n v="2023"/>
  </r>
  <r>
    <x v="521"/>
    <d v="2023-03-28T00:00:00"/>
    <x v="1"/>
    <x v="0"/>
    <x v="20"/>
    <n v="5853"/>
    <n v="2"/>
    <n v="3511.7999999999997"/>
    <n v="2341.2000000000003"/>
    <n v="0.4"/>
    <x v="11"/>
    <n v="2023"/>
  </r>
  <r>
    <x v="522"/>
    <d v="2023-07-05T00:00:00"/>
    <x v="2"/>
    <x v="3"/>
    <x v="9"/>
    <n v="9915"/>
    <n v="7"/>
    <n v="7436.25"/>
    <n v="2478.75"/>
    <n v="0.25"/>
    <x v="6"/>
    <n v="2023"/>
  </r>
  <r>
    <x v="523"/>
    <d v="2023-04-26T00:00:00"/>
    <x v="3"/>
    <x v="3"/>
    <x v="14"/>
    <n v="19552"/>
    <n v="4"/>
    <n v="14664"/>
    <n v="4888"/>
    <n v="0.25"/>
    <x v="1"/>
    <n v="2023"/>
  </r>
  <r>
    <x v="524"/>
    <d v="2023-07-17T00:00:00"/>
    <x v="0"/>
    <x v="3"/>
    <x v="25"/>
    <n v="1026"/>
    <n v="2"/>
    <n v="769.5"/>
    <n v="256.5"/>
    <n v="0.25"/>
    <x v="6"/>
    <n v="2023"/>
  </r>
  <r>
    <x v="525"/>
    <d v="2023-06-16T00:00:00"/>
    <x v="1"/>
    <x v="0"/>
    <x v="2"/>
    <n v="13076"/>
    <n v="4"/>
    <n v="7845.5999999999995"/>
    <n v="5230.4000000000005"/>
    <n v="0.4"/>
    <x v="2"/>
    <n v="2023"/>
  </r>
  <r>
    <x v="526"/>
    <d v="2023-09-25T00:00:00"/>
    <x v="2"/>
    <x v="1"/>
    <x v="45"/>
    <n v="19683"/>
    <n v="7"/>
    <n v="12793.95"/>
    <n v="6889.0499999999993"/>
    <n v="0.35"/>
    <x v="10"/>
    <n v="2023"/>
  </r>
  <r>
    <x v="527"/>
    <d v="2023-02-22T00:00:00"/>
    <x v="3"/>
    <x v="1"/>
    <x v="13"/>
    <n v="6944"/>
    <n v="8"/>
    <n v="4513.6000000000004"/>
    <n v="2430.3999999999996"/>
    <n v="0.34999999999999992"/>
    <x v="8"/>
    <n v="2023"/>
  </r>
  <r>
    <x v="528"/>
    <d v="2023-03-04T00:00:00"/>
    <x v="0"/>
    <x v="1"/>
    <x v="18"/>
    <n v="15750"/>
    <n v="7"/>
    <n v="10237.5"/>
    <n v="5512.5"/>
    <n v="0.35"/>
    <x v="11"/>
    <n v="2023"/>
  </r>
  <r>
    <x v="529"/>
    <d v="2023-04-28T00:00:00"/>
    <x v="1"/>
    <x v="0"/>
    <x v="25"/>
    <n v="19562"/>
    <n v="8"/>
    <n v="11737.199999999999"/>
    <n v="7824.8000000000011"/>
    <n v="0.40000000000000008"/>
    <x v="1"/>
    <n v="2023"/>
  </r>
  <r>
    <x v="530"/>
    <d v="2023-03-22T00:00:00"/>
    <x v="2"/>
    <x v="3"/>
    <x v="44"/>
    <n v="18055"/>
    <n v="6"/>
    <n v="13541.25"/>
    <n v="4513.75"/>
    <n v="0.25"/>
    <x v="11"/>
    <n v="2023"/>
  </r>
  <r>
    <x v="531"/>
    <d v="2023-01-07T00:00:00"/>
    <x v="3"/>
    <x v="0"/>
    <x v="34"/>
    <n v="1464"/>
    <n v="1"/>
    <n v="878.4"/>
    <n v="585.6"/>
    <n v="0.4"/>
    <x v="9"/>
    <n v="2023"/>
  </r>
  <r>
    <x v="532"/>
    <d v="2023-01-01T00:00:00"/>
    <x v="0"/>
    <x v="1"/>
    <x v="47"/>
    <n v="19766"/>
    <n v="4"/>
    <n v="12847.9"/>
    <n v="6918.1"/>
    <n v="0.35000000000000003"/>
    <x v="9"/>
    <n v="2023"/>
  </r>
  <r>
    <x v="533"/>
    <d v="2023-09-26T00:00:00"/>
    <x v="1"/>
    <x v="2"/>
    <x v="5"/>
    <n v="7105"/>
    <n v="6"/>
    <n v="4973.5"/>
    <n v="2131.5"/>
    <n v="0.3"/>
    <x v="10"/>
    <n v="2023"/>
  </r>
  <r>
    <x v="534"/>
    <d v="2023-11-16T00:00:00"/>
    <x v="2"/>
    <x v="3"/>
    <x v="46"/>
    <n v="12929"/>
    <n v="6"/>
    <n v="9696.75"/>
    <n v="3232.25"/>
    <n v="0.25"/>
    <x v="3"/>
    <n v="2023"/>
  </r>
  <r>
    <x v="535"/>
    <d v="2023-04-03T00:00:00"/>
    <x v="3"/>
    <x v="0"/>
    <x v="12"/>
    <n v="5754"/>
    <n v="6"/>
    <n v="3452.4"/>
    <n v="2301.6"/>
    <n v="0.39999999999999997"/>
    <x v="1"/>
    <n v="2023"/>
  </r>
  <r>
    <x v="536"/>
    <d v="2023-05-02T00:00:00"/>
    <x v="0"/>
    <x v="2"/>
    <x v="9"/>
    <n v="12641"/>
    <n v="8"/>
    <n v="8848.6999999999989"/>
    <n v="3792.3000000000011"/>
    <n v="0.3000000000000001"/>
    <x v="4"/>
    <n v="2023"/>
  </r>
  <r>
    <x v="537"/>
    <d v="2023-03-14T00:00:00"/>
    <x v="1"/>
    <x v="1"/>
    <x v="7"/>
    <n v="6452"/>
    <n v="1"/>
    <n v="4193.8"/>
    <n v="2258.1999999999998"/>
    <n v="0.35"/>
    <x v="11"/>
    <n v="2023"/>
  </r>
  <r>
    <x v="538"/>
    <d v="2023-03-02T00:00:00"/>
    <x v="2"/>
    <x v="0"/>
    <x v="31"/>
    <n v="11881"/>
    <n v="6"/>
    <n v="7128.5999999999995"/>
    <n v="4752.4000000000005"/>
    <n v="0.4"/>
    <x v="11"/>
    <n v="2023"/>
  </r>
  <r>
    <x v="539"/>
    <d v="2023-05-12T00:00:00"/>
    <x v="3"/>
    <x v="1"/>
    <x v="0"/>
    <n v="19990"/>
    <n v="9"/>
    <n v="12993.5"/>
    <n v="6996.5"/>
    <n v="0.35"/>
    <x v="4"/>
    <n v="2023"/>
  </r>
  <r>
    <x v="540"/>
    <d v="2023-09-20T00:00:00"/>
    <x v="0"/>
    <x v="1"/>
    <x v="10"/>
    <n v="19052"/>
    <n v="1"/>
    <n v="12383.800000000001"/>
    <n v="6668.1999999999989"/>
    <n v="0.34999999999999992"/>
    <x v="10"/>
    <n v="2023"/>
  </r>
  <r>
    <x v="541"/>
    <d v="2023-12-24T00:00:00"/>
    <x v="1"/>
    <x v="1"/>
    <x v="3"/>
    <n v="757"/>
    <n v="6"/>
    <n v="492.05"/>
    <n v="264.95"/>
    <n v="0.35"/>
    <x v="7"/>
    <n v="2023"/>
  </r>
  <r>
    <x v="542"/>
    <d v="2023-07-22T00:00:00"/>
    <x v="2"/>
    <x v="1"/>
    <x v="22"/>
    <n v="15048"/>
    <n v="2"/>
    <n v="9781.2000000000007"/>
    <n v="5266.7999999999993"/>
    <n v="0.35"/>
    <x v="6"/>
    <n v="2023"/>
  </r>
  <r>
    <x v="543"/>
    <d v="2023-05-23T00:00:00"/>
    <x v="3"/>
    <x v="0"/>
    <x v="1"/>
    <n v="10599"/>
    <n v="10"/>
    <n v="6359.4"/>
    <n v="4239.6000000000004"/>
    <n v="0.4"/>
    <x v="4"/>
    <n v="2023"/>
  </r>
  <r>
    <x v="544"/>
    <d v="2023-04-26T00:00:00"/>
    <x v="0"/>
    <x v="0"/>
    <x v="27"/>
    <n v="1513"/>
    <n v="5"/>
    <n v="907.8"/>
    <n v="605.20000000000005"/>
    <n v="0.4"/>
    <x v="1"/>
    <n v="2023"/>
  </r>
  <r>
    <x v="545"/>
    <d v="2023-06-04T00:00:00"/>
    <x v="1"/>
    <x v="3"/>
    <x v="44"/>
    <n v="5439"/>
    <n v="10"/>
    <n v="4079.25"/>
    <n v="1359.75"/>
    <n v="0.25"/>
    <x v="2"/>
    <n v="2023"/>
  </r>
  <r>
    <x v="546"/>
    <d v="2023-08-08T00:00:00"/>
    <x v="2"/>
    <x v="0"/>
    <x v="47"/>
    <n v="1197"/>
    <n v="3"/>
    <n v="718.19999999999993"/>
    <n v="478.80000000000007"/>
    <n v="0.40000000000000008"/>
    <x v="5"/>
    <n v="2023"/>
  </r>
  <r>
    <x v="547"/>
    <d v="2023-09-16T00:00:00"/>
    <x v="3"/>
    <x v="3"/>
    <x v="30"/>
    <n v="8242"/>
    <n v="2"/>
    <n v="6181.5"/>
    <n v="2060.5"/>
    <n v="0.25"/>
    <x v="10"/>
    <n v="2023"/>
  </r>
  <r>
    <x v="548"/>
    <d v="2023-07-15T00:00:00"/>
    <x v="0"/>
    <x v="2"/>
    <x v="1"/>
    <n v="14258"/>
    <n v="4"/>
    <n v="9980.5999999999985"/>
    <n v="4277.4000000000015"/>
    <n v="0.3000000000000001"/>
    <x v="6"/>
    <n v="2023"/>
  </r>
  <r>
    <x v="549"/>
    <d v="2023-11-10T00:00:00"/>
    <x v="1"/>
    <x v="2"/>
    <x v="39"/>
    <n v="5015"/>
    <n v="3"/>
    <n v="3510.5"/>
    <n v="1504.5"/>
    <n v="0.3"/>
    <x v="3"/>
    <n v="2023"/>
  </r>
  <r>
    <x v="550"/>
    <d v="2023-11-22T00:00:00"/>
    <x v="2"/>
    <x v="0"/>
    <x v="28"/>
    <n v="3834"/>
    <n v="10"/>
    <n v="2300.4"/>
    <n v="1533.6"/>
    <n v="0.39999999999999997"/>
    <x v="3"/>
    <n v="2023"/>
  </r>
  <r>
    <x v="551"/>
    <d v="2023-09-25T00:00:00"/>
    <x v="3"/>
    <x v="1"/>
    <x v="14"/>
    <n v="581"/>
    <n v="5"/>
    <n v="377.65000000000003"/>
    <n v="203.34999999999997"/>
    <n v="0.34999999999999992"/>
    <x v="10"/>
    <n v="2023"/>
  </r>
  <r>
    <x v="552"/>
    <d v="2023-11-06T00:00:00"/>
    <x v="0"/>
    <x v="0"/>
    <x v="33"/>
    <n v="13765"/>
    <n v="8"/>
    <n v="8259"/>
    <n v="5506"/>
    <n v="0.4"/>
    <x v="3"/>
    <n v="2023"/>
  </r>
  <r>
    <x v="553"/>
    <d v="2023-09-21T00:00:00"/>
    <x v="1"/>
    <x v="0"/>
    <x v="26"/>
    <n v="3477"/>
    <n v="9"/>
    <n v="2086.1999999999998"/>
    <n v="1390.8000000000002"/>
    <n v="0.40000000000000008"/>
    <x v="10"/>
    <n v="2023"/>
  </r>
  <r>
    <x v="554"/>
    <d v="2023-01-06T00:00:00"/>
    <x v="2"/>
    <x v="1"/>
    <x v="17"/>
    <n v="5954"/>
    <n v="1"/>
    <n v="3870.1"/>
    <n v="2083.9"/>
    <n v="0.35000000000000003"/>
    <x v="9"/>
    <n v="2023"/>
  </r>
  <r>
    <x v="555"/>
    <d v="2023-05-16T00:00:00"/>
    <x v="3"/>
    <x v="0"/>
    <x v="48"/>
    <n v="6467"/>
    <n v="10"/>
    <n v="3880.2"/>
    <n v="2586.8000000000002"/>
    <n v="0.4"/>
    <x v="4"/>
    <n v="2023"/>
  </r>
  <r>
    <x v="556"/>
    <d v="2023-11-08T00:00:00"/>
    <x v="0"/>
    <x v="2"/>
    <x v="2"/>
    <n v="855"/>
    <n v="3"/>
    <n v="598.5"/>
    <n v="256.5"/>
    <n v="0.3"/>
    <x v="3"/>
    <n v="2023"/>
  </r>
  <r>
    <x v="557"/>
    <d v="2023-08-24T00:00:00"/>
    <x v="1"/>
    <x v="3"/>
    <x v="35"/>
    <n v="911"/>
    <n v="3"/>
    <n v="683.25"/>
    <n v="227.75"/>
    <n v="0.25"/>
    <x v="5"/>
    <n v="2023"/>
  </r>
  <r>
    <x v="558"/>
    <d v="2023-03-17T00:00:00"/>
    <x v="2"/>
    <x v="0"/>
    <x v="24"/>
    <n v="3940"/>
    <n v="5"/>
    <n v="2364"/>
    <n v="1576"/>
    <n v="0.4"/>
    <x v="11"/>
    <n v="2023"/>
  </r>
  <r>
    <x v="559"/>
    <d v="2023-03-14T00:00:00"/>
    <x v="3"/>
    <x v="1"/>
    <x v="47"/>
    <n v="19359"/>
    <n v="2"/>
    <n v="12583.35"/>
    <n v="6775.65"/>
    <n v="0.35"/>
    <x v="11"/>
    <n v="2023"/>
  </r>
  <r>
    <x v="560"/>
    <d v="2023-02-07T00:00:00"/>
    <x v="0"/>
    <x v="2"/>
    <x v="6"/>
    <n v="17665"/>
    <n v="2"/>
    <n v="12365.5"/>
    <n v="5299.5"/>
    <n v="0.3"/>
    <x v="8"/>
    <n v="2023"/>
  </r>
  <r>
    <x v="561"/>
    <d v="2023-10-08T00:00:00"/>
    <x v="1"/>
    <x v="3"/>
    <x v="47"/>
    <n v="17474"/>
    <n v="8"/>
    <n v="13105.5"/>
    <n v="4368.5"/>
    <n v="0.25"/>
    <x v="0"/>
    <n v="2023"/>
  </r>
  <r>
    <x v="562"/>
    <d v="2023-09-25T00:00:00"/>
    <x v="2"/>
    <x v="1"/>
    <x v="9"/>
    <n v="14809"/>
    <n v="7"/>
    <n v="9625.85"/>
    <n v="5183.1499999999996"/>
    <n v="0.35"/>
    <x v="10"/>
    <n v="2023"/>
  </r>
  <r>
    <x v="563"/>
    <d v="2023-12-13T00:00:00"/>
    <x v="3"/>
    <x v="2"/>
    <x v="10"/>
    <n v="17473"/>
    <n v="10"/>
    <n v="12231.099999999999"/>
    <n v="5241.9000000000015"/>
    <n v="0.3000000000000001"/>
    <x v="7"/>
    <n v="2023"/>
  </r>
  <r>
    <x v="564"/>
    <d v="2023-03-27T00:00:00"/>
    <x v="0"/>
    <x v="0"/>
    <x v="26"/>
    <n v="6883"/>
    <n v="9"/>
    <n v="4129.8"/>
    <n v="2753.2"/>
    <n v="0.39999999999999997"/>
    <x v="11"/>
    <n v="2023"/>
  </r>
  <r>
    <x v="565"/>
    <d v="2023-06-11T00:00:00"/>
    <x v="1"/>
    <x v="2"/>
    <x v="46"/>
    <n v="19759"/>
    <n v="7"/>
    <n v="13831.3"/>
    <n v="5927.7000000000007"/>
    <n v="0.30000000000000004"/>
    <x v="2"/>
    <n v="2023"/>
  </r>
  <r>
    <x v="566"/>
    <d v="2023-03-23T00:00:00"/>
    <x v="2"/>
    <x v="1"/>
    <x v="19"/>
    <n v="15972"/>
    <n v="10"/>
    <n v="10381.800000000001"/>
    <n v="5590.1999999999989"/>
    <n v="0.34999999999999992"/>
    <x v="11"/>
    <n v="2023"/>
  </r>
  <r>
    <x v="567"/>
    <d v="2023-10-28T00:00:00"/>
    <x v="3"/>
    <x v="1"/>
    <x v="31"/>
    <n v="12863"/>
    <n v="10"/>
    <n v="8360.9500000000007"/>
    <n v="4502.0499999999993"/>
    <n v="0.34999999999999992"/>
    <x v="0"/>
    <n v="2023"/>
  </r>
  <r>
    <x v="568"/>
    <d v="2023-09-19T00:00:00"/>
    <x v="0"/>
    <x v="3"/>
    <x v="26"/>
    <n v="13188"/>
    <n v="2"/>
    <n v="9891"/>
    <n v="3297"/>
    <n v="0.25"/>
    <x v="10"/>
    <n v="2023"/>
  </r>
  <r>
    <x v="569"/>
    <d v="2023-09-05T00:00:00"/>
    <x v="1"/>
    <x v="1"/>
    <x v="32"/>
    <n v="8143"/>
    <n v="10"/>
    <n v="5292.95"/>
    <n v="2850.05"/>
    <n v="0.35000000000000003"/>
    <x v="10"/>
    <n v="2023"/>
  </r>
  <r>
    <x v="570"/>
    <d v="2023-12-26T00:00:00"/>
    <x v="2"/>
    <x v="0"/>
    <x v="8"/>
    <n v="12756"/>
    <n v="9"/>
    <n v="7653.5999999999995"/>
    <n v="5102.4000000000005"/>
    <n v="0.4"/>
    <x v="7"/>
    <n v="2023"/>
  </r>
  <r>
    <x v="571"/>
    <d v="2023-04-25T00:00:00"/>
    <x v="3"/>
    <x v="0"/>
    <x v="38"/>
    <n v="7327"/>
    <n v="4"/>
    <n v="4396.2"/>
    <n v="2930.8"/>
    <n v="0.4"/>
    <x v="1"/>
    <n v="2023"/>
  </r>
  <r>
    <x v="572"/>
    <d v="2023-05-28T00:00:00"/>
    <x v="0"/>
    <x v="0"/>
    <x v="0"/>
    <n v="12956"/>
    <n v="5"/>
    <n v="7773.5999999999995"/>
    <n v="5182.4000000000005"/>
    <n v="0.4"/>
    <x v="4"/>
    <n v="2023"/>
  </r>
  <r>
    <x v="573"/>
    <d v="2023-04-06T00:00:00"/>
    <x v="1"/>
    <x v="2"/>
    <x v="45"/>
    <n v="9405"/>
    <n v="5"/>
    <n v="6583.5"/>
    <n v="2821.5"/>
    <n v="0.3"/>
    <x v="1"/>
    <n v="2023"/>
  </r>
  <r>
    <x v="574"/>
    <d v="2023-09-04T00:00:00"/>
    <x v="2"/>
    <x v="3"/>
    <x v="22"/>
    <n v="11359"/>
    <n v="5"/>
    <n v="8519.25"/>
    <n v="2839.75"/>
    <n v="0.25"/>
    <x v="10"/>
    <n v="2023"/>
  </r>
  <r>
    <x v="575"/>
    <d v="2023-09-05T00:00:00"/>
    <x v="3"/>
    <x v="0"/>
    <x v="6"/>
    <n v="12622"/>
    <n v="2"/>
    <n v="7573.2"/>
    <n v="5048.8"/>
    <n v="0.4"/>
    <x v="10"/>
    <n v="2023"/>
  </r>
  <r>
    <x v="576"/>
    <d v="2023-06-21T00:00:00"/>
    <x v="0"/>
    <x v="2"/>
    <x v="5"/>
    <n v="10943"/>
    <n v="10"/>
    <n v="7660.0999999999995"/>
    <n v="3282.9000000000005"/>
    <n v="0.30000000000000004"/>
    <x v="2"/>
    <n v="2023"/>
  </r>
  <r>
    <x v="577"/>
    <d v="2023-01-04T00:00:00"/>
    <x v="1"/>
    <x v="1"/>
    <x v="3"/>
    <n v="16467"/>
    <n v="8"/>
    <n v="10703.550000000001"/>
    <n v="5763.4499999999989"/>
    <n v="0.34999999999999992"/>
    <x v="9"/>
    <n v="2023"/>
  </r>
  <r>
    <x v="578"/>
    <d v="2023-06-26T00:00:00"/>
    <x v="2"/>
    <x v="3"/>
    <x v="33"/>
    <n v="5611"/>
    <n v="10"/>
    <n v="4208.25"/>
    <n v="1402.75"/>
    <n v="0.25"/>
    <x v="2"/>
    <n v="2023"/>
  </r>
  <r>
    <x v="579"/>
    <d v="2023-01-24T00:00:00"/>
    <x v="3"/>
    <x v="3"/>
    <x v="42"/>
    <n v="16730"/>
    <n v="5"/>
    <n v="12547.5"/>
    <n v="4182.5"/>
    <n v="0.25"/>
    <x v="9"/>
    <n v="2023"/>
  </r>
  <r>
    <x v="580"/>
    <d v="2023-03-26T00:00:00"/>
    <x v="0"/>
    <x v="0"/>
    <x v="49"/>
    <n v="14146"/>
    <n v="9"/>
    <n v="8487.6"/>
    <n v="5658.4"/>
    <n v="0.39999999999999997"/>
    <x v="11"/>
    <n v="2023"/>
  </r>
  <r>
    <x v="581"/>
    <d v="2023-01-22T00:00:00"/>
    <x v="1"/>
    <x v="2"/>
    <x v="23"/>
    <n v="18232"/>
    <n v="8"/>
    <n v="12762.4"/>
    <n v="5469.6"/>
    <n v="0.30000000000000004"/>
    <x v="9"/>
    <n v="2023"/>
  </r>
  <r>
    <x v="582"/>
    <d v="2023-07-16T00:00:00"/>
    <x v="2"/>
    <x v="3"/>
    <x v="45"/>
    <n v="14543"/>
    <n v="4"/>
    <n v="10907.25"/>
    <n v="3635.75"/>
    <n v="0.25"/>
    <x v="6"/>
    <n v="2023"/>
  </r>
  <r>
    <x v="583"/>
    <d v="2023-09-17T00:00:00"/>
    <x v="3"/>
    <x v="1"/>
    <x v="44"/>
    <n v="16259"/>
    <n v="10"/>
    <n v="10568.35"/>
    <n v="5690.65"/>
    <n v="0.35"/>
    <x v="10"/>
    <n v="2023"/>
  </r>
  <r>
    <x v="584"/>
    <d v="2023-07-25T00:00:00"/>
    <x v="0"/>
    <x v="3"/>
    <x v="36"/>
    <n v="16406"/>
    <n v="2"/>
    <n v="12304.5"/>
    <n v="4101.5"/>
    <n v="0.25"/>
    <x v="6"/>
    <n v="2023"/>
  </r>
  <r>
    <x v="585"/>
    <d v="2023-09-02T00:00:00"/>
    <x v="1"/>
    <x v="2"/>
    <x v="42"/>
    <n v="12210"/>
    <n v="5"/>
    <n v="8547"/>
    <n v="3663"/>
    <n v="0.3"/>
    <x v="10"/>
    <n v="2023"/>
  </r>
  <r>
    <x v="586"/>
    <d v="2023-08-04T00:00:00"/>
    <x v="2"/>
    <x v="0"/>
    <x v="7"/>
    <n v="17505"/>
    <n v="7"/>
    <n v="10503"/>
    <n v="7002"/>
    <n v="0.4"/>
    <x v="5"/>
    <n v="2023"/>
  </r>
  <r>
    <x v="587"/>
    <d v="2023-10-14T00:00:00"/>
    <x v="3"/>
    <x v="0"/>
    <x v="39"/>
    <n v="19297"/>
    <n v="4"/>
    <n v="11578.199999999999"/>
    <n v="7718.8000000000011"/>
    <n v="0.40000000000000008"/>
    <x v="0"/>
    <n v="2023"/>
  </r>
  <r>
    <x v="588"/>
    <d v="2023-06-21T00:00:00"/>
    <x v="0"/>
    <x v="0"/>
    <x v="49"/>
    <n v="19229"/>
    <n v="5"/>
    <n v="11537.4"/>
    <n v="7691.6"/>
    <n v="0.4"/>
    <x v="2"/>
    <n v="2023"/>
  </r>
  <r>
    <x v="589"/>
    <d v="2023-02-19T00:00:00"/>
    <x v="1"/>
    <x v="3"/>
    <x v="29"/>
    <n v="2068"/>
    <n v="8"/>
    <n v="1551"/>
    <n v="517"/>
    <n v="0.25"/>
    <x v="8"/>
    <n v="2023"/>
  </r>
  <r>
    <x v="590"/>
    <d v="2023-07-27T00:00:00"/>
    <x v="2"/>
    <x v="1"/>
    <x v="42"/>
    <n v="10579"/>
    <n v="1"/>
    <n v="6876.35"/>
    <n v="3702.6499999999996"/>
    <n v="0.35"/>
    <x v="6"/>
    <n v="2023"/>
  </r>
  <r>
    <x v="591"/>
    <d v="2023-10-12T00:00:00"/>
    <x v="3"/>
    <x v="0"/>
    <x v="6"/>
    <n v="17515"/>
    <n v="3"/>
    <n v="10509"/>
    <n v="7006"/>
    <n v="0.4"/>
    <x v="0"/>
    <n v="2023"/>
  </r>
  <r>
    <x v="592"/>
    <d v="2023-10-21T00:00:00"/>
    <x v="0"/>
    <x v="3"/>
    <x v="7"/>
    <n v="13419"/>
    <n v="7"/>
    <n v="10064.25"/>
    <n v="3354.75"/>
    <n v="0.25"/>
    <x v="0"/>
    <n v="2023"/>
  </r>
  <r>
    <x v="593"/>
    <d v="2023-05-12T00:00:00"/>
    <x v="1"/>
    <x v="0"/>
    <x v="13"/>
    <n v="11405"/>
    <n v="4"/>
    <n v="6843"/>
    <n v="4562"/>
    <n v="0.4"/>
    <x v="4"/>
    <n v="2023"/>
  </r>
  <r>
    <x v="594"/>
    <d v="2023-11-05T00:00:00"/>
    <x v="2"/>
    <x v="1"/>
    <x v="37"/>
    <n v="16710"/>
    <n v="4"/>
    <n v="10861.5"/>
    <n v="5848.5"/>
    <n v="0.35"/>
    <x v="3"/>
    <n v="2023"/>
  </r>
  <r>
    <x v="595"/>
    <d v="2023-07-24T00:00:00"/>
    <x v="3"/>
    <x v="3"/>
    <x v="16"/>
    <n v="11027"/>
    <n v="5"/>
    <n v="8270.25"/>
    <n v="2756.75"/>
    <n v="0.25"/>
    <x v="6"/>
    <n v="2023"/>
  </r>
  <r>
    <x v="596"/>
    <d v="2023-06-21T00:00:00"/>
    <x v="0"/>
    <x v="0"/>
    <x v="9"/>
    <n v="10070"/>
    <n v="6"/>
    <n v="6042"/>
    <n v="4028"/>
    <n v="0.4"/>
    <x v="2"/>
    <n v="2023"/>
  </r>
  <r>
    <x v="597"/>
    <d v="2023-02-08T00:00:00"/>
    <x v="1"/>
    <x v="3"/>
    <x v="47"/>
    <n v="16476"/>
    <n v="2"/>
    <n v="12357"/>
    <n v="4119"/>
    <n v="0.25"/>
    <x v="8"/>
    <n v="2023"/>
  </r>
  <r>
    <x v="598"/>
    <d v="2023-10-01T00:00:00"/>
    <x v="2"/>
    <x v="0"/>
    <x v="4"/>
    <n v="4149"/>
    <n v="4"/>
    <n v="2489.4"/>
    <n v="1659.6"/>
    <n v="0.39999999999999997"/>
    <x v="0"/>
    <n v="2023"/>
  </r>
  <r>
    <x v="599"/>
    <d v="2023-06-09T00:00:00"/>
    <x v="3"/>
    <x v="2"/>
    <x v="42"/>
    <n v="6573"/>
    <n v="3"/>
    <n v="4601.0999999999995"/>
    <n v="1971.9000000000005"/>
    <n v="0.3000000000000001"/>
    <x v="2"/>
    <n v="2023"/>
  </r>
  <r>
    <x v="600"/>
    <d v="2023-02-23T00:00:00"/>
    <x v="0"/>
    <x v="1"/>
    <x v="19"/>
    <n v="8089"/>
    <n v="7"/>
    <n v="5257.85"/>
    <n v="2831.1499999999996"/>
    <n v="0.35"/>
    <x v="8"/>
    <n v="2023"/>
  </r>
  <r>
    <x v="601"/>
    <d v="2023-03-07T00:00:00"/>
    <x v="1"/>
    <x v="2"/>
    <x v="20"/>
    <n v="17255"/>
    <n v="3"/>
    <n v="12078.5"/>
    <n v="5176.5"/>
    <n v="0.3"/>
    <x v="11"/>
    <n v="2023"/>
  </r>
  <r>
    <x v="602"/>
    <d v="2023-05-13T00:00:00"/>
    <x v="2"/>
    <x v="2"/>
    <x v="30"/>
    <n v="9984"/>
    <n v="2"/>
    <n v="6988.7999999999993"/>
    <n v="2995.2000000000007"/>
    <n v="0.3000000000000001"/>
    <x v="4"/>
    <n v="2023"/>
  </r>
  <r>
    <x v="603"/>
    <d v="2023-09-09T00:00:00"/>
    <x v="3"/>
    <x v="2"/>
    <x v="19"/>
    <n v="9957"/>
    <n v="7"/>
    <n v="6969.9"/>
    <n v="2987.1000000000004"/>
    <n v="0.30000000000000004"/>
    <x v="10"/>
    <n v="2023"/>
  </r>
  <r>
    <x v="604"/>
    <d v="2023-05-04T00:00:00"/>
    <x v="0"/>
    <x v="2"/>
    <x v="1"/>
    <n v="11889"/>
    <n v="9"/>
    <n v="8322.2999999999993"/>
    <n v="3566.7000000000007"/>
    <n v="0.30000000000000004"/>
    <x v="4"/>
    <n v="2023"/>
  </r>
  <r>
    <x v="605"/>
    <d v="2023-08-19T00:00:00"/>
    <x v="1"/>
    <x v="0"/>
    <x v="3"/>
    <n v="4795"/>
    <n v="3"/>
    <n v="2877"/>
    <n v="1918"/>
    <n v="0.4"/>
    <x v="5"/>
    <n v="2023"/>
  </r>
  <r>
    <x v="606"/>
    <d v="2023-03-01T00:00:00"/>
    <x v="2"/>
    <x v="3"/>
    <x v="13"/>
    <n v="17704"/>
    <n v="4"/>
    <n v="13278"/>
    <n v="4426"/>
    <n v="0.25"/>
    <x v="11"/>
    <n v="2023"/>
  </r>
  <r>
    <x v="607"/>
    <d v="2023-11-12T00:00:00"/>
    <x v="3"/>
    <x v="3"/>
    <x v="9"/>
    <n v="12695"/>
    <n v="5"/>
    <n v="9521.25"/>
    <n v="3173.75"/>
    <n v="0.25"/>
    <x v="3"/>
    <n v="2023"/>
  </r>
  <r>
    <x v="608"/>
    <d v="2023-10-03T00:00:00"/>
    <x v="0"/>
    <x v="1"/>
    <x v="35"/>
    <n v="2315"/>
    <n v="8"/>
    <n v="1504.75"/>
    <n v="810.25"/>
    <n v="0.35"/>
    <x v="0"/>
    <n v="2023"/>
  </r>
  <r>
    <x v="609"/>
    <d v="2023-11-12T00:00:00"/>
    <x v="1"/>
    <x v="3"/>
    <x v="34"/>
    <n v="2642"/>
    <n v="10"/>
    <n v="1981.5"/>
    <n v="660.5"/>
    <n v="0.25"/>
    <x v="3"/>
    <n v="2023"/>
  </r>
  <r>
    <x v="610"/>
    <d v="2023-11-07T00:00:00"/>
    <x v="2"/>
    <x v="3"/>
    <x v="11"/>
    <n v="6699"/>
    <n v="7"/>
    <n v="5024.25"/>
    <n v="1674.75"/>
    <n v="0.25"/>
    <x v="3"/>
    <n v="2023"/>
  </r>
  <r>
    <x v="611"/>
    <d v="2023-05-26T00:00:00"/>
    <x v="3"/>
    <x v="2"/>
    <x v="14"/>
    <n v="12666"/>
    <n v="2"/>
    <n v="8866.1999999999989"/>
    <n v="3799.8000000000011"/>
    <n v="0.3000000000000001"/>
    <x v="4"/>
    <n v="2023"/>
  </r>
  <r>
    <x v="612"/>
    <d v="2023-03-25T00:00:00"/>
    <x v="0"/>
    <x v="0"/>
    <x v="46"/>
    <n v="19323"/>
    <n v="5"/>
    <n v="11593.8"/>
    <n v="7729.2000000000007"/>
    <n v="0.4"/>
    <x v="11"/>
    <n v="2023"/>
  </r>
  <r>
    <x v="613"/>
    <d v="2023-02-19T00:00:00"/>
    <x v="1"/>
    <x v="1"/>
    <x v="33"/>
    <n v="13355"/>
    <n v="9"/>
    <n v="8680.75"/>
    <n v="4674.25"/>
    <n v="0.35"/>
    <x v="8"/>
    <n v="2023"/>
  </r>
  <r>
    <x v="614"/>
    <d v="2023-02-02T00:00:00"/>
    <x v="2"/>
    <x v="3"/>
    <x v="43"/>
    <n v="500"/>
    <n v="10"/>
    <n v="375"/>
    <n v="125"/>
    <n v="0.25"/>
    <x v="8"/>
    <n v="2023"/>
  </r>
  <r>
    <x v="615"/>
    <d v="2023-08-22T00:00:00"/>
    <x v="3"/>
    <x v="0"/>
    <x v="29"/>
    <n v="15646"/>
    <n v="7"/>
    <n v="9387.6"/>
    <n v="6258.4"/>
    <n v="0.39999999999999997"/>
    <x v="5"/>
    <n v="2023"/>
  </r>
  <r>
    <x v="616"/>
    <d v="2023-01-05T00:00:00"/>
    <x v="0"/>
    <x v="0"/>
    <x v="41"/>
    <n v="10091"/>
    <n v="4"/>
    <n v="6054.5999999999995"/>
    <n v="4036.4000000000005"/>
    <n v="0.40000000000000008"/>
    <x v="9"/>
    <n v="2023"/>
  </r>
  <r>
    <x v="617"/>
    <d v="2023-05-08T00:00:00"/>
    <x v="1"/>
    <x v="2"/>
    <x v="18"/>
    <n v="9666"/>
    <n v="4"/>
    <n v="6766.2"/>
    <n v="2899.8"/>
    <n v="0.30000000000000004"/>
    <x v="4"/>
    <n v="2023"/>
  </r>
  <r>
    <x v="618"/>
    <d v="2023-07-27T00:00:00"/>
    <x v="2"/>
    <x v="3"/>
    <x v="48"/>
    <n v="8573"/>
    <n v="8"/>
    <n v="6429.75"/>
    <n v="2143.25"/>
    <n v="0.25"/>
    <x v="6"/>
    <n v="2023"/>
  </r>
  <r>
    <x v="619"/>
    <d v="2023-06-10T00:00:00"/>
    <x v="3"/>
    <x v="1"/>
    <x v="48"/>
    <n v="15735"/>
    <n v="6"/>
    <n v="10227.75"/>
    <n v="5507.25"/>
    <n v="0.35"/>
    <x v="2"/>
    <n v="2023"/>
  </r>
  <r>
    <x v="620"/>
    <d v="2023-07-23T00:00:00"/>
    <x v="0"/>
    <x v="2"/>
    <x v="26"/>
    <n v="6342"/>
    <n v="8"/>
    <n v="4439.3999999999996"/>
    <n v="1902.6000000000004"/>
    <n v="0.30000000000000004"/>
    <x v="6"/>
    <n v="2023"/>
  </r>
  <r>
    <x v="621"/>
    <d v="2023-07-02T00:00:00"/>
    <x v="1"/>
    <x v="3"/>
    <x v="30"/>
    <n v="12303"/>
    <n v="8"/>
    <n v="9227.25"/>
    <n v="3075.75"/>
    <n v="0.25"/>
    <x v="6"/>
    <n v="2023"/>
  </r>
  <r>
    <x v="622"/>
    <d v="2023-09-15T00:00:00"/>
    <x v="2"/>
    <x v="1"/>
    <x v="22"/>
    <n v="5450"/>
    <n v="2"/>
    <n v="3542.5"/>
    <n v="1907.5"/>
    <n v="0.35"/>
    <x v="10"/>
    <n v="2023"/>
  </r>
  <r>
    <x v="623"/>
    <d v="2023-12-25T00:00:00"/>
    <x v="3"/>
    <x v="3"/>
    <x v="11"/>
    <n v="1019"/>
    <n v="1"/>
    <n v="764.25"/>
    <n v="254.75"/>
    <n v="0.25"/>
    <x v="7"/>
    <n v="2023"/>
  </r>
  <r>
    <x v="624"/>
    <d v="2023-06-07T00:00:00"/>
    <x v="0"/>
    <x v="1"/>
    <x v="45"/>
    <n v="18741"/>
    <n v="8"/>
    <n v="12181.65"/>
    <n v="6559.35"/>
    <n v="0.35000000000000003"/>
    <x v="2"/>
    <n v="2023"/>
  </r>
  <r>
    <x v="625"/>
    <d v="2023-04-05T00:00:00"/>
    <x v="1"/>
    <x v="2"/>
    <x v="23"/>
    <n v="11450"/>
    <n v="1"/>
    <n v="8014.9999999999991"/>
    <n v="3435.0000000000009"/>
    <n v="0.3000000000000001"/>
    <x v="1"/>
    <n v="2023"/>
  </r>
  <r>
    <x v="626"/>
    <d v="2023-04-05T00:00:00"/>
    <x v="2"/>
    <x v="1"/>
    <x v="35"/>
    <n v="8286"/>
    <n v="5"/>
    <n v="5385.9000000000005"/>
    <n v="2900.0999999999995"/>
    <n v="0.34999999999999992"/>
    <x v="1"/>
    <n v="2023"/>
  </r>
  <r>
    <x v="627"/>
    <d v="2023-04-27T00:00:00"/>
    <x v="3"/>
    <x v="1"/>
    <x v="15"/>
    <n v="18851"/>
    <n v="3"/>
    <n v="12253.15"/>
    <n v="6597.85"/>
    <n v="0.35000000000000003"/>
    <x v="1"/>
    <n v="2023"/>
  </r>
  <r>
    <x v="628"/>
    <d v="2023-08-11T00:00:00"/>
    <x v="0"/>
    <x v="3"/>
    <x v="17"/>
    <n v="10379"/>
    <n v="4"/>
    <n v="7784.25"/>
    <n v="2594.75"/>
    <n v="0.25"/>
    <x v="5"/>
    <n v="2023"/>
  </r>
  <r>
    <x v="629"/>
    <d v="2023-12-22T00:00:00"/>
    <x v="1"/>
    <x v="0"/>
    <x v="25"/>
    <n v="19142"/>
    <n v="9"/>
    <n v="11485.199999999999"/>
    <n v="7656.8000000000011"/>
    <n v="0.40000000000000008"/>
    <x v="7"/>
    <n v="2023"/>
  </r>
  <r>
    <x v="630"/>
    <d v="2023-06-21T00:00:00"/>
    <x v="2"/>
    <x v="0"/>
    <x v="10"/>
    <n v="18752"/>
    <n v="9"/>
    <n v="11251.199999999999"/>
    <n v="7500.8000000000011"/>
    <n v="0.40000000000000008"/>
    <x v="2"/>
    <n v="2023"/>
  </r>
  <r>
    <x v="631"/>
    <d v="2023-07-22T00:00:00"/>
    <x v="3"/>
    <x v="2"/>
    <x v="38"/>
    <n v="15937"/>
    <n v="10"/>
    <n v="11155.9"/>
    <n v="4781.1000000000004"/>
    <n v="0.30000000000000004"/>
    <x v="6"/>
    <n v="2023"/>
  </r>
  <r>
    <x v="632"/>
    <d v="2023-12-23T00:00:00"/>
    <x v="0"/>
    <x v="0"/>
    <x v="28"/>
    <n v="14424"/>
    <n v="8"/>
    <n v="8654.4"/>
    <n v="5769.6"/>
    <n v="0.4"/>
    <x v="7"/>
    <n v="2023"/>
  </r>
  <r>
    <x v="633"/>
    <d v="2023-11-09T00:00:00"/>
    <x v="1"/>
    <x v="0"/>
    <x v="9"/>
    <n v="19302"/>
    <n v="7"/>
    <n v="11581.199999999999"/>
    <n v="7720.8000000000011"/>
    <n v="0.40000000000000008"/>
    <x v="3"/>
    <n v="2023"/>
  </r>
  <r>
    <x v="634"/>
    <d v="2023-06-16T00:00:00"/>
    <x v="2"/>
    <x v="3"/>
    <x v="22"/>
    <n v="15256"/>
    <n v="10"/>
    <n v="11442"/>
    <n v="3814"/>
    <n v="0.25"/>
    <x v="2"/>
    <n v="2023"/>
  </r>
  <r>
    <x v="635"/>
    <d v="2023-07-22T00:00:00"/>
    <x v="3"/>
    <x v="3"/>
    <x v="19"/>
    <n v="10927"/>
    <n v="7"/>
    <n v="8195.25"/>
    <n v="2731.75"/>
    <n v="0.25"/>
    <x v="6"/>
    <n v="2023"/>
  </r>
  <r>
    <x v="636"/>
    <d v="2023-12-22T00:00:00"/>
    <x v="0"/>
    <x v="0"/>
    <x v="24"/>
    <n v="10274"/>
    <n v="7"/>
    <n v="6164.4"/>
    <n v="4109.6000000000004"/>
    <n v="0.4"/>
    <x v="7"/>
    <n v="2023"/>
  </r>
  <r>
    <x v="637"/>
    <d v="2023-09-17T00:00:00"/>
    <x v="1"/>
    <x v="3"/>
    <x v="25"/>
    <n v="4882"/>
    <n v="1"/>
    <n v="3661.5"/>
    <n v="1220.5"/>
    <n v="0.25"/>
    <x v="10"/>
    <n v="2023"/>
  </r>
  <r>
    <x v="638"/>
    <d v="2023-06-28T00:00:00"/>
    <x v="2"/>
    <x v="1"/>
    <x v="33"/>
    <n v="12517"/>
    <n v="8"/>
    <n v="8136.05"/>
    <n v="4380.95"/>
    <n v="0.35"/>
    <x v="2"/>
    <n v="2023"/>
  </r>
  <r>
    <x v="639"/>
    <d v="2023-12-26T00:00:00"/>
    <x v="3"/>
    <x v="3"/>
    <x v="22"/>
    <n v="2732"/>
    <n v="9"/>
    <n v="2049"/>
    <n v="683"/>
    <n v="0.25"/>
    <x v="7"/>
    <n v="2023"/>
  </r>
  <r>
    <x v="640"/>
    <d v="2023-03-16T00:00:00"/>
    <x v="0"/>
    <x v="3"/>
    <x v="49"/>
    <n v="10009"/>
    <n v="2"/>
    <n v="7506.75"/>
    <n v="2502.25"/>
    <n v="0.25"/>
    <x v="11"/>
    <n v="2023"/>
  </r>
  <r>
    <x v="641"/>
    <d v="2023-03-20T00:00:00"/>
    <x v="1"/>
    <x v="3"/>
    <x v="22"/>
    <n v="11704"/>
    <n v="10"/>
    <n v="8778"/>
    <n v="2926"/>
    <n v="0.25"/>
    <x v="11"/>
    <n v="2023"/>
  </r>
  <r>
    <x v="642"/>
    <d v="2023-09-27T00:00:00"/>
    <x v="2"/>
    <x v="2"/>
    <x v="19"/>
    <n v="16606"/>
    <n v="2"/>
    <n v="11624.199999999999"/>
    <n v="4981.8000000000011"/>
    <n v="0.30000000000000004"/>
    <x v="10"/>
    <n v="2023"/>
  </r>
  <r>
    <x v="643"/>
    <d v="2023-01-01T00:00:00"/>
    <x v="3"/>
    <x v="3"/>
    <x v="18"/>
    <n v="9948"/>
    <n v="7"/>
    <n v="7461"/>
    <n v="2487"/>
    <n v="0.25"/>
    <x v="9"/>
    <n v="2023"/>
  </r>
  <r>
    <x v="644"/>
    <d v="2023-08-23T00:00:00"/>
    <x v="0"/>
    <x v="3"/>
    <x v="28"/>
    <n v="13950"/>
    <n v="6"/>
    <n v="10462.5"/>
    <n v="3487.5"/>
    <n v="0.25"/>
    <x v="5"/>
    <n v="2023"/>
  </r>
  <r>
    <x v="645"/>
    <d v="2023-05-14T00:00:00"/>
    <x v="1"/>
    <x v="0"/>
    <x v="3"/>
    <n v="5472"/>
    <n v="3"/>
    <n v="3283.2"/>
    <n v="2188.8000000000002"/>
    <n v="0.4"/>
    <x v="4"/>
    <n v="2023"/>
  </r>
  <r>
    <x v="646"/>
    <d v="2023-05-22T00:00:00"/>
    <x v="2"/>
    <x v="0"/>
    <x v="19"/>
    <n v="15128"/>
    <n v="3"/>
    <n v="9076.7999999999993"/>
    <n v="6051.2000000000007"/>
    <n v="0.4"/>
    <x v="4"/>
    <n v="2023"/>
  </r>
  <r>
    <x v="647"/>
    <d v="2023-01-18T00:00:00"/>
    <x v="3"/>
    <x v="2"/>
    <x v="28"/>
    <n v="18572"/>
    <n v="5"/>
    <n v="13000.4"/>
    <n v="5571.6"/>
    <n v="0.30000000000000004"/>
    <x v="9"/>
    <n v="2023"/>
  </r>
  <r>
    <x v="648"/>
    <d v="2023-05-01T00:00:00"/>
    <x v="0"/>
    <x v="3"/>
    <x v="3"/>
    <n v="9005"/>
    <n v="6"/>
    <n v="6753.75"/>
    <n v="2251.25"/>
    <n v="0.25"/>
    <x v="4"/>
    <n v="2023"/>
  </r>
  <r>
    <x v="649"/>
    <d v="2023-04-13T00:00:00"/>
    <x v="1"/>
    <x v="1"/>
    <x v="33"/>
    <n v="4860"/>
    <n v="9"/>
    <n v="3159"/>
    <n v="1701"/>
    <n v="0.35"/>
    <x v="1"/>
    <n v="2023"/>
  </r>
  <r>
    <x v="650"/>
    <d v="2023-01-13T00:00:00"/>
    <x v="2"/>
    <x v="2"/>
    <x v="8"/>
    <n v="14038"/>
    <n v="8"/>
    <n v="9826.5999999999985"/>
    <n v="4211.4000000000015"/>
    <n v="0.3000000000000001"/>
    <x v="9"/>
    <n v="2023"/>
  </r>
  <r>
    <x v="651"/>
    <d v="2023-05-25T00:00:00"/>
    <x v="3"/>
    <x v="1"/>
    <x v="22"/>
    <n v="7826"/>
    <n v="6"/>
    <n v="5086.9000000000005"/>
    <n v="2739.0999999999995"/>
    <n v="0.34999999999999992"/>
    <x v="4"/>
    <n v="2023"/>
  </r>
  <r>
    <x v="652"/>
    <d v="2023-02-13T00:00:00"/>
    <x v="0"/>
    <x v="1"/>
    <x v="18"/>
    <n v="4173"/>
    <n v="9"/>
    <n v="2712.4500000000003"/>
    <n v="1460.5499999999997"/>
    <n v="0.34999999999999992"/>
    <x v="8"/>
    <n v="2023"/>
  </r>
  <r>
    <x v="653"/>
    <d v="2023-03-28T00:00:00"/>
    <x v="1"/>
    <x v="2"/>
    <x v="33"/>
    <n v="17199"/>
    <n v="7"/>
    <n v="12039.3"/>
    <n v="5159.7000000000007"/>
    <n v="0.30000000000000004"/>
    <x v="11"/>
    <n v="2023"/>
  </r>
  <r>
    <x v="654"/>
    <d v="2023-11-14T00:00:00"/>
    <x v="2"/>
    <x v="1"/>
    <x v="43"/>
    <n v="7738"/>
    <n v="9"/>
    <n v="5029.7"/>
    <n v="2708.3"/>
    <n v="0.35000000000000003"/>
    <x v="3"/>
    <n v="2023"/>
  </r>
  <r>
    <x v="655"/>
    <d v="2023-06-16T00:00:00"/>
    <x v="3"/>
    <x v="0"/>
    <x v="29"/>
    <n v="17343"/>
    <n v="10"/>
    <n v="10405.799999999999"/>
    <n v="6937.2000000000007"/>
    <n v="0.4"/>
    <x v="2"/>
    <n v="2023"/>
  </r>
  <r>
    <x v="656"/>
    <d v="2023-12-12T00:00:00"/>
    <x v="0"/>
    <x v="0"/>
    <x v="19"/>
    <n v="1278"/>
    <n v="4"/>
    <n v="766.8"/>
    <n v="511.20000000000005"/>
    <n v="0.4"/>
    <x v="7"/>
    <n v="2023"/>
  </r>
  <r>
    <x v="657"/>
    <d v="2023-10-26T00:00:00"/>
    <x v="1"/>
    <x v="1"/>
    <x v="16"/>
    <n v="19377"/>
    <n v="6"/>
    <n v="12595.050000000001"/>
    <n v="6781.9499999999989"/>
    <n v="0.34999999999999992"/>
    <x v="0"/>
    <n v="2023"/>
  </r>
  <r>
    <x v="658"/>
    <d v="2023-04-02T00:00:00"/>
    <x v="2"/>
    <x v="3"/>
    <x v="24"/>
    <n v="2667"/>
    <n v="10"/>
    <n v="2000.25"/>
    <n v="666.75"/>
    <n v="0.25"/>
    <x v="1"/>
    <n v="2023"/>
  </r>
  <r>
    <x v="659"/>
    <d v="2023-06-13T00:00:00"/>
    <x v="3"/>
    <x v="3"/>
    <x v="16"/>
    <n v="16982"/>
    <n v="10"/>
    <n v="12736.5"/>
    <n v="4245.5"/>
    <n v="0.25"/>
    <x v="2"/>
    <n v="2023"/>
  </r>
  <r>
    <x v="660"/>
    <d v="2023-06-24T00:00:00"/>
    <x v="0"/>
    <x v="2"/>
    <x v="3"/>
    <n v="19418"/>
    <n v="3"/>
    <n v="13592.599999999999"/>
    <n v="5825.4000000000015"/>
    <n v="0.3000000000000001"/>
    <x v="2"/>
    <n v="2023"/>
  </r>
  <r>
    <x v="661"/>
    <d v="2023-12-17T00:00:00"/>
    <x v="1"/>
    <x v="1"/>
    <x v="31"/>
    <n v="921"/>
    <n v="1"/>
    <n v="598.65"/>
    <n v="322.35000000000002"/>
    <n v="0.35000000000000003"/>
    <x v="7"/>
    <n v="2023"/>
  </r>
  <r>
    <x v="662"/>
    <d v="2023-12-04T00:00:00"/>
    <x v="2"/>
    <x v="2"/>
    <x v="14"/>
    <n v="4693"/>
    <n v="3"/>
    <n v="3285.1"/>
    <n v="1407.9"/>
    <n v="0.30000000000000004"/>
    <x v="7"/>
    <n v="2023"/>
  </r>
  <r>
    <x v="663"/>
    <d v="2023-05-03T00:00:00"/>
    <x v="3"/>
    <x v="3"/>
    <x v="11"/>
    <n v="14182"/>
    <n v="1"/>
    <n v="10636.5"/>
    <n v="3545.5"/>
    <n v="0.25"/>
    <x v="4"/>
    <n v="2023"/>
  </r>
  <r>
    <x v="664"/>
    <d v="2023-03-26T00:00:00"/>
    <x v="0"/>
    <x v="1"/>
    <x v="16"/>
    <n v="17081"/>
    <n v="7"/>
    <n v="11102.65"/>
    <n v="5978.35"/>
    <n v="0.35000000000000003"/>
    <x v="11"/>
    <n v="2023"/>
  </r>
  <r>
    <x v="665"/>
    <d v="2023-05-02T00:00:00"/>
    <x v="1"/>
    <x v="3"/>
    <x v="27"/>
    <n v="8328"/>
    <n v="7"/>
    <n v="6246"/>
    <n v="2082"/>
    <n v="0.25"/>
    <x v="4"/>
    <n v="2023"/>
  </r>
  <r>
    <x v="666"/>
    <d v="2023-05-11T00:00:00"/>
    <x v="2"/>
    <x v="1"/>
    <x v="34"/>
    <n v="12133"/>
    <n v="3"/>
    <n v="7886.45"/>
    <n v="4246.55"/>
    <n v="0.35000000000000003"/>
    <x v="4"/>
    <n v="2023"/>
  </r>
  <r>
    <x v="667"/>
    <d v="2023-05-22T00:00:00"/>
    <x v="3"/>
    <x v="0"/>
    <x v="20"/>
    <n v="4878"/>
    <n v="5"/>
    <n v="2926.7999999999997"/>
    <n v="1951.2000000000003"/>
    <n v="0.40000000000000008"/>
    <x v="4"/>
    <n v="2023"/>
  </r>
  <r>
    <x v="668"/>
    <d v="2023-02-11T00:00:00"/>
    <x v="0"/>
    <x v="0"/>
    <x v="36"/>
    <n v="17491"/>
    <n v="6"/>
    <n v="10494.6"/>
    <n v="6996.4"/>
    <n v="0.39999999999999997"/>
    <x v="8"/>
    <n v="2023"/>
  </r>
  <r>
    <x v="669"/>
    <d v="2023-01-03T00:00:00"/>
    <x v="1"/>
    <x v="3"/>
    <x v="28"/>
    <n v="5397"/>
    <n v="10"/>
    <n v="4047.75"/>
    <n v="1349.25"/>
    <n v="0.25"/>
    <x v="9"/>
    <n v="2023"/>
  </r>
  <r>
    <x v="670"/>
    <d v="2023-01-12T00:00:00"/>
    <x v="2"/>
    <x v="1"/>
    <x v="43"/>
    <n v="11692"/>
    <n v="3"/>
    <n v="7599.8"/>
    <n v="4092.2"/>
    <n v="0.35"/>
    <x v="9"/>
    <n v="2023"/>
  </r>
  <r>
    <x v="671"/>
    <d v="2023-04-28T00:00:00"/>
    <x v="3"/>
    <x v="2"/>
    <x v="23"/>
    <n v="6440"/>
    <n v="4"/>
    <n v="4508"/>
    <n v="1932"/>
    <n v="0.3"/>
    <x v="1"/>
    <n v="2023"/>
  </r>
  <r>
    <x v="672"/>
    <d v="2023-01-10T00:00:00"/>
    <x v="0"/>
    <x v="1"/>
    <x v="28"/>
    <n v="2873"/>
    <n v="6"/>
    <n v="1867.45"/>
    <n v="1005.55"/>
    <n v="0.35"/>
    <x v="9"/>
    <n v="2023"/>
  </r>
  <r>
    <x v="673"/>
    <d v="2023-03-03T00:00:00"/>
    <x v="1"/>
    <x v="0"/>
    <x v="28"/>
    <n v="6633"/>
    <n v="6"/>
    <n v="3979.7999999999997"/>
    <n v="2653.2000000000003"/>
    <n v="0.4"/>
    <x v="11"/>
    <n v="2023"/>
  </r>
  <r>
    <x v="674"/>
    <d v="2023-09-23T00:00:00"/>
    <x v="2"/>
    <x v="2"/>
    <x v="24"/>
    <n v="18695"/>
    <n v="6"/>
    <n v="13086.5"/>
    <n v="5608.5"/>
    <n v="0.3"/>
    <x v="10"/>
    <n v="2023"/>
  </r>
  <r>
    <x v="675"/>
    <d v="2023-07-02T00:00:00"/>
    <x v="3"/>
    <x v="3"/>
    <x v="42"/>
    <n v="10736"/>
    <n v="1"/>
    <n v="8052"/>
    <n v="2684"/>
    <n v="0.25"/>
    <x v="6"/>
    <n v="2023"/>
  </r>
  <r>
    <x v="676"/>
    <d v="2023-08-26T00:00:00"/>
    <x v="0"/>
    <x v="1"/>
    <x v="14"/>
    <n v="8586"/>
    <n v="9"/>
    <n v="5580.9000000000005"/>
    <n v="3005.0999999999995"/>
    <n v="0.34999999999999992"/>
    <x v="5"/>
    <n v="2023"/>
  </r>
  <r>
    <x v="677"/>
    <d v="2023-12-19T00:00:00"/>
    <x v="1"/>
    <x v="3"/>
    <x v="11"/>
    <n v="1645"/>
    <n v="6"/>
    <n v="1233.75"/>
    <n v="411.25"/>
    <n v="0.25"/>
    <x v="7"/>
    <n v="2023"/>
  </r>
  <r>
    <x v="678"/>
    <d v="2023-06-17T00:00:00"/>
    <x v="2"/>
    <x v="2"/>
    <x v="41"/>
    <n v="8741"/>
    <n v="2"/>
    <n v="6118.7"/>
    <n v="2622.3"/>
    <n v="0.30000000000000004"/>
    <x v="2"/>
    <n v="2023"/>
  </r>
  <r>
    <x v="679"/>
    <d v="2023-01-05T00:00:00"/>
    <x v="3"/>
    <x v="1"/>
    <x v="37"/>
    <n v="18211"/>
    <n v="6"/>
    <n v="11837.15"/>
    <n v="6373.85"/>
    <n v="0.35000000000000003"/>
    <x v="9"/>
    <n v="2023"/>
  </r>
  <r>
    <x v="680"/>
    <d v="2023-06-04T00:00:00"/>
    <x v="0"/>
    <x v="0"/>
    <x v="5"/>
    <n v="16184"/>
    <n v="8"/>
    <n v="9710.4"/>
    <n v="6473.6"/>
    <n v="0.4"/>
    <x v="2"/>
    <n v="2023"/>
  </r>
  <r>
    <x v="681"/>
    <d v="2023-09-26T00:00:00"/>
    <x v="1"/>
    <x v="3"/>
    <x v="7"/>
    <n v="510"/>
    <n v="10"/>
    <n v="382.5"/>
    <n v="127.5"/>
    <n v="0.25"/>
    <x v="10"/>
    <n v="2023"/>
  </r>
  <r>
    <x v="682"/>
    <d v="2023-06-09T00:00:00"/>
    <x v="2"/>
    <x v="1"/>
    <x v="14"/>
    <n v="7990"/>
    <n v="4"/>
    <n v="5193.5"/>
    <n v="2796.5"/>
    <n v="0.35"/>
    <x v="2"/>
    <n v="2023"/>
  </r>
  <r>
    <x v="683"/>
    <d v="2023-05-06T00:00:00"/>
    <x v="3"/>
    <x v="2"/>
    <x v="12"/>
    <n v="2591"/>
    <n v="9"/>
    <n v="1813.6999999999998"/>
    <n v="777.30000000000018"/>
    <n v="0.30000000000000004"/>
    <x v="4"/>
    <n v="2023"/>
  </r>
  <r>
    <x v="684"/>
    <d v="2023-11-14T00:00:00"/>
    <x v="0"/>
    <x v="2"/>
    <x v="40"/>
    <n v="9175"/>
    <n v="10"/>
    <n v="6422.5"/>
    <n v="2752.5"/>
    <n v="0.3"/>
    <x v="3"/>
    <n v="2023"/>
  </r>
  <r>
    <x v="685"/>
    <d v="2023-10-09T00:00:00"/>
    <x v="1"/>
    <x v="1"/>
    <x v="40"/>
    <n v="2997"/>
    <n v="4"/>
    <n v="1948.05"/>
    <n v="1048.95"/>
    <n v="0.35000000000000003"/>
    <x v="0"/>
    <n v="2023"/>
  </r>
  <r>
    <x v="686"/>
    <d v="2023-01-22T00:00:00"/>
    <x v="2"/>
    <x v="1"/>
    <x v="28"/>
    <n v="10209"/>
    <n v="4"/>
    <n v="6635.85"/>
    <n v="3573.1499999999996"/>
    <n v="0.35"/>
    <x v="9"/>
    <n v="2023"/>
  </r>
  <r>
    <x v="687"/>
    <d v="2023-10-17T00:00:00"/>
    <x v="3"/>
    <x v="0"/>
    <x v="49"/>
    <n v="7650"/>
    <n v="10"/>
    <n v="4590"/>
    <n v="3060"/>
    <n v="0.4"/>
    <x v="0"/>
    <n v="2023"/>
  </r>
  <r>
    <x v="688"/>
    <d v="2023-04-21T00:00:00"/>
    <x v="0"/>
    <x v="3"/>
    <x v="40"/>
    <n v="3818"/>
    <n v="1"/>
    <n v="2863.5"/>
    <n v="954.5"/>
    <n v="0.25"/>
    <x v="1"/>
    <n v="2023"/>
  </r>
  <r>
    <x v="689"/>
    <d v="2023-03-23T00:00:00"/>
    <x v="1"/>
    <x v="0"/>
    <x v="6"/>
    <n v="2654"/>
    <n v="4"/>
    <n v="1592.3999999999999"/>
    <n v="1061.6000000000001"/>
    <n v="0.40000000000000008"/>
    <x v="11"/>
    <n v="2023"/>
  </r>
  <r>
    <x v="690"/>
    <d v="2023-08-22T00:00:00"/>
    <x v="2"/>
    <x v="2"/>
    <x v="12"/>
    <n v="16173"/>
    <n v="7"/>
    <n v="11321.099999999999"/>
    <n v="4851.9000000000015"/>
    <n v="0.3000000000000001"/>
    <x v="5"/>
    <n v="2023"/>
  </r>
  <r>
    <x v="691"/>
    <d v="2023-05-08T00:00:00"/>
    <x v="3"/>
    <x v="2"/>
    <x v="29"/>
    <n v="19398"/>
    <n v="10"/>
    <n v="13578.599999999999"/>
    <n v="5819.4000000000015"/>
    <n v="0.3000000000000001"/>
    <x v="4"/>
    <n v="2023"/>
  </r>
  <r>
    <x v="692"/>
    <d v="2023-02-21T00:00:00"/>
    <x v="0"/>
    <x v="0"/>
    <x v="1"/>
    <n v="14281"/>
    <n v="10"/>
    <n v="8568.6"/>
    <n v="5712.4"/>
    <n v="0.39999999999999997"/>
    <x v="8"/>
    <n v="2023"/>
  </r>
  <r>
    <x v="693"/>
    <d v="2023-05-13T00:00:00"/>
    <x v="1"/>
    <x v="3"/>
    <x v="14"/>
    <n v="4871"/>
    <n v="9"/>
    <n v="3653.25"/>
    <n v="1217.75"/>
    <n v="0.25"/>
    <x v="4"/>
    <n v="2023"/>
  </r>
  <r>
    <x v="694"/>
    <d v="2023-09-25T00:00:00"/>
    <x v="2"/>
    <x v="0"/>
    <x v="34"/>
    <n v="4184"/>
    <n v="7"/>
    <n v="2510.4"/>
    <n v="1673.6"/>
    <n v="0.39999999999999997"/>
    <x v="10"/>
    <n v="2023"/>
  </r>
  <r>
    <x v="695"/>
    <d v="2023-05-10T00:00:00"/>
    <x v="3"/>
    <x v="0"/>
    <x v="19"/>
    <n v="1502"/>
    <n v="6"/>
    <n v="901.19999999999993"/>
    <n v="600.80000000000007"/>
    <n v="0.4"/>
    <x v="4"/>
    <n v="2023"/>
  </r>
  <r>
    <x v="696"/>
    <d v="2023-06-13T00:00:00"/>
    <x v="0"/>
    <x v="0"/>
    <x v="33"/>
    <n v="6457"/>
    <n v="6"/>
    <n v="3874.2"/>
    <n v="2582.8000000000002"/>
    <n v="0.4"/>
    <x v="2"/>
    <n v="2023"/>
  </r>
  <r>
    <x v="697"/>
    <d v="2023-09-04T00:00:00"/>
    <x v="1"/>
    <x v="3"/>
    <x v="25"/>
    <n v="13837"/>
    <n v="8"/>
    <n v="10377.75"/>
    <n v="3459.25"/>
    <n v="0.25"/>
    <x v="10"/>
    <n v="2023"/>
  </r>
  <r>
    <x v="698"/>
    <d v="2023-04-27T00:00:00"/>
    <x v="2"/>
    <x v="1"/>
    <x v="49"/>
    <n v="15576"/>
    <n v="4"/>
    <n v="10124.4"/>
    <n v="5451.6"/>
    <n v="0.35000000000000003"/>
    <x v="1"/>
    <n v="2023"/>
  </r>
  <r>
    <x v="699"/>
    <d v="2023-07-09T00:00:00"/>
    <x v="3"/>
    <x v="2"/>
    <x v="7"/>
    <n v="6006"/>
    <n v="10"/>
    <n v="4204.2"/>
    <n v="1801.8000000000002"/>
    <n v="0.30000000000000004"/>
    <x v="6"/>
    <n v="2023"/>
  </r>
  <r>
    <x v="700"/>
    <d v="2023-12-19T00:00:00"/>
    <x v="0"/>
    <x v="2"/>
    <x v="40"/>
    <n v="4695"/>
    <n v="7"/>
    <n v="3286.5"/>
    <n v="1408.5"/>
    <n v="0.3"/>
    <x v="7"/>
    <n v="2023"/>
  </r>
  <r>
    <x v="701"/>
    <d v="2023-11-17T00:00:00"/>
    <x v="1"/>
    <x v="2"/>
    <x v="37"/>
    <n v="16711"/>
    <n v="10"/>
    <n v="11697.699999999999"/>
    <n v="5013.3000000000011"/>
    <n v="0.30000000000000004"/>
    <x v="3"/>
    <n v="2023"/>
  </r>
  <r>
    <x v="702"/>
    <d v="2023-11-04T00:00:00"/>
    <x v="2"/>
    <x v="1"/>
    <x v="34"/>
    <n v="3044"/>
    <n v="6"/>
    <n v="1978.6000000000001"/>
    <n v="1065.3999999999999"/>
    <n v="0.35"/>
    <x v="3"/>
    <n v="2023"/>
  </r>
  <r>
    <x v="703"/>
    <d v="2023-07-27T00:00:00"/>
    <x v="3"/>
    <x v="3"/>
    <x v="44"/>
    <n v="7079"/>
    <n v="2"/>
    <n v="5309.25"/>
    <n v="1769.75"/>
    <n v="0.25"/>
    <x v="6"/>
    <n v="2023"/>
  </r>
  <r>
    <x v="704"/>
    <d v="2023-08-07T00:00:00"/>
    <x v="0"/>
    <x v="0"/>
    <x v="36"/>
    <n v="16765"/>
    <n v="4"/>
    <n v="10059"/>
    <n v="6706"/>
    <n v="0.4"/>
    <x v="5"/>
    <n v="2023"/>
  </r>
  <r>
    <x v="705"/>
    <d v="2023-08-11T00:00:00"/>
    <x v="1"/>
    <x v="1"/>
    <x v="1"/>
    <n v="13762"/>
    <n v="6"/>
    <n v="8945.3000000000011"/>
    <n v="4816.6999999999989"/>
    <n v="0.34999999999999992"/>
    <x v="5"/>
    <n v="2023"/>
  </r>
  <r>
    <x v="706"/>
    <d v="2023-06-24T00:00:00"/>
    <x v="2"/>
    <x v="0"/>
    <x v="16"/>
    <n v="1562"/>
    <n v="5"/>
    <n v="937.19999999999993"/>
    <n v="624.80000000000007"/>
    <n v="0.4"/>
    <x v="2"/>
    <n v="2023"/>
  </r>
  <r>
    <x v="707"/>
    <d v="2023-09-02T00:00:00"/>
    <x v="3"/>
    <x v="2"/>
    <x v="15"/>
    <n v="2994"/>
    <n v="8"/>
    <n v="2095.7999999999997"/>
    <n v="898.20000000000027"/>
    <n v="0.3000000000000001"/>
    <x v="10"/>
    <n v="2023"/>
  </r>
  <r>
    <x v="708"/>
    <d v="2023-07-05T00:00:00"/>
    <x v="0"/>
    <x v="1"/>
    <x v="35"/>
    <n v="6922"/>
    <n v="6"/>
    <n v="4499.3"/>
    <n v="2422.6999999999998"/>
    <n v="0.35"/>
    <x v="6"/>
    <n v="2023"/>
  </r>
  <r>
    <x v="709"/>
    <d v="2023-12-08T00:00:00"/>
    <x v="1"/>
    <x v="2"/>
    <x v="32"/>
    <n v="3717"/>
    <n v="10"/>
    <n v="2601.8999999999996"/>
    <n v="1115.1000000000004"/>
    <n v="0.3000000000000001"/>
    <x v="7"/>
    <n v="2023"/>
  </r>
  <r>
    <x v="710"/>
    <d v="2023-11-06T00:00:00"/>
    <x v="2"/>
    <x v="0"/>
    <x v="2"/>
    <n v="17367"/>
    <n v="8"/>
    <n v="10420.199999999999"/>
    <n v="6946.8000000000011"/>
    <n v="0.40000000000000008"/>
    <x v="3"/>
    <n v="2023"/>
  </r>
  <r>
    <x v="711"/>
    <d v="2023-02-10T00:00:00"/>
    <x v="3"/>
    <x v="2"/>
    <x v="23"/>
    <n v="4377"/>
    <n v="1"/>
    <n v="3063.8999999999996"/>
    <n v="1313.1000000000004"/>
    <n v="0.3000000000000001"/>
    <x v="8"/>
    <n v="2023"/>
  </r>
  <r>
    <x v="712"/>
    <d v="2023-12-27T00:00:00"/>
    <x v="0"/>
    <x v="0"/>
    <x v="39"/>
    <n v="9230"/>
    <n v="3"/>
    <n v="5538"/>
    <n v="3692"/>
    <n v="0.4"/>
    <x v="7"/>
    <n v="2023"/>
  </r>
  <r>
    <x v="713"/>
    <d v="2023-10-08T00:00:00"/>
    <x v="1"/>
    <x v="0"/>
    <x v="42"/>
    <n v="12003"/>
    <n v="3"/>
    <n v="7201.8"/>
    <n v="4801.2"/>
    <n v="0.39999999999999997"/>
    <x v="0"/>
    <n v="2023"/>
  </r>
  <r>
    <x v="714"/>
    <d v="2023-06-14T00:00:00"/>
    <x v="2"/>
    <x v="1"/>
    <x v="3"/>
    <n v="17096"/>
    <n v="4"/>
    <n v="11112.4"/>
    <n v="5983.6"/>
    <n v="0.35000000000000003"/>
    <x v="2"/>
    <n v="2023"/>
  </r>
  <r>
    <x v="715"/>
    <d v="2023-03-17T00:00:00"/>
    <x v="3"/>
    <x v="3"/>
    <x v="6"/>
    <n v="9811"/>
    <n v="8"/>
    <n v="7358.25"/>
    <n v="2452.75"/>
    <n v="0.25"/>
    <x v="11"/>
    <n v="2023"/>
  </r>
  <r>
    <x v="716"/>
    <d v="2023-04-13T00:00:00"/>
    <x v="0"/>
    <x v="2"/>
    <x v="17"/>
    <n v="2115"/>
    <n v="8"/>
    <n v="1480.5"/>
    <n v="634.5"/>
    <n v="0.3"/>
    <x v="1"/>
    <n v="2023"/>
  </r>
  <r>
    <x v="717"/>
    <d v="2023-10-28T00:00:00"/>
    <x v="1"/>
    <x v="3"/>
    <x v="11"/>
    <n v="5584"/>
    <n v="7"/>
    <n v="4188"/>
    <n v="1396"/>
    <n v="0.25"/>
    <x v="0"/>
    <n v="2023"/>
  </r>
  <r>
    <x v="718"/>
    <d v="2023-07-22T00:00:00"/>
    <x v="2"/>
    <x v="2"/>
    <x v="18"/>
    <n v="8066"/>
    <n v="3"/>
    <n v="5646.2"/>
    <n v="2419.8000000000002"/>
    <n v="0.30000000000000004"/>
    <x v="6"/>
    <n v="2023"/>
  </r>
  <r>
    <x v="719"/>
    <d v="2023-04-05T00:00:00"/>
    <x v="3"/>
    <x v="0"/>
    <x v="22"/>
    <n v="15534"/>
    <n v="2"/>
    <n v="9320.4"/>
    <n v="6213.6"/>
    <n v="0.4"/>
    <x v="1"/>
    <n v="2023"/>
  </r>
  <r>
    <x v="720"/>
    <d v="2023-05-01T00:00:00"/>
    <x v="0"/>
    <x v="3"/>
    <x v="16"/>
    <n v="15203"/>
    <n v="7"/>
    <n v="11402.25"/>
    <n v="3800.75"/>
    <n v="0.25"/>
    <x v="4"/>
    <n v="2023"/>
  </r>
  <r>
    <x v="721"/>
    <d v="2023-12-06T00:00:00"/>
    <x v="1"/>
    <x v="3"/>
    <x v="6"/>
    <n v="3605"/>
    <n v="3"/>
    <n v="2703.75"/>
    <n v="901.25"/>
    <n v="0.25"/>
    <x v="7"/>
    <n v="2023"/>
  </r>
  <r>
    <x v="722"/>
    <d v="2023-01-19T00:00:00"/>
    <x v="2"/>
    <x v="2"/>
    <x v="48"/>
    <n v="5522"/>
    <n v="4"/>
    <n v="3865.3999999999996"/>
    <n v="1656.6000000000004"/>
    <n v="0.30000000000000004"/>
    <x v="9"/>
    <n v="2023"/>
  </r>
  <r>
    <x v="723"/>
    <d v="2023-10-21T00:00:00"/>
    <x v="3"/>
    <x v="0"/>
    <x v="35"/>
    <n v="15071"/>
    <n v="4"/>
    <n v="9042.6"/>
    <n v="6028.4"/>
    <n v="0.39999999999999997"/>
    <x v="0"/>
    <n v="2023"/>
  </r>
  <r>
    <x v="724"/>
    <d v="2023-04-25T00:00:00"/>
    <x v="0"/>
    <x v="0"/>
    <x v="18"/>
    <n v="880"/>
    <n v="8"/>
    <n v="528"/>
    <n v="352"/>
    <n v="0.4"/>
    <x v="1"/>
    <n v="2023"/>
  </r>
  <r>
    <x v="725"/>
    <d v="2023-11-16T00:00:00"/>
    <x v="1"/>
    <x v="3"/>
    <x v="43"/>
    <n v="18604"/>
    <n v="1"/>
    <n v="13953"/>
    <n v="4651"/>
    <n v="0.25"/>
    <x v="3"/>
    <n v="2023"/>
  </r>
  <r>
    <x v="726"/>
    <d v="2023-12-25T00:00:00"/>
    <x v="2"/>
    <x v="1"/>
    <x v="40"/>
    <n v="18545"/>
    <n v="10"/>
    <n v="12054.25"/>
    <n v="6490.75"/>
    <n v="0.35"/>
    <x v="7"/>
    <n v="2023"/>
  </r>
  <r>
    <x v="727"/>
    <d v="2023-09-20T00:00:00"/>
    <x v="3"/>
    <x v="2"/>
    <x v="28"/>
    <n v="8058"/>
    <n v="2"/>
    <n v="5640.5999999999995"/>
    <n v="2417.4000000000005"/>
    <n v="0.30000000000000004"/>
    <x v="10"/>
    <n v="2023"/>
  </r>
  <r>
    <x v="728"/>
    <d v="2023-11-28T00:00:00"/>
    <x v="0"/>
    <x v="1"/>
    <x v="23"/>
    <n v="5405"/>
    <n v="6"/>
    <n v="3513.25"/>
    <n v="1891.75"/>
    <n v="0.35"/>
    <x v="3"/>
    <n v="2023"/>
  </r>
  <r>
    <x v="729"/>
    <d v="2023-06-27T00:00:00"/>
    <x v="1"/>
    <x v="0"/>
    <x v="44"/>
    <n v="9287"/>
    <n v="9"/>
    <n v="5572.2"/>
    <n v="3714.8"/>
    <n v="0.4"/>
    <x v="2"/>
    <n v="2023"/>
  </r>
  <r>
    <x v="730"/>
    <d v="2023-01-08T00:00:00"/>
    <x v="2"/>
    <x v="0"/>
    <x v="27"/>
    <n v="2547"/>
    <n v="6"/>
    <n v="1528.2"/>
    <n v="1018.8"/>
    <n v="0.39999999999999997"/>
    <x v="9"/>
    <n v="2023"/>
  </r>
  <r>
    <x v="731"/>
    <d v="2023-08-16T00:00:00"/>
    <x v="3"/>
    <x v="2"/>
    <x v="21"/>
    <n v="17036"/>
    <n v="3"/>
    <n v="11925.199999999999"/>
    <n v="5110.8000000000011"/>
    <n v="0.30000000000000004"/>
    <x v="5"/>
    <n v="2023"/>
  </r>
  <r>
    <x v="732"/>
    <d v="2023-02-01T00:00:00"/>
    <x v="0"/>
    <x v="2"/>
    <x v="26"/>
    <n v="2753"/>
    <n v="7"/>
    <n v="1927.1"/>
    <n v="825.90000000000009"/>
    <n v="0.30000000000000004"/>
    <x v="8"/>
    <n v="2023"/>
  </r>
  <r>
    <x v="733"/>
    <d v="2023-03-22T00:00:00"/>
    <x v="1"/>
    <x v="0"/>
    <x v="37"/>
    <n v="19883"/>
    <n v="5"/>
    <n v="11929.8"/>
    <n v="7953.2000000000007"/>
    <n v="0.4"/>
    <x v="11"/>
    <n v="2023"/>
  </r>
  <r>
    <x v="734"/>
    <d v="2023-10-08T00:00:00"/>
    <x v="2"/>
    <x v="2"/>
    <x v="25"/>
    <n v="569"/>
    <n v="1"/>
    <n v="398.29999999999995"/>
    <n v="170.70000000000005"/>
    <n v="0.3000000000000001"/>
    <x v="0"/>
    <n v="2023"/>
  </r>
  <r>
    <x v="735"/>
    <d v="2023-03-23T00:00:00"/>
    <x v="3"/>
    <x v="1"/>
    <x v="8"/>
    <n v="12785"/>
    <n v="7"/>
    <n v="8310.25"/>
    <n v="4474.75"/>
    <n v="0.35"/>
    <x v="11"/>
    <n v="2023"/>
  </r>
  <r>
    <x v="736"/>
    <d v="2023-12-22T00:00:00"/>
    <x v="0"/>
    <x v="1"/>
    <x v="45"/>
    <n v="14478"/>
    <n v="5"/>
    <n v="9410.7000000000007"/>
    <n v="5067.2999999999993"/>
    <n v="0.34999999999999992"/>
    <x v="7"/>
    <n v="2023"/>
  </r>
  <r>
    <x v="737"/>
    <d v="2023-10-10T00:00:00"/>
    <x v="1"/>
    <x v="1"/>
    <x v="2"/>
    <n v="10224"/>
    <n v="1"/>
    <n v="6645.6"/>
    <n v="3578.3999999999996"/>
    <n v="0.35"/>
    <x v="0"/>
    <n v="2023"/>
  </r>
  <r>
    <x v="738"/>
    <d v="2023-12-19T00:00:00"/>
    <x v="2"/>
    <x v="0"/>
    <x v="7"/>
    <n v="10165"/>
    <n v="8"/>
    <n v="6099"/>
    <n v="4066"/>
    <n v="0.4"/>
    <x v="7"/>
    <n v="2023"/>
  </r>
  <r>
    <x v="739"/>
    <d v="2023-01-27T00:00:00"/>
    <x v="3"/>
    <x v="2"/>
    <x v="45"/>
    <n v="14548"/>
    <n v="4"/>
    <n v="10183.599999999999"/>
    <n v="4364.4000000000015"/>
    <n v="0.3000000000000001"/>
    <x v="9"/>
    <n v="2023"/>
  </r>
  <r>
    <x v="740"/>
    <d v="2023-01-28T00:00:00"/>
    <x v="0"/>
    <x v="0"/>
    <x v="41"/>
    <n v="15029"/>
    <n v="2"/>
    <n v="9017.4"/>
    <n v="6011.6"/>
    <n v="0.4"/>
    <x v="9"/>
    <n v="2023"/>
  </r>
  <r>
    <x v="741"/>
    <d v="2023-11-21T00:00:00"/>
    <x v="1"/>
    <x v="1"/>
    <x v="24"/>
    <n v="15212"/>
    <n v="5"/>
    <n v="9887.8000000000011"/>
    <n v="5324.1999999999989"/>
    <n v="0.34999999999999992"/>
    <x v="3"/>
    <n v="2023"/>
  </r>
  <r>
    <x v="742"/>
    <d v="2023-03-11T00:00:00"/>
    <x v="2"/>
    <x v="0"/>
    <x v="23"/>
    <n v="18252"/>
    <n v="7"/>
    <n v="10951.199999999999"/>
    <n v="7300.8000000000011"/>
    <n v="0.40000000000000008"/>
    <x v="11"/>
    <n v="2023"/>
  </r>
  <r>
    <x v="743"/>
    <d v="2023-02-13T00:00:00"/>
    <x v="3"/>
    <x v="1"/>
    <x v="28"/>
    <n v="19661"/>
    <n v="6"/>
    <n v="12779.65"/>
    <n v="6881.35"/>
    <n v="0.35000000000000003"/>
    <x v="8"/>
    <n v="2023"/>
  </r>
  <r>
    <x v="744"/>
    <d v="2023-04-03T00:00:00"/>
    <x v="0"/>
    <x v="0"/>
    <x v="14"/>
    <n v="19449"/>
    <n v="8"/>
    <n v="11669.4"/>
    <n v="7779.6"/>
    <n v="0.4"/>
    <x v="1"/>
    <n v="2023"/>
  </r>
  <r>
    <x v="745"/>
    <d v="2023-07-03T00:00:00"/>
    <x v="1"/>
    <x v="0"/>
    <x v="1"/>
    <n v="15876"/>
    <n v="9"/>
    <n v="9525.6"/>
    <n v="6350.4"/>
    <n v="0.39999999999999997"/>
    <x v="6"/>
    <n v="2023"/>
  </r>
  <r>
    <x v="746"/>
    <d v="2023-08-12T00:00:00"/>
    <x v="2"/>
    <x v="0"/>
    <x v="47"/>
    <n v="8230"/>
    <n v="1"/>
    <n v="4938"/>
    <n v="3292"/>
    <n v="0.4"/>
    <x v="5"/>
    <n v="2023"/>
  </r>
  <r>
    <x v="747"/>
    <d v="2023-01-21T00:00:00"/>
    <x v="3"/>
    <x v="1"/>
    <x v="14"/>
    <n v="5831"/>
    <n v="2"/>
    <n v="3790.15"/>
    <n v="2040.85"/>
    <n v="0.35"/>
    <x v="9"/>
    <n v="2023"/>
  </r>
  <r>
    <x v="748"/>
    <d v="2023-11-10T00:00:00"/>
    <x v="0"/>
    <x v="1"/>
    <x v="40"/>
    <n v="16488"/>
    <n v="9"/>
    <n v="10717.2"/>
    <n v="5770.7999999999993"/>
    <n v="0.35"/>
    <x v="3"/>
    <n v="2023"/>
  </r>
  <r>
    <x v="749"/>
    <d v="2023-09-16T00:00:00"/>
    <x v="1"/>
    <x v="1"/>
    <x v="12"/>
    <n v="1184"/>
    <n v="7"/>
    <n v="769.6"/>
    <n v="414.4"/>
    <n v="0.35"/>
    <x v="10"/>
    <n v="2023"/>
  </r>
  <r>
    <x v="750"/>
    <d v="2023-08-15T00:00:00"/>
    <x v="2"/>
    <x v="2"/>
    <x v="33"/>
    <n v="15912"/>
    <n v="2"/>
    <n v="11138.4"/>
    <n v="4773.6000000000004"/>
    <n v="0.30000000000000004"/>
    <x v="5"/>
    <n v="2023"/>
  </r>
  <r>
    <x v="751"/>
    <d v="2023-07-24T00:00:00"/>
    <x v="3"/>
    <x v="3"/>
    <x v="27"/>
    <n v="4522"/>
    <n v="1"/>
    <n v="3391.5"/>
    <n v="1130.5"/>
    <n v="0.25"/>
    <x v="6"/>
    <n v="2023"/>
  </r>
  <r>
    <x v="752"/>
    <d v="2023-11-13T00:00:00"/>
    <x v="0"/>
    <x v="1"/>
    <x v="9"/>
    <n v="19565"/>
    <n v="3"/>
    <n v="12717.25"/>
    <n v="6847.75"/>
    <n v="0.35"/>
    <x v="3"/>
    <n v="2023"/>
  </r>
  <r>
    <x v="753"/>
    <d v="2023-08-21T00:00:00"/>
    <x v="1"/>
    <x v="2"/>
    <x v="4"/>
    <n v="6450"/>
    <n v="5"/>
    <n v="4515"/>
    <n v="1935"/>
    <n v="0.3"/>
    <x v="5"/>
    <n v="2023"/>
  </r>
  <r>
    <x v="754"/>
    <d v="2023-11-16T00:00:00"/>
    <x v="2"/>
    <x v="2"/>
    <x v="15"/>
    <n v="3550"/>
    <n v="2"/>
    <n v="2485"/>
    <n v="1065"/>
    <n v="0.3"/>
    <x v="3"/>
    <n v="2023"/>
  </r>
  <r>
    <x v="755"/>
    <d v="2023-09-07T00:00:00"/>
    <x v="3"/>
    <x v="2"/>
    <x v="27"/>
    <n v="17451"/>
    <n v="9"/>
    <n v="12215.699999999999"/>
    <n v="5235.3000000000011"/>
    <n v="0.30000000000000004"/>
    <x v="10"/>
    <n v="2023"/>
  </r>
  <r>
    <x v="756"/>
    <d v="2023-02-07T00:00:00"/>
    <x v="0"/>
    <x v="1"/>
    <x v="0"/>
    <n v="1685"/>
    <n v="2"/>
    <n v="1095.25"/>
    <n v="589.75"/>
    <n v="0.35"/>
    <x v="8"/>
    <n v="2023"/>
  </r>
  <r>
    <x v="757"/>
    <d v="2023-06-09T00:00:00"/>
    <x v="1"/>
    <x v="1"/>
    <x v="3"/>
    <n v="19833"/>
    <n v="3"/>
    <n v="12891.45"/>
    <n v="6941.5499999999993"/>
    <n v="0.35"/>
    <x v="2"/>
    <n v="2023"/>
  </r>
  <r>
    <x v="758"/>
    <d v="2023-11-26T00:00:00"/>
    <x v="2"/>
    <x v="1"/>
    <x v="10"/>
    <n v="4271"/>
    <n v="6"/>
    <n v="2776.15"/>
    <n v="1494.85"/>
    <n v="0.35"/>
    <x v="3"/>
    <n v="2023"/>
  </r>
  <r>
    <x v="759"/>
    <d v="2023-10-07T00:00:00"/>
    <x v="3"/>
    <x v="1"/>
    <x v="31"/>
    <n v="13908"/>
    <n v="2"/>
    <n v="9040.2000000000007"/>
    <n v="4867.7999999999993"/>
    <n v="0.34999999999999992"/>
    <x v="0"/>
    <n v="2023"/>
  </r>
  <r>
    <x v="760"/>
    <d v="2023-11-23T00:00:00"/>
    <x v="0"/>
    <x v="1"/>
    <x v="41"/>
    <n v="9376"/>
    <n v="7"/>
    <n v="6094.4000000000005"/>
    <n v="3281.5999999999995"/>
    <n v="0.34999999999999992"/>
    <x v="3"/>
    <n v="2023"/>
  </r>
  <r>
    <x v="761"/>
    <d v="2023-02-26T00:00:00"/>
    <x v="1"/>
    <x v="0"/>
    <x v="46"/>
    <n v="18695"/>
    <n v="7"/>
    <n v="11217"/>
    <n v="7478"/>
    <n v="0.4"/>
    <x v="8"/>
    <n v="2023"/>
  </r>
  <r>
    <x v="762"/>
    <d v="2023-01-02T00:00:00"/>
    <x v="2"/>
    <x v="3"/>
    <x v="41"/>
    <n v="3176"/>
    <n v="4"/>
    <n v="2382"/>
    <n v="794"/>
    <n v="0.25"/>
    <x v="9"/>
    <n v="2023"/>
  </r>
  <r>
    <x v="763"/>
    <d v="2023-10-22T00:00:00"/>
    <x v="3"/>
    <x v="2"/>
    <x v="8"/>
    <n v="9215"/>
    <n v="8"/>
    <n v="6450.5"/>
    <n v="2764.5"/>
    <n v="0.3"/>
    <x v="0"/>
    <n v="2023"/>
  </r>
  <r>
    <x v="764"/>
    <d v="2023-09-28T00:00:00"/>
    <x v="0"/>
    <x v="0"/>
    <x v="5"/>
    <n v="11974"/>
    <n v="6"/>
    <n v="7184.4"/>
    <n v="4789.6000000000004"/>
    <n v="0.4"/>
    <x v="10"/>
    <n v="2023"/>
  </r>
  <r>
    <x v="765"/>
    <d v="2023-04-24T00:00:00"/>
    <x v="1"/>
    <x v="1"/>
    <x v="7"/>
    <n v="7794"/>
    <n v="2"/>
    <n v="5066.1000000000004"/>
    <n v="2727.8999999999996"/>
    <n v="0.35"/>
    <x v="1"/>
    <n v="2023"/>
  </r>
  <r>
    <x v="766"/>
    <d v="2023-01-24T00:00:00"/>
    <x v="2"/>
    <x v="0"/>
    <x v="41"/>
    <n v="11413"/>
    <n v="7"/>
    <n v="6847.8"/>
    <n v="4565.2"/>
    <n v="0.39999999999999997"/>
    <x v="9"/>
    <n v="2023"/>
  </r>
  <r>
    <x v="767"/>
    <d v="2023-11-09T00:00:00"/>
    <x v="3"/>
    <x v="1"/>
    <x v="28"/>
    <n v="4356"/>
    <n v="9"/>
    <n v="2831.4"/>
    <n v="1524.6"/>
    <n v="0.35"/>
    <x v="3"/>
    <n v="2023"/>
  </r>
  <r>
    <x v="768"/>
    <d v="2023-09-15T00:00:00"/>
    <x v="0"/>
    <x v="0"/>
    <x v="27"/>
    <n v="17648"/>
    <n v="1"/>
    <n v="10588.8"/>
    <n v="7059.2000000000007"/>
    <n v="0.4"/>
    <x v="10"/>
    <n v="2023"/>
  </r>
  <r>
    <x v="769"/>
    <d v="2023-11-02T00:00:00"/>
    <x v="1"/>
    <x v="2"/>
    <x v="12"/>
    <n v="7717"/>
    <n v="6"/>
    <n v="5401.9"/>
    <n v="2315.1000000000004"/>
    <n v="0.30000000000000004"/>
    <x v="3"/>
    <n v="2023"/>
  </r>
  <r>
    <x v="770"/>
    <d v="2023-07-03T00:00:00"/>
    <x v="2"/>
    <x v="2"/>
    <x v="2"/>
    <n v="862"/>
    <n v="9"/>
    <n v="603.4"/>
    <n v="258.60000000000002"/>
    <n v="0.30000000000000004"/>
    <x v="6"/>
    <n v="2023"/>
  </r>
  <r>
    <x v="771"/>
    <d v="2023-09-04T00:00:00"/>
    <x v="3"/>
    <x v="3"/>
    <x v="0"/>
    <n v="14102"/>
    <n v="7"/>
    <n v="10576.5"/>
    <n v="3525.5"/>
    <n v="0.25"/>
    <x v="10"/>
    <n v="2023"/>
  </r>
  <r>
    <x v="772"/>
    <d v="2023-04-06T00:00:00"/>
    <x v="0"/>
    <x v="1"/>
    <x v="45"/>
    <n v="11233"/>
    <n v="4"/>
    <n v="7301.45"/>
    <n v="3931.55"/>
    <n v="0.35000000000000003"/>
    <x v="1"/>
    <n v="2023"/>
  </r>
  <r>
    <x v="773"/>
    <d v="2023-06-19T00:00:00"/>
    <x v="1"/>
    <x v="2"/>
    <x v="36"/>
    <n v="11515"/>
    <n v="2"/>
    <n v="8060.4999999999991"/>
    <n v="3454.5000000000009"/>
    <n v="0.3000000000000001"/>
    <x v="2"/>
    <n v="2023"/>
  </r>
  <r>
    <x v="774"/>
    <d v="2023-06-03T00:00:00"/>
    <x v="2"/>
    <x v="1"/>
    <x v="16"/>
    <n v="13836"/>
    <n v="2"/>
    <n v="8993.4"/>
    <n v="4842.6000000000004"/>
    <n v="0.35000000000000003"/>
    <x v="2"/>
    <n v="2023"/>
  </r>
  <r>
    <x v="775"/>
    <d v="2023-06-08T00:00:00"/>
    <x v="3"/>
    <x v="3"/>
    <x v="36"/>
    <n v="14140"/>
    <n v="8"/>
    <n v="10605"/>
    <n v="3535"/>
    <n v="0.25"/>
    <x v="2"/>
    <n v="2023"/>
  </r>
  <r>
    <x v="776"/>
    <d v="2023-09-06T00:00:00"/>
    <x v="0"/>
    <x v="0"/>
    <x v="18"/>
    <n v="10595"/>
    <n v="6"/>
    <n v="6357"/>
    <n v="4238"/>
    <n v="0.4"/>
    <x v="10"/>
    <n v="2023"/>
  </r>
  <r>
    <x v="777"/>
    <d v="2023-03-16T00:00:00"/>
    <x v="1"/>
    <x v="0"/>
    <x v="0"/>
    <n v="1248"/>
    <n v="6"/>
    <n v="748.8"/>
    <n v="499.20000000000005"/>
    <n v="0.4"/>
    <x v="11"/>
    <n v="2023"/>
  </r>
  <r>
    <x v="778"/>
    <d v="2023-07-21T00:00:00"/>
    <x v="2"/>
    <x v="3"/>
    <x v="22"/>
    <n v="14174"/>
    <n v="7"/>
    <n v="10630.5"/>
    <n v="3543.5"/>
    <n v="0.25"/>
    <x v="6"/>
    <n v="2023"/>
  </r>
  <r>
    <x v="779"/>
    <d v="2023-03-03T00:00:00"/>
    <x v="3"/>
    <x v="3"/>
    <x v="13"/>
    <n v="18649"/>
    <n v="8"/>
    <n v="13986.75"/>
    <n v="4662.25"/>
    <n v="0.25"/>
    <x v="11"/>
    <n v="2023"/>
  </r>
  <r>
    <x v="780"/>
    <d v="2023-07-04T00:00:00"/>
    <x v="0"/>
    <x v="1"/>
    <x v="8"/>
    <n v="1126"/>
    <n v="3"/>
    <n v="731.9"/>
    <n v="394.1"/>
    <n v="0.35000000000000003"/>
    <x v="6"/>
    <n v="2023"/>
  </r>
  <r>
    <x v="781"/>
    <d v="2023-08-18T00:00:00"/>
    <x v="1"/>
    <x v="2"/>
    <x v="23"/>
    <n v="523"/>
    <n v="8"/>
    <n v="366.09999999999997"/>
    <n v="156.90000000000003"/>
    <n v="0.30000000000000004"/>
    <x v="5"/>
    <n v="2023"/>
  </r>
  <r>
    <x v="782"/>
    <d v="2023-03-09T00:00:00"/>
    <x v="2"/>
    <x v="2"/>
    <x v="3"/>
    <n v="5543"/>
    <n v="7"/>
    <n v="3880.1"/>
    <n v="1662.9"/>
    <n v="0.3"/>
    <x v="11"/>
    <n v="2023"/>
  </r>
  <r>
    <x v="783"/>
    <d v="2023-11-28T00:00:00"/>
    <x v="3"/>
    <x v="1"/>
    <x v="41"/>
    <n v="10830"/>
    <n v="3"/>
    <n v="7039.5"/>
    <n v="3790.5"/>
    <n v="0.35"/>
    <x v="3"/>
    <n v="2023"/>
  </r>
  <r>
    <x v="784"/>
    <d v="2023-12-11T00:00:00"/>
    <x v="0"/>
    <x v="3"/>
    <x v="41"/>
    <n v="15409"/>
    <n v="8"/>
    <n v="11556.75"/>
    <n v="3852.25"/>
    <n v="0.25"/>
    <x v="7"/>
    <n v="2023"/>
  </r>
  <r>
    <x v="785"/>
    <d v="2023-04-28T00:00:00"/>
    <x v="1"/>
    <x v="0"/>
    <x v="26"/>
    <n v="13310"/>
    <n v="6"/>
    <n v="7986"/>
    <n v="5324"/>
    <n v="0.4"/>
    <x v="1"/>
    <n v="2023"/>
  </r>
  <r>
    <x v="786"/>
    <d v="2023-06-15T00:00:00"/>
    <x v="2"/>
    <x v="2"/>
    <x v="20"/>
    <n v="12780"/>
    <n v="5"/>
    <n v="8946"/>
    <n v="3834"/>
    <n v="0.3"/>
    <x v="2"/>
    <n v="2023"/>
  </r>
  <r>
    <x v="787"/>
    <d v="2023-05-18T00:00:00"/>
    <x v="3"/>
    <x v="1"/>
    <x v="46"/>
    <n v="13154"/>
    <n v="3"/>
    <n v="8550.1"/>
    <n v="4603.8999999999996"/>
    <n v="0.35"/>
    <x v="4"/>
    <n v="2023"/>
  </r>
  <r>
    <x v="788"/>
    <d v="2023-10-23T00:00:00"/>
    <x v="0"/>
    <x v="3"/>
    <x v="25"/>
    <n v="3110"/>
    <n v="5"/>
    <n v="2332.5"/>
    <n v="777.5"/>
    <n v="0.25"/>
    <x v="0"/>
    <n v="2023"/>
  </r>
  <r>
    <x v="789"/>
    <d v="2023-05-05T00:00:00"/>
    <x v="1"/>
    <x v="1"/>
    <x v="34"/>
    <n v="11450"/>
    <n v="5"/>
    <n v="7442.5"/>
    <n v="4007.5"/>
    <n v="0.35"/>
    <x v="4"/>
    <n v="2023"/>
  </r>
  <r>
    <x v="790"/>
    <d v="2023-03-15T00:00:00"/>
    <x v="2"/>
    <x v="2"/>
    <x v="20"/>
    <n v="17150"/>
    <n v="3"/>
    <n v="12005"/>
    <n v="5145"/>
    <n v="0.3"/>
    <x v="11"/>
    <n v="2023"/>
  </r>
  <r>
    <x v="791"/>
    <d v="2023-06-19T00:00:00"/>
    <x v="3"/>
    <x v="0"/>
    <x v="12"/>
    <n v="11831"/>
    <n v="6"/>
    <n v="7098.5999999999995"/>
    <n v="4732.4000000000005"/>
    <n v="0.4"/>
    <x v="2"/>
    <n v="2023"/>
  </r>
  <r>
    <x v="792"/>
    <d v="2023-01-27T00:00:00"/>
    <x v="0"/>
    <x v="2"/>
    <x v="14"/>
    <n v="3608"/>
    <n v="8"/>
    <n v="2525.6"/>
    <n v="1082.4000000000001"/>
    <n v="0.30000000000000004"/>
    <x v="9"/>
    <n v="2023"/>
  </r>
  <r>
    <x v="793"/>
    <d v="2023-04-11T00:00:00"/>
    <x v="1"/>
    <x v="2"/>
    <x v="49"/>
    <n v="7775"/>
    <n v="6"/>
    <n v="5442.5"/>
    <n v="2332.5"/>
    <n v="0.3"/>
    <x v="1"/>
    <n v="2023"/>
  </r>
  <r>
    <x v="794"/>
    <d v="2023-09-19T00:00:00"/>
    <x v="2"/>
    <x v="1"/>
    <x v="14"/>
    <n v="13833"/>
    <n v="9"/>
    <n v="8991.4500000000007"/>
    <n v="4841.5499999999993"/>
    <n v="0.34999999999999992"/>
    <x v="10"/>
    <n v="2023"/>
  </r>
  <r>
    <x v="795"/>
    <d v="2023-07-09T00:00:00"/>
    <x v="3"/>
    <x v="3"/>
    <x v="44"/>
    <n v="2800"/>
    <n v="2"/>
    <n v="2100"/>
    <n v="700"/>
    <n v="0.25"/>
    <x v="6"/>
    <n v="2023"/>
  </r>
  <r>
    <x v="796"/>
    <d v="2023-11-15T00:00:00"/>
    <x v="0"/>
    <x v="3"/>
    <x v="22"/>
    <n v="8137"/>
    <n v="5"/>
    <n v="6102.75"/>
    <n v="2034.25"/>
    <n v="0.25"/>
    <x v="3"/>
    <n v="2023"/>
  </r>
  <r>
    <x v="797"/>
    <d v="2023-02-16T00:00:00"/>
    <x v="1"/>
    <x v="0"/>
    <x v="6"/>
    <n v="3881"/>
    <n v="9"/>
    <n v="2328.6"/>
    <n v="1552.4"/>
    <n v="0.4"/>
    <x v="8"/>
    <n v="2023"/>
  </r>
  <r>
    <x v="798"/>
    <d v="2023-06-22T00:00:00"/>
    <x v="2"/>
    <x v="2"/>
    <x v="48"/>
    <n v="18176"/>
    <n v="7"/>
    <n v="12723.199999999999"/>
    <n v="5452.8000000000011"/>
    <n v="0.30000000000000004"/>
    <x v="2"/>
    <n v="2023"/>
  </r>
  <r>
    <x v="799"/>
    <d v="2023-11-21T00:00:00"/>
    <x v="3"/>
    <x v="1"/>
    <x v="47"/>
    <n v="8327"/>
    <n v="7"/>
    <n v="5412.55"/>
    <n v="2914.45"/>
    <n v="0.35"/>
    <x v="3"/>
    <n v="2023"/>
  </r>
  <r>
    <x v="800"/>
    <d v="2023-02-20T00:00:00"/>
    <x v="0"/>
    <x v="1"/>
    <x v="35"/>
    <n v="552"/>
    <n v="9"/>
    <n v="358.8"/>
    <n v="193.2"/>
    <n v="0.35"/>
    <x v="8"/>
    <n v="2023"/>
  </r>
  <r>
    <x v="801"/>
    <d v="2023-04-13T00:00:00"/>
    <x v="1"/>
    <x v="0"/>
    <x v="30"/>
    <n v="1203"/>
    <n v="6"/>
    <n v="721.8"/>
    <n v="481.20000000000005"/>
    <n v="0.4"/>
    <x v="1"/>
    <n v="2023"/>
  </r>
  <r>
    <x v="802"/>
    <d v="2023-10-28T00:00:00"/>
    <x v="2"/>
    <x v="2"/>
    <x v="47"/>
    <n v="1593"/>
    <n v="6"/>
    <n v="1115.0999999999999"/>
    <n v="477.90000000000009"/>
    <n v="0.30000000000000004"/>
    <x v="0"/>
    <n v="2023"/>
  </r>
  <r>
    <x v="803"/>
    <d v="2023-10-18T00:00:00"/>
    <x v="3"/>
    <x v="1"/>
    <x v="47"/>
    <n v="4641"/>
    <n v="7"/>
    <n v="3016.65"/>
    <n v="1624.35"/>
    <n v="0.35"/>
    <x v="0"/>
    <n v="2023"/>
  </r>
  <r>
    <x v="804"/>
    <d v="2023-05-16T00:00:00"/>
    <x v="0"/>
    <x v="1"/>
    <x v="45"/>
    <n v="12391"/>
    <n v="1"/>
    <n v="8054.1500000000005"/>
    <n v="4336.8499999999995"/>
    <n v="0.35"/>
    <x v="4"/>
    <n v="2023"/>
  </r>
  <r>
    <x v="805"/>
    <d v="2023-03-25T00:00:00"/>
    <x v="1"/>
    <x v="1"/>
    <x v="21"/>
    <n v="4430"/>
    <n v="6"/>
    <n v="2879.5"/>
    <n v="1550.5"/>
    <n v="0.35"/>
    <x v="11"/>
    <n v="2023"/>
  </r>
  <r>
    <x v="806"/>
    <d v="2023-10-04T00:00:00"/>
    <x v="2"/>
    <x v="0"/>
    <x v="4"/>
    <n v="16155"/>
    <n v="1"/>
    <n v="9693"/>
    <n v="6462"/>
    <n v="0.4"/>
    <x v="0"/>
    <n v="2023"/>
  </r>
  <r>
    <x v="807"/>
    <d v="2023-12-02T00:00:00"/>
    <x v="3"/>
    <x v="0"/>
    <x v="35"/>
    <n v="19916"/>
    <n v="3"/>
    <n v="11949.6"/>
    <n v="7966.4"/>
    <n v="0.39999999999999997"/>
    <x v="7"/>
    <n v="2023"/>
  </r>
  <r>
    <x v="808"/>
    <d v="2023-08-06T00:00:00"/>
    <x v="0"/>
    <x v="3"/>
    <x v="40"/>
    <n v="13681"/>
    <n v="7"/>
    <n v="10260.75"/>
    <n v="3420.25"/>
    <n v="0.25"/>
    <x v="5"/>
    <n v="2023"/>
  </r>
  <r>
    <x v="809"/>
    <d v="2023-07-06T00:00:00"/>
    <x v="1"/>
    <x v="0"/>
    <x v="48"/>
    <n v="4866"/>
    <n v="5"/>
    <n v="2919.6"/>
    <n v="1946.4"/>
    <n v="0.4"/>
    <x v="6"/>
    <n v="2023"/>
  </r>
  <r>
    <x v="810"/>
    <d v="2023-05-13T00:00:00"/>
    <x v="2"/>
    <x v="3"/>
    <x v="19"/>
    <n v="11204"/>
    <n v="9"/>
    <n v="8403"/>
    <n v="2801"/>
    <n v="0.25"/>
    <x v="4"/>
    <n v="2023"/>
  </r>
  <r>
    <x v="811"/>
    <d v="2023-03-08T00:00:00"/>
    <x v="3"/>
    <x v="2"/>
    <x v="26"/>
    <n v="2151"/>
    <n v="8"/>
    <n v="1505.6999999999998"/>
    <n v="645.30000000000018"/>
    <n v="0.3000000000000001"/>
    <x v="11"/>
    <n v="2023"/>
  </r>
  <r>
    <x v="812"/>
    <d v="2023-03-13T00:00:00"/>
    <x v="0"/>
    <x v="2"/>
    <x v="27"/>
    <n v="1507"/>
    <n v="10"/>
    <n v="1054.8999999999999"/>
    <n v="452.10000000000014"/>
    <n v="0.3000000000000001"/>
    <x v="11"/>
    <n v="2023"/>
  </r>
  <r>
    <x v="813"/>
    <d v="2023-05-28T00:00:00"/>
    <x v="1"/>
    <x v="3"/>
    <x v="29"/>
    <n v="15754"/>
    <n v="3"/>
    <n v="11815.5"/>
    <n v="3938.5"/>
    <n v="0.25"/>
    <x v="4"/>
    <n v="2023"/>
  </r>
  <r>
    <x v="814"/>
    <d v="2023-10-14T00:00:00"/>
    <x v="2"/>
    <x v="1"/>
    <x v="47"/>
    <n v="3746"/>
    <n v="6"/>
    <n v="2434.9"/>
    <n v="1311.1"/>
    <n v="0.35"/>
    <x v="0"/>
    <n v="2023"/>
  </r>
  <r>
    <x v="815"/>
    <d v="2023-01-13T00:00:00"/>
    <x v="3"/>
    <x v="1"/>
    <x v="25"/>
    <n v="11566"/>
    <n v="7"/>
    <n v="7517.9000000000005"/>
    <n v="4048.0999999999995"/>
    <n v="0.35"/>
    <x v="9"/>
    <n v="2023"/>
  </r>
  <r>
    <x v="816"/>
    <d v="2023-09-23T00:00:00"/>
    <x v="0"/>
    <x v="1"/>
    <x v="48"/>
    <n v="13697"/>
    <n v="10"/>
    <n v="8903.0500000000011"/>
    <n v="4793.9499999999989"/>
    <n v="0.34999999999999992"/>
    <x v="10"/>
    <n v="2023"/>
  </r>
  <r>
    <x v="817"/>
    <d v="2023-09-12T00:00:00"/>
    <x v="1"/>
    <x v="3"/>
    <x v="3"/>
    <n v="13923"/>
    <n v="4"/>
    <n v="10442.25"/>
    <n v="3480.75"/>
    <n v="0.25"/>
    <x v="10"/>
    <n v="2023"/>
  </r>
  <r>
    <x v="818"/>
    <d v="2023-11-07T00:00:00"/>
    <x v="2"/>
    <x v="2"/>
    <x v="40"/>
    <n v="13894"/>
    <n v="5"/>
    <n v="9725.7999999999993"/>
    <n v="4168.2000000000007"/>
    <n v="0.30000000000000004"/>
    <x v="3"/>
    <n v="2023"/>
  </r>
  <r>
    <x v="819"/>
    <d v="2023-07-26T00:00:00"/>
    <x v="3"/>
    <x v="2"/>
    <x v="33"/>
    <n v="18668"/>
    <n v="1"/>
    <n v="13067.599999999999"/>
    <n v="5600.4000000000015"/>
    <n v="0.3000000000000001"/>
    <x v="6"/>
    <n v="2023"/>
  </r>
  <r>
    <x v="820"/>
    <d v="2023-04-10T00:00:00"/>
    <x v="0"/>
    <x v="2"/>
    <x v="38"/>
    <n v="9176"/>
    <n v="7"/>
    <n v="6423.2"/>
    <n v="2752.8"/>
    <n v="0.30000000000000004"/>
    <x v="1"/>
    <n v="2023"/>
  </r>
  <r>
    <x v="821"/>
    <d v="2023-08-12T00:00:00"/>
    <x v="1"/>
    <x v="2"/>
    <x v="13"/>
    <n v="4883"/>
    <n v="7"/>
    <n v="3418.1"/>
    <n v="1464.9"/>
    <n v="0.30000000000000004"/>
    <x v="5"/>
    <n v="2023"/>
  </r>
  <r>
    <x v="822"/>
    <d v="2023-07-13T00:00:00"/>
    <x v="2"/>
    <x v="0"/>
    <x v="47"/>
    <n v="9886"/>
    <n v="9"/>
    <n v="5931.5999999999995"/>
    <n v="3954.4000000000005"/>
    <n v="0.40000000000000008"/>
    <x v="6"/>
    <n v="2023"/>
  </r>
  <r>
    <x v="823"/>
    <d v="2023-11-11T00:00:00"/>
    <x v="3"/>
    <x v="1"/>
    <x v="0"/>
    <n v="2556"/>
    <n v="3"/>
    <n v="1661.4"/>
    <n v="894.59999999999991"/>
    <n v="0.35"/>
    <x v="3"/>
    <n v="2023"/>
  </r>
  <r>
    <x v="824"/>
    <d v="2023-03-26T00:00:00"/>
    <x v="0"/>
    <x v="1"/>
    <x v="35"/>
    <n v="11354"/>
    <n v="9"/>
    <n v="7380.1"/>
    <n v="3973.8999999999996"/>
    <n v="0.35"/>
    <x v="11"/>
    <n v="2023"/>
  </r>
  <r>
    <x v="825"/>
    <d v="2023-03-19T00:00:00"/>
    <x v="1"/>
    <x v="2"/>
    <x v="9"/>
    <n v="1188"/>
    <n v="10"/>
    <n v="831.59999999999991"/>
    <n v="356.40000000000009"/>
    <n v="0.3000000000000001"/>
    <x v="11"/>
    <n v="2023"/>
  </r>
  <r>
    <x v="826"/>
    <d v="2023-07-22T00:00:00"/>
    <x v="2"/>
    <x v="0"/>
    <x v="45"/>
    <n v="4639"/>
    <n v="4"/>
    <n v="2783.4"/>
    <n v="1855.6"/>
    <n v="0.39999999999999997"/>
    <x v="6"/>
    <n v="2023"/>
  </r>
  <r>
    <x v="827"/>
    <d v="2023-04-28T00:00:00"/>
    <x v="3"/>
    <x v="1"/>
    <x v="24"/>
    <n v="5478"/>
    <n v="3"/>
    <n v="3560.7000000000003"/>
    <n v="1917.2999999999997"/>
    <n v="0.35"/>
    <x v="1"/>
    <n v="2023"/>
  </r>
  <r>
    <x v="828"/>
    <d v="2023-09-06T00:00:00"/>
    <x v="0"/>
    <x v="1"/>
    <x v="28"/>
    <n v="2898"/>
    <n v="9"/>
    <n v="1883.7"/>
    <n v="1014.3"/>
    <n v="0.35"/>
    <x v="10"/>
    <n v="2023"/>
  </r>
  <r>
    <x v="829"/>
    <d v="2023-07-25T00:00:00"/>
    <x v="1"/>
    <x v="2"/>
    <x v="2"/>
    <n v="9417"/>
    <n v="2"/>
    <n v="6591.9"/>
    <n v="2825.1000000000004"/>
    <n v="0.30000000000000004"/>
    <x v="6"/>
    <n v="2023"/>
  </r>
  <r>
    <x v="830"/>
    <d v="2023-01-20T00:00:00"/>
    <x v="2"/>
    <x v="2"/>
    <x v="28"/>
    <n v="17915"/>
    <n v="7"/>
    <n v="12540.5"/>
    <n v="5374.5"/>
    <n v="0.3"/>
    <x v="9"/>
    <n v="2023"/>
  </r>
  <r>
    <x v="831"/>
    <d v="2023-10-22T00:00:00"/>
    <x v="3"/>
    <x v="2"/>
    <x v="40"/>
    <n v="12808"/>
    <n v="5"/>
    <n v="8965.5999999999985"/>
    <n v="3842.4000000000015"/>
    <n v="0.3000000000000001"/>
    <x v="0"/>
    <n v="2023"/>
  </r>
  <r>
    <x v="832"/>
    <d v="2023-08-12T00:00:00"/>
    <x v="0"/>
    <x v="0"/>
    <x v="32"/>
    <n v="17188"/>
    <n v="9"/>
    <n v="10312.799999999999"/>
    <n v="6875.2000000000007"/>
    <n v="0.4"/>
    <x v="5"/>
    <n v="2023"/>
  </r>
  <r>
    <x v="833"/>
    <d v="2023-06-17T00:00:00"/>
    <x v="1"/>
    <x v="2"/>
    <x v="36"/>
    <n v="1366"/>
    <n v="5"/>
    <n v="956.19999999999993"/>
    <n v="409.80000000000007"/>
    <n v="0.30000000000000004"/>
    <x v="2"/>
    <n v="2023"/>
  </r>
  <r>
    <x v="834"/>
    <d v="2023-01-26T00:00:00"/>
    <x v="2"/>
    <x v="1"/>
    <x v="9"/>
    <n v="7789"/>
    <n v="10"/>
    <n v="5062.8500000000004"/>
    <n v="2726.1499999999996"/>
    <n v="0.35"/>
    <x v="9"/>
    <n v="2023"/>
  </r>
  <r>
    <x v="835"/>
    <d v="2023-07-22T00:00:00"/>
    <x v="3"/>
    <x v="1"/>
    <x v="33"/>
    <n v="6644"/>
    <n v="9"/>
    <n v="4318.6000000000004"/>
    <n v="2325.3999999999996"/>
    <n v="0.34999999999999992"/>
    <x v="6"/>
    <n v="2023"/>
  </r>
  <r>
    <x v="836"/>
    <d v="2023-03-28T00:00:00"/>
    <x v="0"/>
    <x v="0"/>
    <x v="10"/>
    <n v="7713"/>
    <n v="8"/>
    <n v="4627.8"/>
    <n v="3085.2"/>
    <n v="0.39999999999999997"/>
    <x v="11"/>
    <n v="2023"/>
  </r>
  <r>
    <x v="837"/>
    <d v="2023-07-17T00:00:00"/>
    <x v="1"/>
    <x v="1"/>
    <x v="40"/>
    <n v="10680"/>
    <n v="2"/>
    <n v="6942"/>
    <n v="3738"/>
    <n v="0.35"/>
    <x v="6"/>
    <n v="2023"/>
  </r>
  <r>
    <x v="838"/>
    <d v="2023-12-01T00:00:00"/>
    <x v="2"/>
    <x v="3"/>
    <x v="9"/>
    <n v="6580"/>
    <n v="5"/>
    <n v="4935"/>
    <n v="1645"/>
    <n v="0.25"/>
    <x v="7"/>
    <n v="2023"/>
  </r>
  <r>
    <x v="839"/>
    <d v="2023-03-21T00:00:00"/>
    <x v="3"/>
    <x v="0"/>
    <x v="13"/>
    <n v="1587"/>
    <n v="2"/>
    <n v="952.19999999999993"/>
    <n v="634.80000000000007"/>
    <n v="0.4"/>
    <x v="11"/>
    <n v="2023"/>
  </r>
  <r>
    <x v="840"/>
    <d v="2023-01-16T00:00:00"/>
    <x v="0"/>
    <x v="0"/>
    <x v="9"/>
    <n v="10218"/>
    <n v="10"/>
    <n v="6130.8"/>
    <n v="4087.2"/>
    <n v="0.39999999999999997"/>
    <x v="9"/>
    <n v="2023"/>
  </r>
  <r>
    <x v="841"/>
    <d v="2023-03-07T00:00:00"/>
    <x v="1"/>
    <x v="1"/>
    <x v="47"/>
    <n v="14560"/>
    <n v="5"/>
    <n v="9464"/>
    <n v="5096"/>
    <n v="0.35"/>
    <x v="11"/>
    <n v="2023"/>
  </r>
  <r>
    <x v="842"/>
    <d v="2023-10-03T00:00:00"/>
    <x v="2"/>
    <x v="0"/>
    <x v="46"/>
    <n v="5186"/>
    <n v="1"/>
    <n v="3111.6"/>
    <n v="2074.4"/>
    <n v="0.4"/>
    <x v="0"/>
    <n v="2023"/>
  </r>
  <r>
    <x v="843"/>
    <d v="2023-09-11T00:00:00"/>
    <x v="3"/>
    <x v="2"/>
    <x v="5"/>
    <n v="17375"/>
    <n v="7"/>
    <n v="12162.5"/>
    <n v="5212.5"/>
    <n v="0.3"/>
    <x v="10"/>
    <n v="2023"/>
  </r>
  <r>
    <x v="844"/>
    <d v="2023-01-07T00:00:00"/>
    <x v="0"/>
    <x v="2"/>
    <x v="24"/>
    <n v="2689"/>
    <n v="6"/>
    <n v="1882.3"/>
    <n v="806.7"/>
    <n v="0.30000000000000004"/>
    <x v="9"/>
    <n v="2023"/>
  </r>
  <r>
    <x v="845"/>
    <d v="2023-08-20T00:00:00"/>
    <x v="1"/>
    <x v="2"/>
    <x v="5"/>
    <n v="11130"/>
    <n v="4"/>
    <n v="7790.9999999999991"/>
    <n v="3339.0000000000009"/>
    <n v="0.3000000000000001"/>
    <x v="5"/>
    <n v="2023"/>
  </r>
  <r>
    <x v="846"/>
    <d v="2023-06-09T00:00:00"/>
    <x v="2"/>
    <x v="1"/>
    <x v="10"/>
    <n v="13055"/>
    <n v="6"/>
    <n v="8485.75"/>
    <n v="4569.25"/>
    <n v="0.35"/>
    <x v="2"/>
    <n v="2023"/>
  </r>
  <r>
    <x v="847"/>
    <d v="2023-11-16T00:00:00"/>
    <x v="3"/>
    <x v="1"/>
    <x v="11"/>
    <n v="18438"/>
    <n v="9"/>
    <n v="11984.7"/>
    <n v="6453.2999999999993"/>
    <n v="0.35"/>
    <x v="3"/>
    <n v="2023"/>
  </r>
  <r>
    <x v="848"/>
    <d v="2023-09-10T00:00:00"/>
    <x v="0"/>
    <x v="0"/>
    <x v="36"/>
    <n v="16641"/>
    <n v="7"/>
    <n v="9984.6"/>
    <n v="6656.4"/>
    <n v="0.39999999999999997"/>
    <x v="10"/>
    <n v="2023"/>
  </r>
  <r>
    <x v="849"/>
    <d v="2023-09-11T00:00:00"/>
    <x v="1"/>
    <x v="2"/>
    <x v="27"/>
    <n v="11801"/>
    <n v="10"/>
    <n v="8260.6999999999989"/>
    <n v="3540.3000000000011"/>
    <n v="0.3000000000000001"/>
    <x v="10"/>
    <n v="2023"/>
  </r>
  <r>
    <x v="850"/>
    <d v="2023-11-13T00:00:00"/>
    <x v="2"/>
    <x v="0"/>
    <x v="17"/>
    <n v="11197"/>
    <n v="7"/>
    <n v="6718.2"/>
    <n v="4478.8"/>
    <n v="0.4"/>
    <x v="3"/>
    <n v="2023"/>
  </r>
  <r>
    <x v="851"/>
    <d v="2023-09-26T00:00:00"/>
    <x v="3"/>
    <x v="2"/>
    <x v="48"/>
    <n v="2540"/>
    <n v="6"/>
    <n v="1778"/>
    <n v="762"/>
    <n v="0.3"/>
    <x v="10"/>
    <n v="2023"/>
  </r>
  <r>
    <x v="852"/>
    <d v="2023-07-09T00:00:00"/>
    <x v="0"/>
    <x v="2"/>
    <x v="34"/>
    <n v="12464"/>
    <n v="5"/>
    <n v="8724.7999999999993"/>
    <n v="3739.2000000000007"/>
    <n v="0.30000000000000004"/>
    <x v="6"/>
    <n v="2023"/>
  </r>
  <r>
    <x v="853"/>
    <d v="2023-01-10T00:00:00"/>
    <x v="1"/>
    <x v="1"/>
    <x v="49"/>
    <n v="15670"/>
    <n v="6"/>
    <n v="10185.5"/>
    <n v="5484.5"/>
    <n v="0.35"/>
    <x v="9"/>
    <n v="2023"/>
  </r>
  <r>
    <x v="854"/>
    <d v="2023-10-08T00:00:00"/>
    <x v="2"/>
    <x v="0"/>
    <x v="41"/>
    <n v="16121"/>
    <n v="1"/>
    <n v="9672.6"/>
    <n v="6448.4"/>
    <n v="0.39999999999999997"/>
    <x v="0"/>
    <n v="2023"/>
  </r>
  <r>
    <x v="855"/>
    <d v="2023-08-11T00:00:00"/>
    <x v="3"/>
    <x v="1"/>
    <x v="9"/>
    <n v="8409"/>
    <n v="10"/>
    <n v="5465.85"/>
    <n v="2943.1499999999996"/>
    <n v="0.35"/>
    <x v="5"/>
    <n v="2023"/>
  </r>
  <r>
    <x v="856"/>
    <d v="2023-07-02T00:00:00"/>
    <x v="0"/>
    <x v="1"/>
    <x v="38"/>
    <n v="7723"/>
    <n v="10"/>
    <n v="5019.95"/>
    <n v="2703.05"/>
    <n v="0.35000000000000003"/>
    <x v="6"/>
    <n v="2023"/>
  </r>
  <r>
    <x v="857"/>
    <d v="2023-01-10T00:00:00"/>
    <x v="1"/>
    <x v="2"/>
    <x v="34"/>
    <n v="6863"/>
    <n v="2"/>
    <n v="4804.0999999999995"/>
    <n v="2058.9000000000005"/>
    <n v="0.3000000000000001"/>
    <x v="9"/>
    <n v="2023"/>
  </r>
  <r>
    <x v="858"/>
    <d v="2023-09-26T00:00:00"/>
    <x v="2"/>
    <x v="3"/>
    <x v="21"/>
    <n v="1862"/>
    <n v="6"/>
    <n v="1396.5"/>
    <n v="465.5"/>
    <n v="0.25"/>
    <x v="10"/>
    <n v="2023"/>
  </r>
  <r>
    <x v="859"/>
    <d v="2023-05-22T00:00:00"/>
    <x v="3"/>
    <x v="2"/>
    <x v="25"/>
    <n v="6109"/>
    <n v="6"/>
    <n v="4276.3"/>
    <n v="1832.6999999999998"/>
    <n v="0.3"/>
    <x v="4"/>
    <n v="2023"/>
  </r>
  <r>
    <x v="860"/>
    <d v="2023-12-05T00:00:00"/>
    <x v="0"/>
    <x v="3"/>
    <x v="19"/>
    <n v="16040"/>
    <n v="3"/>
    <n v="12030"/>
    <n v="4010"/>
    <n v="0.25"/>
    <x v="7"/>
    <n v="2023"/>
  </r>
  <r>
    <x v="861"/>
    <d v="2023-08-26T00:00:00"/>
    <x v="1"/>
    <x v="1"/>
    <x v="7"/>
    <n v="10549"/>
    <n v="10"/>
    <n v="6856.85"/>
    <n v="3692.1499999999996"/>
    <n v="0.35"/>
    <x v="5"/>
    <n v="2023"/>
  </r>
  <r>
    <x v="862"/>
    <d v="2023-09-02T00:00:00"/>
    <x v="2"/>
    <x v="2"/>
    <x v="21"/>
    <n v="13102"/>
    <n v="10"/>
    <n v="9171.4"/>
    <n v="3930.6000000000004"/>
    <n v="0.30000000000000004"/>
    <x v="10"/>
    <n v="2023"/>
  </r>
  <r>
    <x v="863"/>
    <d v="2023-10-25T00:00:00"/>
    <x v="3"/>
    <x v="2"/>
    <x v="22"/>
    <n v="19351"/>
    <n v="9"/>
    <n v="13545.699999999999"/>
    <n v="5805.3000000000011"/>
    <n v="0.30000000000000004"/>
    <x v="0"/>
    <n v="2023"/>
  </r>
  <r>
    <x v="864"/>
    <d v="2023-10-16T00:00:00"/>
    <x v="0"/>
    <x v="0"/>
    <x v="34"/>
    <n v="11105"/>
    <n v="10"/>
    <n v="6663"/>
    <n v="4442"/>
    <n v="0.4"/>
    <x v="0"/>
    <n v="2023"/>
  </r>
  <r>
    <x v="865"/>
    <d v="2023-08-17T00:00:00"/>
    <x v="1"/>
    <x v="1"/>
    <x v="43"/>
    <n v="19270"/>
    <n v="1"/>
    <n v="12525.5"/>
    <n v="6744.5"/>
    <n v="0.35"/>
    <x v="5"/>
    <n v="2023"/>
  </r>
  <r>
    <x v="866"/>
    <d v="2023-06-14T00:00:00"/>
    <x v="2"/>
    <x v="3"/>
    <x v="28"/>
    <n v="3465"/>
    <n v="4"/>
    <n v="2598.75"/>
    <n v="866.25"/>
    <n v="0.25"/>
    <x v="2"/>
    <n v="2023"/>
  </r>
  <r>
    <x v="867"/>
    <d v="2023-04-28T00:00:00"/>
    <x v="3"/>
    <x v="2"/>
    <x v="9"/>
    <n v="17518"/>
    <n v="2"/>
    <n v="12262.599999999999"/>
    <n v="5255.4000000000015"/>
    <n v="0.3000000000000001"/>
    <x v="1"/>
    <n v="2023"/>
  </r>
  <r>
    <x v="868"/>
    <d v="2023-07-17T00:00:00"/>
    <x v="0"/>
    <x v="0"/>
    <x v="23"/>
    <n v="12709"/>
    <n v="1"/>
    <n v="7625.4"/>
    <n v="5083.6000000000004"/>
    <n v="0.4"/>
    <x v="6"/>
    <n v="2023"/>
  </r>
  <r>
    <x v="869"/>
    <d v="2023-01-16T00:00:00"/>
    <x v="1"/>
    <x v="1"/>
    <x v="43"/>
    <n v="7619"/>
    <n v="3"/>
    <n v="4952.3500000000004"/>
    <n v="2666.6499999999996"/>
    <n v="0.35"/>
    <x v="9"/>
    <n v="2023"/>
  </r>
  <r>
    <x v="870"/>
    <d v="2023-03-25T00:00:00"/>
    <x v="2"/>
    <x v="0"/>
    <x v="19"/>
    <n v="14788"/>
    <n v="8"/>
    <n v="8872.7999999999993"/>
    <n v="5915.2000000000007"/>
    <n v="0.4"/>
    <x v="11"/>
    <n v="2023"/>
  </r>
  <r>
    <x v="871"/>
    <d v="2023-07-02T00:00:00"/>
    <x v="3"/>
    <x v="0"/>
    <x v="9"/>
    <n v="12560"/>
    <n v="2"/>
    <n v="7536"/>
    <n v="5024"/>
    <n v="0.4"/>
    <x v="6"/>
    <n v="2023"/>
  </r>
  <r>
    <x v="872"/>
    <d v="2023-12-12T00:00:00"/>
    <x v="0"/>
    <x v="0"/>
    <x v="46"/>
    <n v="19928"/>
    <n v="8"/>
    <n v="11956.8"/>
    <n v="7971.2000000000007"/>
    <n v="0.4"/>
    <x v="7"/>
    <n v="2023"/>
  </r>
  <r>
    <x v="873"/>
    <d v="2023-06-27T00:00:00"/>
    <x v="1"/>
    <x v="1"/>
    <x v="17"/>
    <n v="2772"/>
    <n v="10"/>
    <n v="1801.8"/>
    <n v="970.2"/>
    <n v="0.35000000000000003"/>
    <x v="2"/>
    <n v="2023"/>
  </r>
  <r>
    <x v="874"/>
    <d v="2023-04-23T00:00:00"/>
    <x v="2"/>
    <x v="3"/>
    <x v="26"/>
    <n v="5326"/>
    <n v="10"/>
    <n v="3994.5"/>
    <n v="1331.5"/>
    <n v="0.25"/>
    <x v="1"/>
    <n v="2023"/>
  </r>
  <r>
    <x v="875"/>
    <d v="2023-11-25T00:00:00"/>
    <x v="3"/>
    <x v="1"/>
    <x v="45"/>
    <n v="14356"/>
    <n v="1"/>
    <n v="9331.4"/>
    <n v="5024.6000000000004"/>
    <n v="0.35000000000000003"/>
    <x v="3"/>
    <n v="2023"/>
  </r>
  <r>
    <x v="876"/>
    <d v="2023-07-24T00:00:00"/>
    <x v="0"/>
    <x v="2"/>
    <x v="33"/>
    <n v="16695"/>
    <n v="4"/>
    <n v="11686.5"/>
    <n v="5008.5"/>
    <n v="0.3"/>
    <x v="6"/>
    <n v="2023"/>
  </r>
  <r>
    <x v="877"/>
    <d v="2023-07-05T00:00:00"/>
    <x v="1"/>
    <x v="0"/>
    <x v="14"/>
    <n v="16302"/>
    <n v="6"/>
    <n v="9781.1999999999989"/>
    <n v="6520.8000000000011"/>
    <n v="0.40000000000000008"/>
    <x v="6"/>
    <n v="2023"/>
  </r>
  <r>
    <x v="878"/>
    <d v="2023-03-27T00:00:00"/>
    <x v="2"/>
    <x v="1"/>
    <x v="9"/>
    <n v="16798"/>
    <n v="5"/>
    <n v="10918.7"/>
    <n v="5879.2999999999993"/>
    <n v="0.35"/>
    <x v="11"/>
    <n v="2023"/>
  </r>
  <r>
    <x v="879"/>
    <d v="2023-01-20T00:00:00"/>
    <x v="3"/>
    <x v="1"/>
    <x v="28"/>
    <n v="8172"/>
    <n v="8"/>
    <n v="5311.8"/>
    <n v="2860.2"/>
    <n v="0.35"/>
    <x v="9"/>
    <n v="2023"/>
  </r>
  <r>
    <x v="880"/>
    <d v="2023-10-16T00:00:00"/>
    <x v="0"/>
    <x v="0"/>
    <x v="44"/>
    <n v="5721"/>
    <n v="4"/>
    <n v="3432.6"/>
    <n v="2288.4"/>
    <n v="0.4"/>
    <x v="0"/>
    <n v="2023"/>
  </r>
  <r>
    <x v="881"/>
    <d v="2023-02-03T00:00:00"/>
    <x v="1"/>
    <x v="3"/>
    <x v="3"/>
    <n v="15670"/>
    <n v="2"/>
    <n v="11752.5"/>
    <n v="3917.5"/>
    <n v="0.25"/>
    <x v="8"/>
    <n v="2023"/>
  </r>
  <r>
    <x v="882"/>
    <d v="2023-07-27T00:00:00"/>
    <x v="2"/>
    <x v="3"/>
    <x v="25"/>
    <n v="2075"/>
    <n v="3"/>
    <n v="1556.25"/>
    <n v="518.75"/>
    <n v="0.25"/>
    <x v="6"/>
    <n v="2023"/>
  </r>
  <r>
    <x v="883"/>
    <d v="2023-08-07T00:00:00"/>
    <x v="3"/>
    <x v="0"/>
    <x v="29"/>
    <n v="16883"/>
    <n v="7"/>
    <n v="10129.799999999999"/>
    <n v="6753.2000000000007"/>
    <n v="0.4"/>
    <x v="5"/>
    <n v="2023"/>
  </r>
  <r>
    <x v="884"/>
    <d v="2023-02-25T00:00:00"/>
    <x v="0"/>
    <x v="3"/>
    <x v="47"/>
    <n v="2839"/>
    <n v="2"/>
    <n v="2129.25"/>
    <n v="709.75"/>
    <n v="0.25"/>
    <x v="8"/>
    <n v="2023"/>
  </r>
  <r>
    <x v="885"/>
    <d v="2023-12-07T00:00:00"/>
    <x v="1"/>
    <x v="2"/>
    <x v="4"/>
    <n v="3855"/>
    <n v="2"/>
    <n v="2698.5"/>
    <n v="1156.5"/>
    <n v="0.3"/>
    <x v="7"/>
    <n v="2023"/>
  </r>
  <r>
    <x v="886"/>
    <d v="2023-11-17T00:00:00"/>
    <x v="2"/>
    <x v="1"/>
    <x v="4"/>
    <n v="3489"/>
    <n v="9"/>
    <n v="2267.85"/>
    <n v="1221.1500000000001"/>
    <n v="0.35000000000000003"/>
    <x v="3"/>
    <n v="2023"/>
  </r>
  <r>
    <x v="887"/>
    <d v="2023-12-08T00:00:00"/>
    <x v="3"/>
    <x v="2"/>
    <x v="46"/>
    <n v="3966"/>
    <n v="5"/>
    <n v="2776.2"/>
    <n v="1189.8000000000002"/>
    <n v="0.30000000000000004"/>
    <x v="7"/>
    <n v="2023"/>
  </r>
  <r>
    <x v="888"/>
    <d v="2023-04-05T00:00:00"/>
    <x v="0"/>
    <x v="3"/>
    <x v="30"/>
    <n v="9922"/>
    <n v="7"/>
    <n v="7441.5"/>
    <n v="2480.5"/>
    <n v="0.25"/>
    <x v="1"/>
    <n v="2023"/>
  </r>
  <r>
    <x v="889"/>
    <d v="2023-08-14T00:00:00"/>
    <x v="1"/>
    <x v="0"/>
    <x v="29"/>
    <n v="9696"/>
    <n v="1"/>
    <n v="5817.5999999999995"/>
    <n v="3878.4000000000005"/>
    <n v="0.40000000000000008"/>
    <x v="5"/>
    <n v="2023"/>
  </r>
  <r>
    <x v="890"/>
    <d v="2023-11-22T00:00:00"/>
    <x v="2"/>
    <x v="3"/>
    <x v="34"/>
    <n v="15186"/>
    <n v="6"/>
    <n v="11389.5"/>
    <n v="3796.5"/>
    <n v="0.25"/>
    <x v="3"/>
    <n v="2023"/>
  </r>
  <r>
    <x v="891"/>
    <d v="2023-10-23T00:00:00"/>
    <x v="3"/>
    <x v="1"/>
    <x v="48"/>
    <n v="10197"/>
    <n v="5"/>
    <n v="6628.05"/>
    <n v="3568.95"/>
    <n v="0.35"/>
    <x v="0"/>
    <n v="2023"/>
  </r>
  <r>
    <x v="892"/>
    <d v="2023-05-15T00:00:00"/>
    <x v="0"/>
    <x v="1"/>
    <x v="42"/>
    <n v="17559"/>
    <n v="3"/>
    <n v="11413.35"/>
    <n v="6145.65"/>
    <n v="0.35"/>
    <x v="4"/>
    <n v="2023"/>
  </r>
  <r>
    <x v="893"/>
    <d v="2023-07-28T00:00:00"/>
    <x v="1"/>
    <x v="0"/>
    <x v="45"/>
    <n v="13550"/>
    <n v="10"/>
    <n v="8130"/>
    <n v="5420"/>
    <n v="0.4"/>
    <x v="6"/>
    <n v="2023"/>
  </r>
  <r>
    <x v="894"/>
    <d v="2023-10-17T00:00:00"/>
    <x v="2"/>
    <x v="3"/>
    <x v="30"/>
    <n v="10063"/>
    <n v="3"/>
    <n v="7547.25"/>
    <n v="2515.75"/>
    <n v="0.25"/>
    <x v="0"/>
    <n v="2023"/>
  </r>
  <r>
    <x v="895"/>
    <d v="2023-09-27T00:00:00"/>
    <x v="3"/>
    <x v="0"/>
    <x v="42"/>
    <n v="1528"/>
    <n v="3"/>
    <n v="916.8"/>
    <n v="611.20000000000005"/>
    <n v="0.4"/>
    <x v="10"/>
    <n v="2023"/>
  </r>
  <r>
    <x v="896"/>
    <d v="2023-11-15T00:00:00"/>
    <x v="0"/>
    <x v="1"/>
    <x v="9"/>
    <n v="13054"/>
    <n v="3"/>
    <n v="8485.1"/>
    <n v="4568.8999999999996"/>
    <n v="0.35"/>
    <x v="3"/>
    <n v="2023"/>
  </r>
  <r>
    <x v="897"/>
    <d v="2023-08-27T00:00:00"/>
    <x v="1"/>
    <x v="0"/>
    <x v="23"/>
    <n v="5212"/>
    <n v="9"/>
    <n v="3127.2"/>
    <n v="2084.8000000000002"/>
    <n v="0.4"/>
    <x v="5"/>
    <n v="2023"/>
  </r>
  <r>
    <x v="898"/>
    <d v="2023-05-28T00:00:00"/>
    <x v="2"/>
    <x v="1"/>
    <x v="5"/>
    <n v="17436"/>
    <n v="10"/>
    <n v="11333.4"/>
    <n v="6102.6"/>
    <n v="0.35000000000000003"/>
    <x v="4"/>
    <n v="2023"/>
  </r>
  <r>
    <x v="899"/>
    <d v="2023-02-03T00:00:00"/>
    <x v="3"/>
    <x v="3"/>
    <x v="30"/>
    <n v="8125"/>
    <n v="10"/>
    <n v="6093.75"/>
    <n v="2031.25"/>
    <n v="0.25"/>
    <x v="8"/>
    <n v="2023"/>
  </r>
  <r>
    <x v="900"/>
    <d v="2023-02-08T00:00:00"/>
    <x v="0"/>
    <x v="1"/>
    <x v="43"/>
    <n v="5145"/>
    <n v="7"/>
    <n v="3344.25"/>
    <n v="1800.75"/>
    <n v="0.35"/>
    <x v="8"/>
    <n v="2023"/>
  </r>
  <r>
    <x v="901"/>
    <d v="2023-12-01T00:00:00"/>
    <x v="1"/>
    <x v="2"/>
    <x v="46"/>
    <n v="11812"/>
    <n v="3"/>
    <n v="8268.4"/>
    <n v="3543.6000000000004"/>
    <n v="0.30000000000000004"/>
    <x v="7"/>
    <n v="2023"/>
  </r>
  <r>
    <x v="902"/>
    <d v="2023-12-11T00:00:00"/>
    <x v="2"/>
    <x v="2"/>
    <x v="7"/>
    <n v="18451"/>
    <n v="3"/>
    <n v="12915.699999999999"/>
    <n v="5535.3000000000011"/>
    <n v="0.30000000000000004"/>
    <x v="7"/>
    <n v="2023"/>
  </r>
  <r>
    <x v="903"/>
    <d v="2023-09-15T00:00:00"/>
    <x v="3"/>
    <x v="1"/>
    <x v="31"/>
    <n v="6728"/>
    <n v="7"/>
    <n v="4373.2"/>
    <n v="2354.8000000000002"/>
    <n v="0.35000000000000003"/>
    <x v="10"/>
    <n v="2023"/>
  </r>
  <r>
    <x v="904"/>
    <d v="2023-09-24T00:00:00"/>
    <x v="0"/>
    <x v="3"/>
    <x v="2"/>
    <n v="17102"/>
    <n v="4"/>
    <n v="12826.5"/>
    <n v="4275.5"/>
    <n v="0.25"/>
    <x v="10"/>
    <n v="2023"/>
  </r>
  <r>
    <x v="905"/>
    <d v="2023-02-28T00:00:00"/>
    <x v="1"/>
    <x v="2"/>
    <x v="47"/>
    <n v="11242"/>
    <n v="8"/>
    <n v="7869.4"/>
    <n v="3372.6000000000004"/>
    <n v="0.30000000000000004"/>
    <x v="8"/>
    <n v="2023"/>
  </r>
  <r>
    <x v="906"/>
    <d v="2023-08-14T00:00:00"/>
    <x v="2"/>
    <x v="1"/>
    <x v="44"/>
    <n v="19611"/>
    <n v="3"/>
    <n v="12747.15"/>
    <n v="6863.85"/>
    <n v="0.35000000000000003"/>
    <x v="5"/>
    <n v="2023"/>
  </r>
  <r>
    <x v="907"/>
    <d v="2023-02-15T00:00:00"/>
    <x v="3"/>
    <x v="3"/>
    <x v="11"/>
    <n v="11992"/>
    <n v="1"/>
    <n v="8994"/>
    <n v="2998"/>
    <n v="0.25"/>
    <x v="8"/>
    <n v="2023"/>
  </r>
  <r>
    <x v="908"/>
    <d v="2023-10-02T00:00:00"/>
    <x v="0"/>
    <x v="3"/>
    <x v="0"/>
    <n v="1429"/>
    <n v="6"/>
    <n v="1071.75"/>
    <n v="357.25"/>
    <n v="0.25"/>
    <x v="0"/>
    <n v="2023"/>
  </r>
  <r>
    <x v="909"/>
    <d v="2023-09-10T00:00:00"/>
    <x v="1"/>
    <x v="3"/>
    <x v="16"/>
    <n v="13772"/>
    <n v="8"/>
    <n v="10329"/>
    <n v="3443"/>
    <n v="0.25"/>
    <x v="10"/>
    <n v="2023"/>
  </r>
  <r>
    <x v="910"/>
    <d v="2023-08-24T00:00:00"/>
    <x v="2"/>
    <x v="1"/>
    <x v="12"/>
    <n v="14570"/>
    <n v="10"/>
    <n v="9470.5"/>
    <n v="5099.5"/>
    <n v="0.35"/>
    <x v="5"/>
    <n v="2023"/>
  </r>
  <r>
    <x v="911"/>
    <d v="2023-02-01T00:00:00"/>
    <x v="3"/>
    <x v="0"/>
    <x v="29"/>
    <n v="1584"/>
    <n v="6"/>
    <n v="950.4"/>
    <n v="633.6"/>
    <n v="0.4"/>
    <x v="8"/>
    <n v="2023"/>
  </r>
  <r>
    <x v="912"/>
    <d v="2023-01-11T00:00:00"/>
    <x v="0"/>
    <x v="3"/>
    <x v="28"/>
    <n v="16537"/>
    <n v="9"/>
    <n v="12402.75"/>
    <n v="4134.25"/>
    <n v="0.25"/>
    <x v="9"/>
    <n v="2023"/>
  </r>
  <r>
    <x v="913"/>
    <d v="2023-04-09T00:00:00"/>
    <x v="1"/>
    <x v="1"/>
    <x v="38"/>
    <n v="3609"/>
    <n v="4"/>
    <n v="2345.85"/>
    <n v="1263.1500000000001"/>
    <n v="0.35000000000000003"/>
    <x v="1"/>
    <n v="2023"/>
  </r>
  <r>
    <x v="914"/>
    <d v="2023-10-26T00:00:00"/>
    <x v="2"/>
    <x v="3"/>
    <x v="38"/>
    <n v="11389"/>
    <n v="7"/>
    <n v="8541.75"/>
    <n v="2847.25"/>
    <n v="0.25"/>
    <x v="0"/>
    <n v="2023"/>
  </r>
  <r>
    <x v="915"/>
    <d v="2023-11-09T00:00:00"/>
    <x v="3"/>
    <x v="0"/>
    <x v="34"/>
    <n v="14092"/>
    <n v="7"/>
    <n v="8455.1999999999989"/>
    <n v="5636.8000000000011"/>
    <n v="0.40000000000000008"/>
    <x v="3"/>
    <n v="2023"/>
  </r>
  <r>
    <x v="916"/>
    <d v="2023-01-23T00:00:00"/>
    <x v="0"/>
    <x v="0"/>
    <x v="48"/>
    <n v="10902"/>
    <n v="3"/>
    <n v="6541.2"/>
    <n v="4360.8"/>
    <n v="0.4"/>
    <x v="9"/>
    <n v="2023"/>
  </r>
  <r>
    <x v="917"/>
    <d v="2023-09-19T00:00:00"/>
    <x v="1"/>
    <x v="1"/>
    <x v="39"/>
    <n v="5576"/>
    <n v="10"/>
    <n v="3624.4"/>
    <n v="1951.6"/>
    <n v="0.35"/>
    <x v="10"/>
    <n v="2023"/>
  </r>
  <r>
    <x v="918"/>
    <d v="2023-04-20T00:00:00"/>
    <x v="2"/>
    <x v="1"/>
    <x v="17"/>
    <n v="12186"/>
    <n v="8"/>
    <n v="7920.9000000000005"/>
    <n v="4265.0999999999995"/>
    <n v="0.35"/>
    <x v="1"/>
    <n v="2023"/>
  </r>
  <r>
    <x v="919"/>
    <d v="2023-12-04T00:00:00"/>
    <x v="3"/>
    <x v="0"/>
    <x v="29"/>
    <n v="19418"/>
    <n v="9"/>
    <n v="11650.8"/>
    <n v="7767.2000000000007"/>
    <n v="0.4"/>
    <x v="7"/>
    <n v="2023"/>
  </r>
  <r>
    <x v="920"/>
    <d v="2023-02-20T00:00:00"/>
    <x v="0"/>
    <x v="1"/>
    <x v="15"/>
    <n v="8278"/>
    <n v="1"/>
    <n v="5380.7"/>
    <n v="2897.3"/>
    <n v="0.35000000000000003"/>
    <x v="8"/>
    <n v="2023"/>
  </r>
  <r>
    <x v="921"/>
    <d v="2023-08-04T00:00:00"/>
    <x v="1"/>
    <x v="2"/>
    <x v="38"/>
    <n v="19273"/>
    <n v="7"/>
    <n v="13491.099999999999"/>
    <n v="5781.9000000000015"/>
    <n v="0.3000000000000001"/>
    <x v="5"/>
    <n v="2023"/>
  </r>
  <r>
    <x v="922"/>
    <d v="2023-06-01T00:00:00"/>
    <x v="2"/>
    <x v="3"/>
    <x v="24"/>
    <n v="11324"/>
    <n v="4"/>
    <n v="8493"/>
    <n v="2831"/>
    <n v="0.25"/>
    <x v="2"/>
    <n v="2023"/>
  </r>
  <r>
    <x v="923"/>
    <d v="2023-12-16T00:00:00"/>
    <x v="3"/>
    <x v="0"/>
    <x v="42"/>
    <n v="15538"/>
    <n v="5"/>
    <n v="9322.7999999999993"/>
    <n v="6215.2000000000007"/>
    <n v="0.4"/>
    <x v="7"/>
    <n v="2023"/>
  </r>
  <r>
    <x v="924"/>
    <d v="2023-09-18T00:00:00"/>
    <x v="0"/>
    <x v="0"/>
    <x v="25"/>
    <n v="18315"/>
    <n v="3"/>
    <n v="10989"/>
    <n v="7326"/>
    <n v="0.4"/>
    <x v="10"/>
    <n v="2023"/>
  </r>
  <r>
    <x v="925"/>
    <d v="2023-08-21T00:00:00"/>
    <x v="1"/>
    <x v="2"/>
    <x v="46"/>
    <n v="1638"/>
    <n v="4"/>
    <n v="1146.5999999999999"/>
    <n v="491.40000000000009"/>
    <n v="0.30000000000000004"/>
    <x v="5"/>
    <n v="2023"/>
  </r>
  <r>
    <x v="926"/>
    <d v="2023-09-08T00:00:00"/>
    <x v="2"/>
    <x v="2"/>
    <x v="31"/>
    <n v="10096"/>
    <n v="8"/>
    <n v="7067.2"/>
    <n v="3028.8"/>
    <n v="0.30000000000000004"/>
    <x v="10"/>
    <n v="2023"/>
  </r>
  <r>
    <x v="927"/>
    <d v="2023-09-13T00:00:00"/>
    <x v="3"/>
    <x v="2"/>
    <x v="23"/>
    <n v="17072"/>
    <n v="6"/>
    <n v="11950.4"/>
    <n v="5121.6000000000004"/>
    <n v="0.30000000000000004"/>
    <x v="10"/>
    <n v="2023"/>
  </r>
  <r>
    <x v="928"/>
    <d v="2023-08-24T00:00:00"/>
    <x v="0"/>
    <x v="0"/>
    <x v="24"/>
    <n v="19876"/>
    <n v="3"/>
    <n v="11925.6"/>
    <n v="7950.4"/>
    <n v="0.39999999999999997"/>
    <x v="5"/>
    <n v="2023"/>
  </r>
  <r>
    <x v="929"/>
    <d v="2023-09-25T00:00:00"/>
    <x v="1"/>
    <x v="1"/>
    <x v="31"/>
    <n v="7314"/>
    <n v="5"/>
    <n v="4754.1000000000004"/>
    <n v="2559.8999999999996"/>
    <n v="0.35"/>
    <x v="10"/>
    <n v="2023"/>
  </r>
  <r>
    <x v="930"/>
    <d v="2023-08-15T00:00:00"/>
    <x v="2"/>
    <x v="2"/>
    <x v="40"/>
    <n v="8661"/>
    <n v="3"/>
    <n v="6062.7"/>
    <n v="2598.3000000000002"/>
    <n v="0.30000000000000004"/>
    <x v="5"/>
    <n v="2023"/>
  </r>
  <r>
    <x v="931"/>
    <d v="2023-10-03T00:00:00"/>
    <x v="3"/>
    <x v="2"/>
    <x v="1"/>
    <n v="14130"/>
    <n v="1"/>
    <n v="9891"/>
    <n v="4239"/>
    <n v="0.3"/>
    <x v="0"/>
    <n v="2023"/>
  </r>
  <r>
    <x v="932"/>
    <d v="2023-05-05T00:00:00"/>
    <x v="0"/>
    <x v="3"/>
    <x v="28"/>
    <n v="17019"/>
    <n v="1"/>
    <n v="12764.25"/>
    <n v="4254.75"/>
    <n v="0.25"/>
    <x v="4"/>
    <n v="2023"/>
  </r>
  <r>
    <x v="933"/>
    <d v="2023-11-15T00:00:00"/>
    <x v="1"/>
    <x v="0"/>
    <x v="8"/>
    <n v="4391"/>
    <n v="5"/>
    <n v="2634.6"/>
    <n v="1756.4"/>
    <n v="0.4"/>
    <x v="3"/>
    <n v="2023"/>
  </r>
  <r>
    <x v="934"/>
    <d v="2023-12-02T00:00:00"/>
    <x v="2"/>
    <x v="0"/>
    <x v="13"/>
    <n v="4595"/>
    <n v="6"/>
    <n v="2757"/>
    <n v="1838"/>
    <n v="0.4"/>
    <x v="7"/>
    <n v="2023"/>
  </r>
  <r>
    <x v="935"/>
    <d v="2023-09-04T00:00:00"/>
    <x v="3"/>
    <x v="3"/>
    <x v="1"/>
    <n v="11143"/>
    <n v="9"/>
    <n v="8357.25"/>
    <n v="2785.75"/>
    <n v="0.25"/>
    <x v="10"/>
    <n v="2023"/>
  </r>
  <r>
    <x v="936"/>
    <d v="2023-08-03T00:00:00"/>
    <x v="0"/>
    <x v="1"/>
    <x v="35"/>
    <n v="1789"/>
    <n v="10"/>
    <n v="1162.8500000000001"/>
    <n v="626.14999999999986"/>
    <n v="0.34999999999999992"/>
    <x v="5"/>
    <n v="2023"/>
  </r>
  <r>
    <x v="937"/>
    <d v="2023-08-18T00:00:00"/>
    <x v="1"/>
    <x v="1"/>
    <x v="40"/>
    <n v="12788"/>
    <n v="3"/>
    <n v="8312.2000000000007"/>
    <n v="4475.7999999999993"/>
    <n v="0.34999999999999992"/>
    <x v="5"/>
    <n v="2023"/>
  </r>
  <r>
    <x v="938"/>
    <d v="2023-10-07T00:00:00"/>
    <x v="2"/>
    <x v="2"/>
    <x v="19"/>
    <n v="15771"/>
    <n v="8"/>
    <n v="11039.699999999999"/>
    <n v="4731.3000000000011"/>
    <n v="0.30000000000000004"/>
    <x v="0"/>
    <n v="2023"/>
  </r>
  <r>
    <x v="939"/>
    <d v="2023-08-10T00:00:00"/>
    <x v="3"/>
    <x v="3"/>
    <x v="49"/>
    <n v="12271"/>
    <n v="4"/>
    <n v="9203.25"/>
    <n v="3067.75"/>
    <n v="0.25"/>
    <x v="5"/>
    <n v="2023"/>
  </r>
  <r>
    <x v="940"/>
    <d v="2023-11-09T00:00:00"/>
    <x v="0"/>
    <x v="0"/>
    <x v="14"/>
    <n v="18059"/>
    <n v="2"/>
    <n v="10835.4"/>
    <n v="7223.6"/>
    <n v="0.4"/>
    <x v="3"/>
    <n v="2023"/>
  </r>
  <r>
    <x v="941"/>
    <d v="2023-03-25T00:00:00"/>
    <x v="1"/>
    <x v="1"/>
    <x v="25"/>
    <n v="14138"/>
    <n v="10"/>
    <n v="9189.7000000000007"/>
    <n v="4948.2999999999993"/>
    <n v="0.34999999999999992"/>
    <x v="11"/>
    <n v="2023"/>
  </r>
  <r>
    <x v="942"/>
    <d v="2023-03-22T00:00:00"/>
    <x v="2"/>
    <x v="0"/>
    <x v="38"/>
    <n v="4372"/>
    <n v="5"/>
    <n v="2623.2"/>
    <n v="1748.8000000000002"/>
    <n v="0.4"/>
    <x v="11"/>
    <n v="2023"/>
  </r>
  <r>
    <x v="943"/>
    <d v="2023-03-04T00:00:00"/>
    <x v="3"/>
    <x v="3"/>
    <x v="44"/>
    <n v="17729"/>
    <n v="7"/>
    <n v="13296.75"/>
    <n v="4432.25"/>
    <n v="0.25"/>
    <x v="11"/>
    <n v="2023"/>
  </r>
  <r>
    <x v="944"/>
    <d v="2023-05-18T00:00:00"/>
    <x v="0"/>
    <x v="2"/>
    <x v="44"/>
    <n v="13234"/>
    <n v="1"/>
    <n v="9263.7999999999993"/>
    <n v="3970.2000000000007"/>
    <n v="0.30000000000000004"/>
    <x v="4"/>
    <n v="2023"/>
  </r>
  <r>
    <x v="945"/>
    <d v="2023-11-22T00:00:00"/>
    <x v="1"/>
    <x v="0"/>
    <x v="45"/>
    <n v="4720"/>
    <n v="8"/>
    <n v="2832"/>
    <n v="1888"/>
    <n v="0.4"/>
    <x v="3"/>
    <n v="2023"/>
  </r>
  <r>
    <x v="946"/>
    <d v="2023-10-05T00:00:00"/>
    <x v="2"/>
    <x v="0"/>
    <x v="16"/>
    <n v="15779"/>
    <n v="4"/>
    <n v="9467.4"/>
    <n v="6311.6"/>
    <n v="0.4"/>
    <x v="0"/>
    <n v="2023"/>
  </r>
  <r>
    <x v="947"/>
    <d v="2023-09-20T00:00:00"/>
    <x v="3"/>
    <x v="2"/>
    <x v="25"/>
    <n v="14165"/>
    <n v="7"/>
    <n v="9915.5"/>
    <n v="4249.5"/>
    <n v="0.3"/>
    <x v="10"/>
    <n v="2023"/>
  </r>
  <r>
    <x v="948"/>
    <d v="2023-10-07T00:00:00"/>
    <x v="0"/>
    <x v="1"/>
    <x v="20"/>
    <n v="10602"/>
    <n v="10"/>
    <n v="6891.3"/>
    <n v="3710.7"/>
    <n v="0.35"/>
    <x v="0"/>
    <n v="2023"/>
  </r>
  <r>
    <x v="949"/>
    <d v="2023-09-08T00:00:00"/>
    <x v="1"/>
    <x v="3"/>
    <x v="41"/>
    <n v="8902"/>
    <n v="6"/>
    <n v="6676.5"/>
    <n v="2225.5"/>
    <n v="0.25"/>
    <x v="10"/>
    <n v="2023"/>
  </r>
  <r>
    <x v="950"/>
    <d v="2023-06-27T00:00:00"/>
    <x v="2"/>
    <x v="3"/>
    <x v="39"/>
    <n v="13236"/>
    <n v="7"/>
    <n v="9927"/>
    <n v="3309"/>
    <n v="0.25"/>
    <x v="2"/>
    <n v="2023"/>
  </r>
  <r>
    <x v="951"/>
    <d v="2023-09-22T00:00:00"/>
    <x v="3"/>
    <x v="2"/>
    <x v="39"/>
    <n v="9882"/>
    <n v="8"/>
    <n v="6917.4"/>
    <n v="2964.6000000000004"/>
    <n v="0.30000000000000004"/>
    <x v="10"/>
    <n v="2023"/>
  </r>
  <r>
    <x v="952"/>
    <d v="2023-05-05T00:00:00"/>
    <x v="0"/>
    <x v="2"/>
    <x v="43"/>
    <n v="6133"/>
    <n v="8"/>
    <n v="4293.0999999999995"/>
    <n v="1839.9000000000005"/>
    <n v="0.3000000000000001"/>
    <x v="4"/>
    <n v="2023"/>
  </r>
  <r>
    <x v="953"/>
    <d v="2023-10-22T00:00:00"/>
    <x v="1"/>
    <x v="0"/>
    <x v="34"/>
    <n v="6665"/>
    <n v="3"/>
    <n v="3999"/>
    <n v="2666"/>
    <n v="0.4"/>
    <x v="0"/>
    <n v="2023"/>
  </r>
  <r>
    <x v="954"/>
    <d v="2023-10-11T00:00:00"/>
    <x v="2"/>
    <x v="3"/>
    <x v="18"/>
    <n v="16631"/>
    <n v="8"/>
    <n v="12473.25"/>
    <n v="4157.75"/>
    <n v="0.25"/>
    <x v="0"/>
    <n v="2023"/>
  </r>
  <r>
    <x v="955"/>
    <d v="2023-05-18T00:00:00"/>
    <x v="3"/>
    <x v="1"/>
    <x v="24"/>
    <n v="14784"/>
    <n v="10"/>
    <n v="9609.6"/>
    <n v="5174.3999999999996"/>
    <n v="0.35"/>
    <x v="4"/>
    <n v="2023"/>
  </r>
  <r>
    <x v="956"/>
    <d v="2023-06-07T00:00:00"/>
    <x v="0"/>
    <x v="0"/>
    <x v="22"/>
    <n v="4639"/>
    <n v="4"/>
    <n v="2783.4"/>
    <n v="1855.6"/>
    <n v="0.39999999999999997"/>
    <x v="2"/>
    <n v="2023"/>
  </r>
  <r>
    <x v="957"/>
    <d v="2023-08-16T00:00:00"/>
    <x v="1"/>
    <x v="0"/>
    <x v="34"/>
    <n v="3264"/>
    <n v="1"/>
    <n v="1958.3999999999999"/>
    <n v="1305.6000000000001"/>
    <n v="0.4"/>
    <x v="5"/>
    <n v="2023"/>
  </r>
  <r>
    <x v="958"/>
    <d v="2023-01-06T00:00:00"/>
    <x v="2"/>
    <x v="3"/>
    <x v="28"/>
    <n v="8286"/>
    <n v="4"/>
    <n v="6214.5"/>
    <n v="2071.5"/>
    <n v="0.25"/>
    <x v="9"/>
    <n v="2023"/>
  </r>
  <r>
    <x v="959"/>
    <d v="2023-08-19T00:00:00"/>
    <x v="3"/>
    <x v="2"/>
    <x v="29"/>
    <n v="3832"/>
    <n v="9"/>
    <n v="2682.3999999999996"/>
    <n v="1149.6000000000004"/>
    <n v="0.3000000000000001"/>
    <x v="5"/>
    <n v="2023"/>
  </r>
  <r>
    <x v="960"/>
    <d v="2023-01-23T00:00:00"/>
    <x v="0"/>
    <x v="3"/>
    <x v="34"/>
    <n v="12279"/>
    <n v="8"/>
    <n v="9209.25"/>
    <n v="3069.75"/>
    <n v="0.25"/>
    <x v="9"/>
    <n v="2023"/>
  </r>
  <r>
    <x v="961"/>
    <d v="2023-12-21T00:00:00"/>
    <x v="1"/>
    <x v="1"/>
    <x v="3"/>
    <n v="2081"/>
    <n v="8"/>
    <n v="1352.65"/>
    <n v="728.34999999999991"/>
    <n v="0.35"/>
    <x v="7"/>
    <n v="2023"/>
  </r>
  <r>
    <x v="962"/>
    <d v="2023-10-10T00:00:00"/>
    <x v="2"/>
    <x v="2"/>
    <x v="25"/>
    <n v="1936"/>
    <n v="9"/>
    <n v="1355.1999999999998"/>
    <n v="580.80000000000018"/>
    <n v="0.3000000000000001"/>
    <x v="0"/>
    <n v="2023"/>
  </r>
  <r>
    <x v="963"/>
    <d v="2023-05-23T00:00:00"/>
    <x v="3"/>
    <x v="3"/>
    <x v="2"/>
    <n v="11365"/>
    <n v="2"/>
    <n v="8523.75"/>
    <n v="2841.25"/>
    <n v="0.25"/>
    <x v="4"/>
    <n v="2023"/>
  </r>
  <r>
    <x v="964"/>
    <d v="2023-12-25T00:00:00"/>
    <x v="0"/>
    <x v="1"/>
    <x v="0"/>
    <n v="2950"/>
    <n v="10"/>
    <n v="1917.5"/>
    <n v="1032.5"/>
    <n v="0.35"/>
    <x v="7"/>
    <n v="2023"/>
  </r>
  <r>
    <x v="965"/>
    <d v="2023-03-23T00:00:00"/>
    <x v="1"/>
    <x v="1"/>
    <x v="13"/>
    <n v="14231"/>
    <n v="4"/>
    <n v="9250.15"/>
    <n v="4980.8500000000004"/>
    <n v="0.35000000000000003"/>
    <x v="11"/>
    <n v="2023"/>
  </r>
  <r>
    <x v="966"/>
    <d v="2023-10-19T00:00:00"/>
    <x v="2"/>
    <x v="0"/>
    <x v="49"/>
    <n v="6235"/>
    <n v="5"/>
    <n v="3741"/>
    <n v="2494"/>
    <n v="0.4"/>
    <x v="0"/>
    <n v="2023"/>
  </r>
  <r>
    <x v="967"/>
    <d v="2023-01-06T00:00:00"/>
    <x v="3"/>
    <x v="0"/>
    <x v="21"/>
    <n v="16200"/>
    <n v="4"/>
    <n v="9720"/>
    <n v="6480"/>
    <n v="0.4"/>
    <x v="9"/>
    <n v="2023"/>
  </r>
  <r>
    <x v="968"/>
    <d v="2023-02-12T00:00:00"/>
    <x v="0"/>
    <x v="3"/>
    <x v="22"/>
    <n v="9523"/>
    <n v="5"/>
    <n v="7142.25"/>
    <n v="2380.75"/>
    <n v="0.25"/>
    <x v="8"/>
    <n v="2023"/>
  </r>
  <r>
    <x v="969"/>
    <d v="2023-08-24T00:00:00"/>
    <x v="1"/>
    <x v="0"/>
    <x v="11"/>
    <n v="14332"/>
    <n v="9"/>
    <n v="8599.1999999999989"/>
    <n v="5732.8000000000011"/>
    <n v="0.40000000000000008"/>
    <x v="5"/>
    <n v="2023"/>
  </r>
  <r>
    <x v="970"/>
    <d v="2023-02-27T00:00:00"/>
    <x v="2"/>
    <x v="0"/>
    <x v="9"/>
    <n v="17334"/>
    <n v="1"/>
    <n v="10400.4"/>
    <n v="6933.6"/>
    <n v="0.4"/>
    <x v="8"/>
    <n v="2023"/>
  </r>
  <r>
    <x v="971"/>
    <d v="2023-04-19T00:00:00"/>
    <x v="3"/>
    <x v="0"/>
    <x v="35"/>
    <n v="13871"/>
    <n v="9"/>
    <n v="8322.6"/>
    <n v="5548.4"/>
    <n v="0.39999999999999997"/>
    <x v="1"/>
    <n v="2023"/>
  </r>
  <r>
    <x v="972"/>
    <d v="2023-04-02T00:00:00"/>
    <x v="0"/>
    <x v="2"/>
    <x v="30"/>
    <n v="10312"/>
    <n v="7"/>
    <n v="7218.4"/>
    <n v="3093.6000000000004"/>
    <n v="0.30000000000000004"/>
    <x v="1"/>
    <n v="2023"/>
  </r>
  <r>
    <x v="973"/>
    <d v="2023-10-28T00:00:00"/>
    <x v="1"/>
    <x v="3"/>
    <x v="37"/>
    <n v="4180"/>
    <n v="6"/>
    <n v="3135"/>
    <n v="1045"/>
    <n v="0.25"/>
    <x v="0"/>
    <n v="2023"/>
  </r>
  <r>
    <x v="974"/>
    <d v="2023-10-07T00:00:00"/>
    <x v="2"/>
    <x v="1"/>
    <x v="10"/>
    <n v="2791"/>
    <n v="7"/>
    <n v="1814.15"/>
    <n v="976.84999999999991"/>
    <n v="0.35"/>
    <x v="0"/>
    <n v="2023"/>
  </r>
  <r>
    <x v="975"/>
    <d v="2023-08-27T00:00:00"/>
    <x v="3"/>
    <x v="0"/>
    <x v="16"/>
    <n v="15972"/>
    <n v="4"/>
    <n v="9583.1999999999989"/>
    <n v="6388.8000000000011"/>
    <n v="0.40000000000000008"/>
    <x v="5"/>
    <n v="2023"/>
  </r>
  <r>
    <x v="976"/>
    <d v="2023-08-17T00:00:00"/>
    <x v="0"/>
    <x v="3"/>
    <x v="16"/>
    <n v="16510"/>
    <n v="7"/>
    <n v="12382.5"/>
    <n v="4127.5"/>
    <n v="0.25"/>
    <x v="5"/>
    <n v="2023"/>
  </r>
  <r>
    <x v="977"/>
    <d v="2023-08-17T00:00:00"/>
    <x v="1"/>
    <x v="3"/>
    <x v="31"/>
    <n v="14462"/>
    <n v="10"/>
    <n v="10846.5"/>
    <n v="3615.5"/>
    <n v="0.25"/>
    <x v="5"/>
    <n v="2023"/>
  </r>
  <r>
    <x v="978"/>
    <d v="2023-08-12T00:00:00"/>
    <x v="2"/>
    <x v="1"/>
    <x v="39"/>
    <n v="10685"/>
    <n v="5"/>
    <n v="6945.25"/>
    <n v="3739.75"/>
    <n v="0.35"/>
    <x v="5"/>
    <n v="2023"/>
  </r>
  <r>
    <x v="979"/>
    <d v="2023-05-24T00:00:00"/>
    <x v="3"/>
    <x v="1"/>
    <x v="19"/>
    <n v="16249"/>
    <n v="2"/>
    <n v="10561.85"/>
    <n v="5687.15"/>
    <n v="0.35"/>
    <x v="4"/>
    <n v="2023"/>
  </r>
  <r>
    <x v="980"/>
    <d v="2023-11-26T00:00:00"/>
    <x v="0"/>
    <x v="1"/>
    <x v="26"/>
    <n v="14770"/>
    <n v="6"/>
    <n v="9600.5"/>
    <n v="5169.5"/>
    <n v="0.35"/>
    <x v="3"/>
    <n v="2023"/>
  </r>
  <r>
    <x v="981"/>
    <d v="2023-04-21T00:00:00"/>
    <x v="1"/>
    <x v="1"/>
    <x v="38"/>
    <n v="1105"/>
    <n v="7"/>
    <n v="718.25"/>
    <n v="386.75"/>
    <n v="0.35"/>
    <x v="1"/>
    <n v="2023"/>
  </r>
  <r>
    <x v="982"/>
    <d v="2023-07-27T00:00:00"/>
    <x v="2"/>
    <x v="1"/>
    <x v="33"/>
    <n v="18175"/>
    <n v="6"/>
    <n v="11813.75"/>
    <n v="6361.25"/>
    <n v="0.35"/>
    <x v="6"/>
    <n v="2023"/>
  </r>
  <r>
    <x v="983"/>
    <d v="2023-10-19T00:00:00"/>
    <x v="3"/>
    <x v="1"/>
    <x v="8"/>
    <n v="12713"/>
    <n v="5"/>
    <n v="8263.4500000000007"/>
    <n v="4449.5499999999993"/>
    <n v="0.34999999999999992"/>
    <x v="0"/>
    <n v="2023"/>
  </r>
  <r>
    <x v="984"/>
    <d v="2023-12-17T00:00:00"/>
    <x v="0"/>
    <x v="0"/>
    <x v="20"/>
    <n v="17687"/>
    <n v="8"/>
    <n v="10612.199999999999"/>
    <n v="7074.8000000000011"/>
    <n v="0.40000000000000008"/>
    <x v="7"/>
    <n v="2023"/>
  </r>
  <r>
    <x v="985"/>
    <d v="2023-02-24T00:00:00"/>
    <x v="1"/>
    <x v="1"/>
    <x v="30"/>
    <n v="7400"/>
    <n v="10"/>
    <n v="4810"/>
    <n v="2590"/>
    <n v="0.35"/>
    <x v="8"/>
    <n v="2023"/>
  </r>
  <r>
    <x v="986"/>
    <d v="2023-09-05T00:00:00"/>
    <x v="2"/>
    <x v="1"/>
    <x v="40"/>
    <n v="4876"/>
    <n v="7"/>
    <n v="3169.4"/>
    <n v="1706.6"/>
    <n v="0.35"/>
    <x v="10"/>
    <n v="2023"/>
  </r>
  <r>
    <x v="987"/>
    <d v="2023-04-24T00:00:00"/>
    <x v="3"/>
    <x v="3"/>
    <x v="9"/>
    <n v="10084"/>
    <n v="8"/>
    <n v="7563"/>
    <n v="2521"/>
    <n v="0.25"/>
    <x v="1"/>
    <n v="2023"/>
  </r>
  <r>
    <x v="988"/>
    <d v="2023-01-18T00:00:00"/>
    <x v="0"/>
    <x v="0"/>
    <x v="44"/>
    <n v="5515"/>
    <n v="4"/>
    <n v="3309"/>
    <n v="2206"/>
    <n v="0.4"/>
    <x v="9"/>
    <n v="2023"/>
  </r>
  <r>
    <x v="989"/>
    <d v="2023-01-24T00:00:00"/>
    <x v="1"/>
    <x v="3"/>
    <x v="35"/>
    <n v="5950"/>
    <n v="1"/>
    <n v="4462.5"/>
    <n v="1487.5"/>
    <n v="0.25"/>
    <x v="9"/>
    <n v="2023"/>
  </r>
  <r>
    <x v="990"/>
    <d v="2023-04-16T00:00:00"/>
    <x v="2"/>
    <x v="1"/>
    <x v="10"/>
    <n v="2674"/>
    <n v="2"/>
    <n v="1738.1000000000001"/>
    <n v="935.89999999999986"/>
    <n v="0.34999999999999992"/>
    <x v="1"/>
    <n v="2023"/>
  </r>
  <r>
    <x v="991"/>
    <d v="2023-02-19T00:00:00"/>
    <x v="3"/>
    <x v="3"/>
    <x v="38"/>
    <n v="6764"/>
    <n v="5"/>
    <n v="5073"/>
    <n v="1691"/>
    <n v="0.25"/>
    <x v="8"/>
    <n v="2023"/>
  </r>
  <r>
    <x v="992"/>
    <d v="2023-08-13T00:00:00"/>
    <x v="0"/>
    <x v="3"/>
    <x v="24"/>
    <n v="5091"/>
    <n v="8"/>
    <n v="3818.25"/>
    <n v="1272.75"/>
    <n v="0.25"/>
    <x v="5"/>
    <n v="2023"/>
  </r>
  <r>
    <x v="993"/>
    <d v="2023-12-02T00:00:00"/>
    <x v="1"/>
    <x v="2"/>
    <x v="36"/>
    <n v="18038"/>
    <n v="7"/>
    <n v="12626.599999999999"/>
    <n v="5411.4000000000015"/>
    <n v="0.3000000000000001"/>
    <x v="7"/>
    <n v="2023"/>
  </r>
  <r>
    <x v="994"/>
    <d v="2023-04-26T00:00:00"/>
    <x v="2"/>
    <x v="2"/>
    <x v="25"/>
    <n v="1874"/>
    <n v="10"/>
    <n v="1311.8"/>
    <n v="562.20000000000005"/>
    <n v="0.30000000000000004"/>
    <x v="1"/>
    <n v="2023"/>
  </r>
  <r>
    <x v="995"/>
    <d v="2023-03-04T00:00:00"/>
    <x v="3"/>
    <x v="3"/>
    <x v="44"/>
    <n v="12868"/>
    <n v="2"/>
    <n v="9651"/>
    <n v="3217"/>
    <n v="0.25"/>
    <x v="11"/>
    <n v="2023"/>
  </r>
  <r>
    <x v="996"/>
    <d v="2023-04-21T00:00:00"/>
    <x v="0"/>
    <x v="1"/>
    <x v="31"/>
    <n v="503"/>
    <n v="6"/>
    <n v="326.95"/>
    <n v="176.05"/>
    <n v="0.35000000000000003"/>
    <x v="1"/>
    <n v="2023"/>
  </r>
  <r>
    <x v="997"/>
    <d v="2023-04-22T00:00:00"/>
    <x v="1"/>
    <x v="3"/>
    <x v="11"/>
    <n v="13967"/>
    <n v="3"/>
    <n v="10475.25"/>
    <n v="3491.75"/>
    <n v="0.25"/>
    <x v="1"/>
    <n v="2023"/>
  </r>
  <r>
    <x v="998"/>
    <d v="2023-08-14T00:00:00"/>
    <x v="2"/>
    <x v="2"/>
    <x v="11"/>
    <n v="19236"/>
    <n v="8"/>
    <n v="13465.199999999999"/>
    <n v="5770.8000000000011"/>
    <n v="0.30000000000000004"/>
    <x v="5"/>
    <n v="2023"/>
  </r>
  <r>
    <x v="999"/>
    <d v="2023-07-18T00:00:00"/>
    <x v="3"/>
    <x v="2"/>
    <x v="16"/>
    <n v="17328"/>
    <n v="2"/>
    <n v="12129.599999999999"/>
    <n v="5198.4000000000015"/>
    <n v="0.3000000000000001"/>
    <x v="6"/>
    <n v="2023"/>
  </r>
  <r>
    <x v="1000"/>
    <d v="2023-10-09T00:00:00"/>
    <x v="0"/>
    <x v="0"/>
    <x v="25"/>
    <n v="1789"/>
    <n v="1"/>
    <n v="1073.3999999999999"/>
    <n v="715.60000000000014"/>
    <n v="0.40000000000000008"/>
    <x v="0"/>
    <n v="2023"/>
  </r>
  <r>
    <x v="1001"/>
    <d v="2023-07-07T00:00:00"/>
    <x v="1"/>
    <x v="3"/>
    <x v="6"/>
    <n v="11350"/>
    <n v="5"/>
    <n v="8512.5"/>
    <n v="2837.5"/>
    <n v="0.25"/>
    <x v="6"/>
    <n v="2023"/>
  </r>
  <r>
    <x v="1002"/>
    <d v="2023-05-10T00:00:00"/>
    <x v="2"/>
    <x v="3"/>
    <x v="37"/>
    <n v="16121"/>
    <n v="2"/>
    <n v="12090.75"/>
    <n v="4030.25"/>
    <n v="0.25"/>
    <x v="4"/>
    <n v="2023"/>
  </r>
  <r>
    <x v="1003"/>
    <d v="2023-09-09T00:00:00"/>
    <x v="3"/>
    <x v="3"/>
    <x v="13"/>
    <n v="10202"/>
    <n v="4"/>
    <n v="7651.5"/>
    <n v="2550.5"/>
    <n v="0.25"/>
    <x v="10"/>
    <n v="2023"/>
  </r>
  <r>
    <x v="1004"/>
    <d v="2023-05-26T00:00:00"/>
    <x v="0"/>
    <x v="3"/>
    <x v="30"/>
    <n v="15506"/>
    <n v="8"/>
    <n v="11629.5"/>
    <n v="3876.5"/>
    <n v="0.25"/>
    <x v="4"/>
    <n v="2023"/>
  </r>
  <r>
    <x v="1005"/>
    <d v="2023-10-01T00:00:00"/>
    <x v="1"/>
    <x v="0"/>
    <x v="12"/>
    <n v="13829"/>
    <n v="2"/>
    <n v="8297.4"/>
    <n v="5531.6"/>
    <n v="0.4"/>
    <x v="0"/>
    <n v="2023"/>
  </r>
  <r>
    <x v="1006"/>
    <d v="2023-12-21T00:00:00"/>
    <x v="2"/>
    <x v="3"/>
    <x v="31"/>
    <n v="7235"/>
    <n v="6"/>
    <n v="5426.25"/>
    <n v="1808.75"/>
    <n v="0.25"/>
    <x v="7"/>
    <n v="2023"/>
  </r>
  <r>
    <x v="1007"/>
    <d v="2023-04-12T00:00:00"/>
    <x v="3"/>
    <x v="0"/>
    <x v="25"/>
    <n v="7260"/>
    <n v="1"/>
    <n v="4356"/>
    <n v="2904"/>
    <n v="0.4"/>
    <x v="1"/>
    <n v="2023"/>
  </r>
  <r>
    <x v="1008"/>
    <d v="2023-07-11T00:00:00"/>
    <x v="0"/>
    <x v="0"/>
    <x v="41"/>
    <n v="7187"/>
    <n v="8"/>
    <n v="4312.2"/>
    <n v="2874.8"/>
    <n v="0.4"/>
    <x v="6"/>
    <n v="2023"/>
  </r>
  <r>
    <x v="1009"/>
    <d v="2023-11-22T00:00:00"/>
    <x v="1"/>
    <x v="2"/>
    <x v="31"/>
    <n v="13890"/>
    <n v="1"/>
    <n v="9723"/>
    <n v="4167"/>
    <n v="0.3"/>
    <x v="3"/>
    <n v="2023"/>
  </r>
  <r>
    <x v="1010"/>
    <d v="2023-02-09T00:00:00"/>
    <x v="2"/>
    <x v="1"/>
    <x v="33"/>
    <n v="5510"/>
    <n v="4"/>
    <n v="3581.5"/>
    <n v="1928.5"/>
    <n v="0.35"/>
    <x v="8"/>
    <n v="2023"/>
  </r>
  <r>
    <x v="1011"/>
    <d v="2023-10-01T00:00:00"/>
    <x v="3"/>
    <x v="2"/>
    <x v="38"/>
    <n v="12080"/>
    <n v="1"/>
    <n v="8456"/>
    <n v="3624"/>
    <n v="0.3"/>
    <x v="0"/>
    <n v="2023"/>
  </r>
  <r>
    <x v="1012"/>
    <d v="2023-09-21T00:00:00"/>
    <x v="0"/>
    <x v="0"/>
    <x v="4"/>
    <n v="18157"/>
    <n v="8"/>
    <n v="10894.199999999999"/>
    <n v="7262.8000000000011"/>
    <n v="0.40000000000000008"/>
    <x v="10"/>
    <n v="2023"/>
  </r>
  <r>
    <x v="1013"/>
    <d v="2023-02-15T00:00:00"/>
    <x v="1"/>
    <x v="1"/>
    <x v="47"/>
    <n v="18001"/>
    <n v="6"/>
    <n v="11700.65"/>
    <n v="6300.35"/>
    <n v="0.35000000000000003"/>
    <x v="8"/>
    <n v="2023"/>
  </r>
  <r>
    <x v="1014"/>
    <d v="2023-10-04T00:00:00"/>
    <x v="2"/>
    <x v="1"/>
    <x v="36"/>
    <n v="2116"/>
    <n v="8"/>
    <n v="1375.4"/>
    <n v="740.59999999999991"/>
    <n v="0.35"/>
    <x v="0"/>
    <n v="2023"/>
  </r>
  <r>
    <x v="1015"/>
    <d v="2023-10-24T00:00:00"/>
    <x v="3"/>
    <x v="1"/>
    <x v="12"/>
    <n v="12030"/>
    <n v="4"/>
    <n v="7819.5"/>
    <n v="4210.5"/>
    <n v="0.35"/>
    <x v="0"/>
    <n v="2023"/>
  </r>
  <r>
    <x v="1016"/>
    <d v="2023-12-27T00:00:00"/>
    <x v="0"/>
    <x v="0"/>
    <x v="14"/>
    <n v="18040"/>
    <n v="6"/>
    <n v="10824"/>
    <n v="7216"/>
    <n v="0.4"/>
    <x v="7"/>
    <n v="2023"/>
  </r>
  <r>
    <x v="1017"/>
    <d v="2023-04-23T00:00:00"/>
    <x v="1"/>
    <x v="3"/>
    <x v="10"/>
    <n v="18609"/>
    <n v="2"/>
    <n v="13956.75"/>
    <n v="4652.25"/>
    <n v="0.25"/>
    <x v="1"/>
    <n v="2023"/>
  </r>
  <r>
    <x v="1018"/>
    <d v="2023-06-14T00:00:00"/>
    <x v="2"/>
    <x v="0"/>
    <x v="39"/>
    <n v="8386"/>
    <n v="4"/>
    <n v="5031.5999999999995"/>
    <n v="3354.4000000000005"/>
    <n v="0.40000000000000008"/>
    <x v="2"/>
    <n v="2023"/>
  </r>
  <r>
    <x v="1019"/>
    <d v="2023-03-11T00:00:00"/>
    <x v="3"/>
    <x v="1"/>
    <x v="14"/>
    <n v="1300"/>
    <n v="5"/>
    <n v="845"/>
    <n v="455"/>
    <n v="0.35"/>
    <x v="11"/>
    <n v="2023"/>
  </r>
  <r>
    <x v="1020"/>
    <d v="2023-03-20T00:00:00"/>
    <x v="0"/>
    <x v="3"/>
    <x v="9"/>
    <n v="747"/>
    <n v="3"/>
    <n v="560.25"/>
    <n v="186.75"/>
    <n v="0.25"/>
    <x v="11"/>
    <n v="2023"/>
  </r>
  <r>
    <x v="1021"/>
    <d v="2023-06-09T00:00:00"/>
    <x v="1"/>
    <x v="0"/>
    <x v="4"/>
    <n v="8545"/>
    <n v="8"/>
    <n v="5127"/>
    <n v="3418"/>
    <n v="0.4"/>
    <x v="2"/>
    <n v="2023"/>
  </r>
  <r>
    <x v="1022"/>
    <d v="2023-09-25T00:00:00"/>
    <x v="2"/>
    <x v="1"/>
    <x v="3"/>
    <n v="8631"/>
    <n v="6"/>
    <n v="5610.1500000000005"/>
    <n v="3020.8499999999995"/>
    <n v="0.34999999999999992"/>
    <x v="10"/>
    <n v="2023"/>
  </r>
  <r>
    <x v="1023"/>
    <d v="2023-01-27T00:00:00"/>
    <x v="3"/>
    <x v="2"/>
    <x v="17"/>
    <n v="9248"/>
    <n v="1"/>
    <n v="6473.5999999999995"/>
    <n v="2774.4000000000005"/>
    <n v="0.30000000000000004"/>
    <x v="9"/>
    <n v="2023"/>
  </r>
  <r>
    <x v="1024"/>
    <d v="2023-07-27T00:00:00"/>
    <x v="0"/>
    <x v="1"/>
    <x v="34"/>
    <n v="2187"/>
    <n v="7"/>
    <n v="1421.55"/>
    <n v="765.45"/>
    <n v="0.35000000000000003"/>
    <x v="6"/>
    <n v="2023"/>
  </r>
  <r>
    <x v="1025"/>
    <d v="2023-07-13T00:00:00"/>
    <x v="1"/>
    <x v="3"/>
    <x v="24"/>
    <n v="1750"/>
    <n v="9"/>
    <n v="1312.5"/>
    <n v="437.5"/>
    <n v="0.25"/>
    <x v="6"/>
    <n v="2023"/>
  </r>
  <r>
    <x v="1026"/>
    <d v="2023-01-02T00:00:00"/>
    <x v="2"/>
    <x v="2"/>
    <x v="25"/>
    <n v="13961"/>
    <n v="10"/>
    <n v="9772.6999999999989"/>
    <n v="4188.3000000000011"/>
    <n v="0.3000000000000001"/>
    <x v="9"/>
    <n v="2023"/>
  </r>
  <r>
    <x v="1027"/>
    <d v="2023-12-02T00:00:00"/>
    <x v="3"/>
    <x v="2"/>
    <x v="9"/>
    <n v="2173"/>
    <n v="2"/>
    <n v="1521.1"/>
    <n v="651.90000000000009"/>
    <n v="0.30000000000000004"/>
    <x v="7"/>
    <n v="2023"/>
  </r>
  <r>
    <x v="1028"/>
    <d v="2023-04-23T00:00:00"/>
    <x v="0"/>
    <x v="1"/>
    <x v="34"/>
    <n v="13898"/>
    <n v="3"/>
    <n v="9033.7000000000007"/>
    <n v="4864.2999999999993"/>
    <n v="0.34999999999999992"/>
    <x v="1"/>
    <n v="2023"/>
  </r>
  <r>
    <x v="1029"/>
    <d v="2023-05-02T00:00:00"/>
    <x v="1"/>
    <x v="1"/>
    <x v="8"/>
    <n v="5879"/>
    <n v="2"/>
    <n v="3821.35"/>
    <n v="2057.65"/>
    <n v="0.35000000000000003"/>
    <x v="4"/>
    <n v="2023"/>
  </r>
  <r>
    <x v="1030"/>
    <d v="2023-09-17T00:00:00"/>
    <x v="2"/>
    <x v="3"/>
    <x v="9"/>
    <n v="10303"/>
    <n v="2"/>
    <n v="7727.25"/>
    <n v="2575.75"/>
    <n v="0.25"/>
    <x v="10"/>
    <n v="2023"/>
  </r>
  <r>
    <x v="1031"/>
    <d v="2023-07-10T00:00:00"/>
    <x v="3"/>
    <x v="1"/>
    <x v="18"/>
    <n v="6567"/>
    <n v="9"/>
    <n v="4268.55"/>
    <n v="2298.4499999999998"/>
    <n v="0.35"/>
    <x v="6"/>
    <n v="2023"/>
  </r>
  <r>
    <x v="1032"/>
    <d v="2023-12-18T00:00:00"/>
    <x v="0"/>
    <x v="0"/>
    <x v="27"/>
    <n v="2848"/>
    <n v="5"/>
    <n v="1708.8"/>
    <n v="1139.2"/>
    <n v="0.4"/>
    <x v="7"/>
    <n v="2023"/>
  </r>
  <r>
    <x v="1033"/>
    <d v="2023-08-15T00:00:00"/>
    <x v="1"/>
    <x v="1"/>
    <x v="24"/>
    <n v="14334"/>
    <n v="2"/>
    <n v="9317.1"/>
    <n v="5016.8999999999996"/>
    <n v="0.35"/>
    <x v="5"/>
    <n v="2023"/>
  </r>
  <r>
    <x v="1034"/>
    <d v="2023-05-10T00:00:00"/>
    <x v="2"/>
    <x v="1"/>
    <x v="2"/>
    <n v="2734"/>
    <n v="5"/>
    <n v="1777.1000000000001"/>
    <n v="956.89999999999986"/>
    <n v="0.35"/>
    <x v="4"/>
    <n v="2023"/>
  </r>
  <r>
    <x v="1035"/>
    <d v="2023-01-17T00:00:00"/>
    <x v="3"/>
    <x v="2"/>
    <x v="18"/>
    <n v="9468"/>
    <n v="8"/>
    <n v="6627.5999999999995"/>
    <n v="2840.4000000000005"/>
    <n v="0.30000000000000004"/>
    <x v="9"/>
    <n v="2023"/>
  </r>
  <r>
    <x v="1036"/>
    <d v="2023-11-08T00:00:00"/>
    <x v="0"/>
    <x v="0"/>
    <x v="43"/>
    <n v="14791"/>
    <n v="1"/>
    <n v="8874.6"/>
    <n v="5916.4"/>
    <n v="0.39999999999999997"/>
    <x v="3"/>
    <n v="2023"/>
  </r>
  <r>
    <x v="1037"/>
    <d v="2023-11-21T00:00:00"/>
    <x v="1"/>
    <x v="1"/>
    <x v="47"/>
    <n v="13222"/>
    <n v="8"/>
    <n v="8594.3000000000011"/>
    <n v="4627.6999999999989"/>
    <n v="0.34999999999999992"/>
    <x v="3"/>
    <n v="2023"/>
  </r>
  <r>
    <x v="1038"/>
    <d v="2023-07-07T00:00:00"/>
    <x v="2"/>
    <x v="3"/>
    <x v="48"/>
    <n v="8271"/>
    <n v="3"/>
    <n v="6203.25"/>
    <n v="2067.75"/>
    <n v="0.25"/>
    <x v="6"/>
    <n v="2023"/>
  </r>
  <r>
    <x v="1039"/>
    <d v="2023-03-05T00:00:00"/>
    <x v="3"/>
    <x v="0"/>
    <x v="4"/>
    <n v="15056"/>
    <n v="10"/>
    <n v="9033.6"/>
    <n v="6022.4"/>
    <n v="0.39999999999999997"/>
    <x v="11"/>
    <n v="2023"/>
  </r>
  <r>
    <x v="1040"/>
    <d v="2023-11-19T00:00:00"/>
    <x v="0"/>
    <x v="3"/>
    <x v="28"/>
    <n v="8951"/>
    <n v="5"/>
    <n v="6713.25"/>
    <n v="2237.75"/>
    <n v="0.25"/>
    <x v="3"/>
    <n v="2023"/>
  </r>
  <r>
    <x v="1041"/>
    <d v="2023-09-20T00:00:00"/>
    <x v="1"/>
    <x v="0"/>
    <x v="44"/>
    <n v="12269"/>
    <n v="8"/>
    <n v="7361.4"/>
    <n v="4907.6000000000004"/>
    <n v="0.4"/>
    <x v="10"/>
    <n v="2023"/>
  </r>
  <r>
    <x v="1042"/>
    <d v="2023-05-06T00:00:00"/>
    <x v="2"/>
    <x v="3"/>
    <x v="35"/>
    <n v="13519"/>
    <n v="7"/>
    <n v="10139.25"/>
    <n v="3379.75"/>
    <n v="0.25"/>
    <x v="4"/>
    <n v="2023"/>
  </r>
  <r>
    <x v="1043"/>
    <d v="2023-05-18T00:00:00"/>
    <x v="3"/>
    <x v="2"/>
    <x v="4"/>
    <n v="12945"/>
    <n v="10"/>
    <n v="9061.5"/>
    <n v="3883.5"/>
    <n v="0.3"/>
    <x v="4"/>
    <n v="2023"/>
  </r>
  <r>
    <x v="1044"/>
    <d v="2023-05-16T00:00:00"/>
    <x v="0"/>
    <x v="3"/>
    <x v="39"/>
    <n v="15595"/>
    <n v="3"/>
    <n v="11696.25"/>
    <n v="3898.75"/>
    <n v="0.25"/>
    <x v="4"/>
    <n v="2023"/>
  </r>
  <r>
    <x v="1045"/>
    <d v="2023-06-22T00:00:00"/>
    <x v="1"/>
    <x v="2"/>
    <x v="41"/>
    <n v="8737"/>
    <n v="9"/>
    <n v="6115.9"/>
    <n v="2621.1000000000004"/>
    <n v="0.30000000000000004"/>
    <x v="2"/>
    <n v="2023"/>
  </r>
  <r>
    <x v="1046"/>
    <d v="2023-04-10T00:00:00"/>
    <x v="2"/>
    <x v="1"/>
    <x v="24"/>
    <n v="11042"/>
    <n v="6"/>
    <n v="7177.3"/>
    <n v="3864.7"/>
    <n v="0.35"/>
    <x v="1"/>
    <n v="2023"/>
  </r>
  <r>
    <x v="1047"/>
    <d v="2023-01-09T00:00:00"/>
    <x v="3"/>
    <x v="1"/>
    <x v="14"/>
    <n v="3451"/>
    <n v="6"/>
    <n v="2243.15"/>
    <n v="1207.8499999999999"/>
    <n v="0.35"/>
    <x v="9"/>
    <n v="2023"/>
  </r>
  <r>
    <x v="1048"/>
    <d v="2023-07-27T00:00:00"/>
    <x v="0"/>
    <x v="1"/>
    <x v="48"/>
    <n v="4157"/>
    <n v="4"/>
    <n v="2702.05"/>
    <n v="1454.9499999999998"/>
    <n v="0.35"/>
    <x v="6"/>
    <n v="2023"/>
  </r>
  <r>
    <x v="1049"/>
    <d v="2023-06-25T00:00:00"/>
    <x v="1"/>
    <x v="1"/>
    <x v="21"/>
    <n v="15802"/>
    <n v="8"/>
    <n v="10271.300000000001"/>
    <n v="5530.6999999999989"/>
    <n v="0.34999999999999992"/>
    <x v="2"/>
    <n v="2023"/>
  </r>
  <r>
    <x v="1050"/>
    <d v="2023-01-16T00:00:00"/>
    <x v="2"/>
    <x v="3"/>
    <x v="1"/>
    <n v="11312"/>
    <n v="8"/>
    <n v="8484"/>
    <n v="2828"/>
    <n v="0.25"/>
    <x v="9"/>
    <n v="2023"/>
  </r>
  <r>
    <x v="1051"/>
    <d v="2023-02-10T00:00:00"/>
    <x v="3"/>
    <x v="3"/>
    <x v="32"/>
    <n v="5979"/>
    <n v="10"/>
    <n v="4484.25"/>
    <n v="1494.75"/>
    <n v="0.25"/>
    <x v="8"/>
    <n v="2023"/>
  </r>
  <r>
    <x v="1052"/>
    <d v="2023-05-12T00:00:00"/>
    <x v="0"/>
    <x v="3"/>
    <x v="14"/>
    <n v="5859"/>
    <n v="1"/>
    <n v="4394.25"/>
    <n v="1464.75"/>
    <n v="0.25"/>
    <x v="4"/>
    <n v="2023"/>
  </r>
  <r>
    <x v="1053"/>
    <d v="2023-10-14T00:00:00"/>
    <x v="1"/>
    <x v="2"/>
    <x v="42"/>
    <n v="10368"/>
    <n v="6"/>
    <n v="7257.5999999999995"/>
    <n v="3110.4000000000005"/>
    <n v="0.30000000000000004"/>
    <x v="0"/>
    <n v="2023"/>
  </r>
  <r>
    <x v="1054"/>
    <d v="2023-02-18T00:00:00"/>
    <x v="2"/>
    <x v="0"/>
    <x v="28"/>
    <n v="10004"/>
    <n v="6"/>
    <n v="6002.4"/>
    <n v="4001.6000000000004"/>
    <n v="0.4"/>
    <x v="8"/>
    <n v="2023"/>
  </r>
  <r>
    <x v="1055"/>
    <d v="2023-03-02T00:00:00"/>
    <x v="3"/>
    <x v="0"/>
    <x v="34"/>
    <n v="4437"/>
    <n v="8"/>
    <n v="2662.2"/>
    <n v="1774.8000000000002"/>
    <n v="0.4"/>
    <x v="11"/>
    <n v="2023"/>
  </r>
  <r>
    <x v="1056"/>
    <d v="2023-05-26T00:00:00"/>
    <x v="0"/>
    <x v="2"/>
    <x v="30"/>
    <n v="6580"/>
    <n v="4"/>
    <n v="4606"/>
    <n v="1974"/>
    <n v="0.3"/>
    <x v="4"/>
    <n v="2023"/>
  </r>
  <r>
    <x v="1057"/>
    <d v="2023-05-22T00:00:00"/>
    <x v="1"/>
    <x v="1"/>
    <x v="13"/>
    <n v="18695"/>
    <n v="3"/>
    <n v="12151.75"/>
    <n v="6543.25"/>
    <n v="0.35"/>
    <x v="4"/>
    <n v="2023"/>
  </r>
  <r>
    <x v="1058"/>
    <d v="2023-01-25T00:00:00"/>
    <x v="2"/>
    <x v="1"/>
    <x v="33"/>
    <n v="19160"/>
    <n v="4"/>
    <n v="12454"/>
    <n v="6706"/>
    <n v="0.35"/>
    <x v="9"/>
    <n v="2023"/>
  </r>
  <r>
    <x v="1059"/>
    <d v="2023-01-27T00:00:00"/>
    <x v="3"/>
    <x v="2"/>
    <x v="12"/>
    <n v="3699"/>
    <n v="8"/>
    <n v="2589.2999999999997"/>
    <n v="1109.7000000000003"/>
    <n v="0.3000000000000001"/>
    <x v="9"/>
    <n v="2023"/>
  </r>
  <r>
    <x v="1060"/>
    <d v="2023-12-04T00:00:00"/>
    <x v="0"/>
    <x v="1"/>
    <x v="36"/>
    <n v="6107"/>
    <n v="1"/>
    <n v="3969.55"/>
    <n v="2137.4499999999998"/>
    <n v="0.35"/>
    <x v="7"/>
    <n v="2023"/>
  </r>
  <r>
    <x v="1061"/>
    <d v="2023-01-23T00:00:00"/>
    <x v="1"/>
    <x v="0"/>
    <x v="36"/>
    <n v="2975"/>
    <n v="5"/>
    <n v="1785"/>
    <n v="1190"/>
    <n v="0.4"/>
    <x v="9"/>
    <n v="2023"/>
  </r>
  <r>
    <x v="1062"/>
    <d v="2023-06-21T00:00:00"/>
    <x v="2"/>
    <x v="0"/>
    <x v="39"/>
    <n v="764"/>
    <n v="7"/>
    <n v="458.4"/>
    <n v="305.60000000000002"/>
    <n v="0.4"/>
    <x v="2"/>
    <n v="2023"/>
  </r>
  <r>
    <x v="1063"/>
    <d v="2023-07-20T00:00:00"/>
    <x v="3"/>
    <x v="2"/>
    <x v="34"/>
    <n v="8585"/>
    <n v="2"/>
    <n v="6009.5"/>
    <n v="2575.5"/>
    <n v="0.3"/>
    <x v="6"/>
    <n v="2023"/>
  </r>
  <r>
    <x v="1064"/>
    <d v="2023-12-01T00:00:00"/>
    <x v="0"/>
    <x v="3"/>
    <x v="36"/>
    <n v="16253"/>
    <n v="7"/>
    <n v="12189.75"/>
    <n v="4063.25"/>
    <n v="0.25"/>
    <x v="7"/>
    <n v="2023"/>
  </r>
  <r>
    <x v="1065"/>
    <d v="2023-03-25T00:00:00"/>
    <x v="1"/>
    <x v="2"/>
    <x v="7"/>
    <n v="9004"/>
    <n v="2"/>
    <n v="6302.7999999999993"/>
    <n v="2701.2000000000007"/>
    <n v="0.3000000000000001"/>
    <x v="11"/>
    <n v="2023"/>
  </r>
  <r>
    <x v="1066"/>
    <d v="2023-05-07T00:00:00"/>
    <x v="2"/>
    <x v="1"/>
    <x v="9"/>
    <n v="1142"/>
    <n v="2"/>
    <n v="742.30000000000007"/>
    <n v="399.69999999999993"/>
    <n v="0.34999999999999992"/>
    <x v="4"/>
    <n v="2023"/>
  </r>
  <r>
    <x v="1067"/>
    <d v="2023-12-15T00:00:00"/>
    <x v="3"/>
    <x v="1"/>
    <x v="42"/>
    <n v="13049"/>
    <n v="8"/>
    <n v="8481.85"/>
    <n v="4567.1499999999996"/>
    <n v="0.35"/>
    <x v="7"/>
    <n v="2023"/>
  </r>
  <r>
    <x v="1068"/>
    <d v="2023-09-25T00:00:00"/>
    <x v="0"/>
    <x v="3"/>
    <x v="18"/>
    <n v="4415"/>
    <n v="7"/>
    <n v="3311.25"/>
    <n v="1103.75"/>
    <n v="0.25"/>
    <x v="10"/>
    <n v="2023"/>
  </r>
  <r>
    <x v="1069"/>
    <d v="2023-01-11T00:00:00"/>
    <x v="1"/>
    <x v="3"/>
    <x v="45"/>
    <n v="13371"/>
    <n v="8"/>
    <n v="10028.25"/>
    <n v="3342.75"/>
    <n v="0.25"/>
    <x v="9"/>
    <n v="2023"/>
  </r>
  <r>
    <x v="1070"/>
    <d v="2023-10-14T00:00:00"/>
    <x v="2"/>
    <x v="1"/>
    <x v="5"/>
    <n v="14948"/>
    <n v="9"/>
    <n v="9716.2000000000007"/>
    <n v="5231.7999999999993"/>
    <n v="0.35"/>
    <x v="0"/>
    <n v="2023"/>
  </r>
  <r>
    <x v="1071"/>
    <d v="2023-06-28T00:00:00"/>
    <x v="3"/>
    <x v="2"/>
    <x v="28"/>
    <n v="16408"/>
    <n v="8"/>
    <n v="11485.599999999999"/>
    <n v="4922.4000000000015"/>
    <n v="0.3000000000000001"/>
    <x v="2"/>
    <n v="2023"/>
  </r>
  <r>
    <x v="1072"/>
    <d v="2023-05-01T00:00:00"/>
    <x v="0"/>
    <x v="3"/>
    <x v="11"/>
    <n v="19005"/>
    <n v="8"/>
    <n v="14253.75"/>
    <n v="4751.25"/>
    <n v="0.25"/>
    <x v="4"/>
    <n v="2023"/>
  </r>
  <r>
    <x v="1073"/>
    <d v="2023-11-05T00:00:00"/>
    <x v="1"/>
    <x v="1"/>
    <x v="2"/>
    <n v="12347"/>
    <n v="4"/>
    <n v="8025.55"/>
    <n v="4321.45"/>
    <n v="0.35"/>
    <x v="3"/>
    <n v="2023"/>
  </r>
  <r>
    <x v="1074"/>
    <d v="2023-09-08T00:00:00"/>
    <x v="2"/>
    <x v="3"/>
    <x v="15"/>
    <n v="9060"/>
    <n v="5"/>
    <n v="6795"/>
    <n v="2265"/>
    <n v="0.25"/>
    <x v="10"/>
    <n v="2023"/>
  </r>
  <r>
    <x v="1075"/>
    <d v="2023-05-17T00:00:00"/>
    <x v="3"/>
    <x v="1"/>
    <x v="39"/>
    <n v="1163"/>
    <n v="10"/>
    <n v="755.95"/>
    <n v="407.04999999999995"/>
    <n v="0.35"/>
    <x v="4"/>
    <n v="2023"/>
  </r>
  <r>
    <x v="1076"/>
    <d v="2023-06-28T00:00:00"/>
    <x v="0"/>
    <x v="0"/>
    <x v="36"/>
    <n v="7076"/>
    <n v="2"/>
    <n v="4245.5999999999995"/>
    <n v="2830.4000000000005"/>
    <n v="0.40000000000000008"/>
    <x v="2"/>
    <n v="2023"/>
  </r>
  <r>
    <x v="1077"/>
    <d v="2023-01-10T00:00:00"/>
    <x v="1"/>
    <x v="2"/>
    <x v="1"/>
    <n v="18066"/>
    <n v="2"/>
    <n v="12646.199999999999"/>
    <n v="5419.8000000000011"/>
    <n v="0.30000000000000004"/>
    <x v="9"/>
    <n v="2023"/>
  </r>
  <r>
    <x v="1078"/>
    <d v="2023-11-05T00:00:00"/>
    <x v="2"/>
    <x v="0"/>
    <x v="30"/>
    <n v="4757"/>
    <n v="1"/>
    <n v="2854.2"/>
    <n v="1902.8000000000002"/>
    <n v="0.4"/>
    <x v="3"/>
    <n v="2023"/>
  </r>
  <r>
    <x v="1079"/>
    <d v="2023-10-17T00:00:00"/>
    <x v="3"/>
    <x v="3"/>
    <x v="1"/>
    <n v="15958"/>
    <n v="6"/>
    <n v="11968.5"/>
    <n v="3989.5"/>
    <n v="0.25"/>
    <x v="0"/>
    <n v="2023"/>
  </r>
  <r>
    <x v="1080"/>
    <d v="2023-06-20T00:00:00"/>
    <x v="0"/>
    <x v="0"/>
    <x v="16"/>
    <n v="7837"/>
    <n v="1"/>
    <n v="4702.2"/>
    <n v="3134.8"/>
    <n v="0.4"/>
    <x v="2"/>
    <n v="2023"/>
  </r>
  <r>
    <x v="1081"/>
    <d v="2023-08-18T00:00:00"/>
    <x v="1"/>
    <x v="2"/>
    <x v="37"/>
    <n v="4183"/>
    <n v="6"/>
    <n v="2928.1"/>
    <n v="1254.9000000000001"/>
    <n v="0.30000000000000004"/>
    <x v="5"/>
    <n v="2023"/>
  </r>
  <r>
    <x v="1082"/>
    <d v="2023-01-26T00:00:00"/>
    <x v="2"/>
    <x v="2"/>
    <x v="37"/>
    <n v="17202"/>
    <n v="7"/>
    <n v="12041.4"/>
    <n v="5160.6000000000004"/>
    <n v="0.30000000000000004"/>
    <x v="9"/>
    <n v="2023"/>
  </r>
  <r>
    <x v="1083"/>
    <d v="2023-06-20T00:00:00"/>
    <x v="3"/>
    <x v="3"/>
    <x v="1"/>
    <n v="14655"/>
    <n v="7"/>
    <n v="10991.25"/>
    <n v="3663.75"/>
    <n v="0.25"/>
    <x v="2"/>
    <n v="2023"/>
  </r>
  <r>
    <x v="1084"/>
    <d v="2023-02-15T00:00:00"/>
    <x v="0"/>
    <x v="1"/>
    <x v="45"/>
    <n v="621"/>
    <n v="2"/>
    <n v="403.65000000000003"/>
    <n v="217.34999999999997"/>
    <n v="0.34999999999999992"/>
    <x v="8"/>
    <n v="2023"/>
  </r>
  <r>
    <x v="1085"/>
    <d v="2023-02-09T00:00:00"/>
    <x v="1"/>
    <x v="2"/>
    <x v="16"/>
    <n v="9680"/>
    <n v="4"/>
    <n v="6776"/>
    <n v="2904"/>
    <n v="0.3"/>
    <x v="8"/>
    <n v="2023"/>
  </r>
  <r>
    <x v="1086"/>
    <d v="2023-03-12T00:00:00"/>
    <x v="2"/>
    <x v="0"/>
    <x v="19"/>
    <n v="17298"/>
    <n v="6"/>
    <n v="10378.799999999999"/>
    <n v="6919.2000000000007"/>
    <n v="0.4"/>
    <x v="11"/>
    <n v="2023"/>
  </r>
  <r>
    <x v="1087"/>
    <d v="2023-01-15T00:00:00"/>
    <x v="3"/>
    <x v="0"/>
    <x v="29"/>
    <n v="5106"/>
    <n v="1"/>
    <n v="3063.6"/>
    <n v="2042.4"/>
    <n v="0.4"/>
    <x v="9"/>
    <n v="2023"/>
  </r>
  <r>
    <x v="1088"/>
    <d v="2023-07-06T00:00:00"/>
    <x v="0"/>
    <x v="2"/>
    <x v="47"/>
    <n v="7814"/>
    <n v="10"/>
    <n v="5469.7999999999993"/>
    <n v="2344.2000000000007"/>
    <n v="0.3000000000000001"/>
    <x v="6"/>
    <n v="2023"/>
  </r>
  <r>
    <x v="1089"/>
    <d v="2023-04-09T00:00:00"/>
    <x v="1"/>
    <x v="0"/>
    <x v="35"/>
    <n v="2004"/>
    <n v="7"/>
    <n v="1202.3999999999999"/>
    <n v="801.60000000000014"/>
    <n v="0.40000000000000008"/>
    <x v="1"/>
    <n v="2023"/>
  </r>
  <r>
    <x v="1090"/>
    <d v="2023-11-03T00:00:00"/>
    <x v="2"/>
    <x v="3"/>
    <x v="26"/>
    <n v="17283"/>
    <n v="1"/>
    <n v="12962.25"/>
    <n v="4320.75"/>
    <n v="0.25"/>
    <x v="3"/>
    <n v="2023"/>
  </r>
  <r>
    <x v="1091"/>
    <d v="2023-07-18T00:00:00"/>
    <x v="3"/>
    <x v="2"/>
    <x v="32"/>
    <n v="12346"/>
    <n v="1"/>
    <n v="8642.1999999999989"/>
    <n v="3703.8000000000011"/>
    <n v="0.3000000000000001"/>
    <x v="6"/>
    <n v="2023"/>
  </r>
  <r>
    <x v="1092"/>
    <d v="2023-03-16T00:00:00"/>
    <x v="0"/>
    <x v="2"/>
    <x v="46"/>
    <n v="1225"/>
    <n v="1"/>
    <n v="857.5"/>
    <n v="367.5"/>
    <n v="0.3"/>
    <x v="11"/>
    <n v="2023"/>
  </r>
  <r>
    <x v="1093"/>
    <d v="2023-02-14T00:00:00"/>
    <x v="1"/>
    <x v="2"/>
    <x v="27"/>
    <n v="5417"/>
    <n v="7"/>
    <n v="3791.8999999999996"/>
    <n v="1625.1000000000004"/>
    <n v="0.30000000000000004"/>
    <x v="8"/>
    <n v="2023"/>
  </r>
  <r>
    <x v="1094"/>
    <d v="2023-01-18T00:00:00"/>
    <x v="2"/>
    <x v="1"/>
    <x v="12"/>
    <n v="4710"/>
    <n v="3"/>
    <n v="3061.5"/>
    <n v="1648.5"/>
    <n v="0.35"/>
    <x v="9"/>
    <n v="2023"/>
  </r>
  <r>
    <x v="1095"/>
    <d v="2023-12-01T00:00:00"/>
    <x v="3"/>
    <x v="0"/>
    <x v="34"/>
    <n v="9047"/>
    <n v="3"/>
    <n v="5428.2"/>
    <n v="3618.8"/>
    <n v="0.4"/>
    <x v="7"/>
    <n v="2023"/>
  </r>
  <r>
    <x v="1096"/>
    <d v="2023-12-12T00:00:00"/>
    <x v="0"/>
    <x v="2"/>
    <x v="32"/>
    <n v="4055"/>
    <n v="4"/>
    <n v="2838.5"/>
    <n v="1216.5"/>
    <n v="0.3"/>
    <x v="7"/>
    <n v="2023"/>
  </r>
  <r>
    <x v="1097"/>
    <d v="2023-11-16T00:00:00"/>
    <x v="1"/>
    <x v="1"/>
    <x v="29"/>
    <n v="5696"/>
    <n v="4"/>
    <n v="3702.4"/>
    <n v="1993.6"/>
    <n v="0.35"/>
    <x v="3"/>
    <n v="2023"/>
  </r>
  <r>
    <x v="1098"/>
    <d v="2023-07-23T00:00:00"/>
    <x v="2"/>
    <x v="2"/>
    <x v="13"/>
    <n v="18415"/>
    <n v="9"/>
    <n v="12890.5"/>
    <n v="5524.5"/>
    <n v="0.3"/>
    <x v="6"/>
    <n v="2023"/>
  </r>
  <r>
    <x v="1099"/>
    <d v="2023-09-06T00:00:00"/>
    <x v="3"/>
    <x v="3"/>
    <x v="0"/>
    <n v="7338"/>
    <n v="6"/>
    <n v="5503.5"/>
    <n v="1834.5"/>
    <n v="0.25"/>
    <x v="10"/>
    <n v="2023"/>
  </r>
  <r>
    <x v="1100"/>
    <d v="2023-04-15T00:00:00"/>
    <x v="0"/>
    <x v="1"/>
    <x v="27"/>
    <n v="16807"/>
    <n v="7"/>
    <n v="10924.550000000001"/>
    <n v="5882.4499999999989"/>
    <n v="0.34999999999999992"/>
    <x v="1"/>
    <n v="2023"/>
  </r>
  <r>
    <x v="1101"/>
    <d v="2023-03-04T00:00:00"/>
    <x v="1"/>
    <x v="1"/>
    <x v="13"/>
    <n v="4388"/>
    <n v="9"/>
    <n v="2852.2000000000003"/>
    <n v="1535.7999999999997"/>
    <n v="0.34999999999999992"/>
    <x v="11"/>
    <n v="2023"/>
  </r>
  <r>
    <x v="1102"/>
    <d v="2023-09-03T00:00:00"/>
    <x v="2"/>
    <x v="3"/>
    <x v="47"/>
    <n v="19715"/>
    <n v="7"/>
    <n v="14786.25"/>
    <n v="4928.75"/>
    <n v="0.25"/>
    <x v="10"/>
    <n v="2023"/>
  </r>
  <r>
    <x v="1103"/>
    <d v="2023-06-28T00:00:00"/>
    <x v="3"/>
    <x v="2"/>
    <x v="12"/>
    <n v="7154"/>
    <n v="5"/>
    <n v="5007.7999999999993"/>
    <n v="2146.2000000000007"/>
    <n v="0.3000000000000001"/>
    <x v="2"/>
    <n v="2023"/>
  </r>
  <r>
    <x v="1104"/>
    <d v="2023-06-23T00:00:00"/>
    <x v="0"/>
    <x v="3"/>
    <x v="22"/>
    <n v="11155"/>
    <n v="6"/>
    <n v="8366.25"/>
    <n v="2788.75"/>
    <n v="0.25"/>
    <x v="2"/>
    <n v="2023"/>
  </r>
  <r>
    <x v="1105"/>
    <d v="2023-04-17T00:00:00"/>
    <x v="1"/>
    <x v="1"/>
    <x v="18"/>
    <n v="4332"/>
    <n v="8"/>
    <n v="2815.8"/>
    <n v="1516.1999999999998"/>
    <n v="0.35"/>
    <x v="1"/>
    <n v="2023"/>
  </r>
  <r>
    <x v="1106"/>
    <d v="2023-04-15T00:00:00"/>
    <x v="2"/>
    <x v="1"/>
    <x v="28"/>
    <n v="749"/>
    <n v="3"/>
    <n v="486.85"/>
    <n v="262.14999999999998"/>
    <n v="0.35"/>
    <x v="1"/>
    <n v="2023"/>
  </r>
  <r>
    <x v="1107"/>
    <d v="2023-10-03T00:00:00"/>
    <x v="3"/>
    <x v="0"/>
    <x v="45"/>
    <n v="18108"/>
    <n v="3"/>
    <n v="10864.8"/>
    <n v="7243.2000000000007"/>
    <n v="0.4"/>
    <x v="0"/>
    <n v="2023"/>
  </r>
  <r>
    <x v="1108"/>
    <d v="2023-08-08T00:00:00"/>
    <x v="0"/>
    <x v="0"/>
    <x v="26"/>
    <n v="13916"/>
    <n v="3"/>
    <n v="8349.6"/>
    <n v="5566.4"/>
    <n v="0.39999999999999997"/>
    <x v="5"/>
    <n v="2023"/>
  </r>
  <r>
    <x v="1109"/>
    <d v="2023-07-21T00:00:00"/>
    <x v="1"/>
    <x v="1"/>
    <x v="41"/>
    <n v="8999"/>
    <n v="7"/>
    <n v="5849.35"/>
    <n v="3149.6499999999996"/>
    <n v="0.35"/>
    <x v="6"/>
    <n v="2023"/>
  </r>
  <r>
    <x v="1110"/>
    <d v="2023-08-26T00:00:00"/>
    <x v="2"/>
    <x v="3"/>
    <x v="13"/>
    <n v="2362"/>
    <n v="8"/>
    <n v="1771.5"/>
    <n v="590.5"/>
    <n v="0.25"/>
    <x v="5"/>
    <n v="2023"/>
  </r>
  <r>
    <x v="1111"/>
    <d v="2023-09-02T00:00:00"/>
    <x v="3"/>
    <x v="1"/>
    <x v="2"/>
    <n v="9033"/>
    <n v="8"/>
    <n v="5871.45"/>
    <n v="3161.55"/>
    <n v="0.35000000000000003"/>
    <x v="10"/>
    <n v="2023"/>
  </r>
  <r>
    <x v="1112"/>
    <d v="2023-07-22T00:00:00"/>
    <x v="0"/>
    <x v="0"/>
    <x v="37"/>
    <n v="12053"/>
    <n v="6"/>
    <n v="7231.8"/>
    <n v="4821.2"/>
    <n v="0.39999999999999997"/>
    <x v="6"/>
    <n v="2023"/>
  </r>
  <r>
    <x v="1113"/>
    <d v="2023-07-14T00:00:00"/>
    <x v="1"/>
    <x v="2"/>
    <x v="45"/>
    <n v="10313"/>
    <n v="8"/>
    <n v="7219.0999999999995"/>
    <n v="3093.9000000000005"/>
    <n v="0.30000000000000004"/>
    <x v="6"/>
    <n v="2023"/>
  </r>
  <r>
    <x v="1114"/>
    <d v="2023-07-12T00:00:00"/>
    <x v="2"/>
    <x v="3"/>
    <x v="42"/>
    <n v="15870"/>
    <n v="5"/>
    <n v="11902.5"/>
    <n v="3967.5"/>
    <n v="0.25"/>
    <x v="6"/>
    <n v="2023"/>
  </r>
  <r>
    <x v="1115"/>
    <d v="2023-03-06T00:00:00"/>
    <x v="3"/>
    <x v="0"/>
    <x v="4"/>
    <n v="5826"/>
    <n v="5"/>
    <n v="3495.6"/>
    <n v="2330.4"/>
    <n v="0.4"/>
    <x v="11"/>
    <n v="2023"/>
  </r>
  <r>
    <x v="1116"/>
    <d v="2023-05-15T00:00:00"/>
    <x v="0"/>
    <x v="3"/>
    <x v="37"/>
    <n v="12775"/>
    <n v="7"/>
    <n v="9581.25"/>
    <n v="3193.75"/>
    <n v="0.25"/>
    <x v="4"/>
    <n v="2023"/>
  </r>
  <r>
    <x v="1117"/>
    <d v="2023-04-25T00:00:00"/>
    <x v="1"/>
    <x v="1"/>
    <x v="21"/>
    <n v="4692"/>
    <n v="1"/>
    <n v="3049.8"/>
    <n v="1642.1999999999998"/>
    <n v="0.35"/>
    <x v="1"/>
    <n v="2023"/>
  </r>
  <r>
    <x v="1118"/>
    <d v="2023-04-08T00:00:00"/>
    <x v="2"/>
    <x v="0"/>
    <x v="14"/>
    <n v="3161"/>
    <n v="9"/>
    <n v="1896.6"/>
    <n v="1264.4000000000001"/>
    <n v="0.4"/>
    <x v="1"/>
    <n v="2023"/>
  </r>
  <r>
    <x v="1119"/>
    <d v="2023-09-24T00:00:00"/>
    <x v="3"/>
    <x v="3"/>
    <x v="19"/>
    <n v="13074"/>
    <n v="6"/>
    <n v="9805.5"/>
    <n v="3268.5"/>
    <n v="0.25"/>
    <x v="10"/>
    <n v="2023"/>
  </r>
  <r>
    <x v="1120"/>
    <d v="2023-02-19T00:00:00"/>
    <x v="0"/>
    <x v="0"/>
    <x v="32"/>
    <n v="16805"/>
    <n v="1"/>
    <n v="10083"/>
    <n v="6722"/>
    <n v="0.4"/>
    <x v="8"/>
    <n v="2023"/>
  </r>
  <r>
    <x v="1121"/>
    <d v="2023-07-17T00:00:00"/>
    <x v="1"/>
    <x v="1"/>
    <x v="16"/>
    <n v="5976"/>
    <n v="3"/>
    <n v="3884.4"/>
    <n v="2091.6"/>
    <n v="0.35"/>
    <x v="6"/>
    <n v="2023"/>
  </r>
  <r>
    <x v="1122"/>
    <d v="2023-04-07T00:00:00"/>
    <x v="2"/>
    <x v="0"/>
    <x v="44"/>
    <n v="10823"/>
    <n v="5"/>
    <n v="6493.8"/>
    <n v="4329.2"/>
    <n v="0.39999999999999997"/>
    <x v="1"/>
    <n v="2023"/>
  </r>
  <r>
    <x v="1123"/>
    <d v="2023-03-14T00:00:00"/>
    <x v="3"/>
    <x v="0"/>
    <x v="5"/>
    <n v="16849"/>
    <n v="8"/>
    <n v="10109.4"/>
    <n v="6739.6"/>
    <n v="0.4"/>
    <x v="11"/>
    <n v="2023"/>
  </r>
  <r>
    <x v="1124"/>
    <d v="2023-01-18T00:00:00"/>
    <x v="0"/>
    <x v="3"/>
    <x v="24"/>
    <n v="7874"/>
    <n v="2"/>
    <n v="5905.5"/>
    <n v="1968.5"/>
    <n v="0.25"/>
    <x v="9"/>
    <n v="2023"/>
  </r>
  <r>
    <x v="1125"/>
    <d v="2023-08-20T00:00:00"/>
    <x v="1"/>
    <x v="0"/>
    <x v="11"/>
    <n v="17597"/>
    <n v="7"/>
    <n v="10558.199999999999"/>
    <n v="7038.8000000000011"/>
    <n v="0.40000000000000008"/>
    <x v="5"/>
    <n v="2023"/>
  </r>
  <r>
    <x v="1126"/>
    <d v="2023-09-07T00:00:00"/>
    <x v="2"/>
    <x v="1"/>
    <x v="16"/>
    <n v="13179"/>
    <n v="1"/>
    <n v="8566.35"/>
    <n v="4612.6499999999996"/>
    <n v="0.35"/>
    <x v="10"/>
    <n v="2023"/>
  </r>
  <r>
    <x v="1127"/>
    <d v="2023-09-27T00:00:00"/>
    <x v="3"/>
    <x v="2"/>
    <x v="2"/>
    <n v="17071"/>
    <n v="8"/>
    <n v="11949.699999999999"/>
    <n v="5121.3000000000011"/>
    <n v="0.30000000000000004"/>
    <x v="10"/>
    <n v="2023"/>
  </r>
  <r>
    <x v="1128"/>
    <d v="2023-11-18T00:00:00"/>
    <x v="0"/>
    <x v="2"/>
    <x v="10"/>
    <n v="12592"/>
    <n v="10"/>
    <n v="8814.4"/>
    <n v="3777.6000000000004"/>
    <n v="0.30000000000000004"/>
    <x v="3"/>
    <n v="2023"/>
  </r>
  <r>
    <x v="1129"/>
    <d v="2023-04-16T00:00:00"/>
    <x v="1"/>
    <x v="1"/>
    <x v="41"/>
    <n v="6574"/>
    <n v="8"/>
    <n v="4273.1000000000004"/>
    <n v="2300.8999999999996"/>
    <n v="0.34999999999999992"/>
    <x v="1"/>
    <n v="2023"/>
  </r>
  <r>
    <x v="1130"/>
    <d v="2023-03-17T00:00:00"/>
    <x v="2"/>
    <x v="2"/>
    <x v="9"/>
    <n v="14119"/>
    <n v="5"/>
    <n v="9883.2999999999993"/>
    <n v="4235.7000000000007"/>
    <n v="0.30000000000000004"/>
    <x v="11"/>
    <n v="2023"/>
  </r>
  <r>
    <x v="1131"/>
    <d v="2023-08-10T00:00:00"/>
    <x v="3"/>
    <x v="0"/>
    <x v="5"/>
    <n v="19847"/>
    <n v="5"/>
    <n v="11908.199999999999"/>
    <n v="7938.8000000000011"/>
    <n v="0.40000000000000008"/>
    <x v="5"/>
    <n v="2023"/>
  </r>
  <r>
    <x v="1132"/>
    <d v="2023-12-05T00:00:00"/>
    <x v="0"/>
    <x v="0"/>
    <x v="4"/>
    <n v="3364"/>
    <n v="6"/>
    <n v="2018.3999999999999"/>
    <n v="1345.6000000000001"/>
    <n v="0.4"/>
    <x v="7"/>
    <n v="2023"/>
  </r>
  <r>
    <x v="1133"/>
    <d v="2023-09-22T00:00:00"/>
    <x v="1"/>
    <x v="3"/>
    <x v="31"/>
    <n v="6675"/>
    <n v="9"/>
    <n v="5006.25"/>
    <n v="1668.75"/>
    <n v="0.25"/>
    <x v="10"/>
    <n v="2023"/>
  </r>
  <r>
    <x v="1134"/>
    <d v="2023-05-01T00:00:00"/>
    <x v="2"/>
    <x v="1"/>
    <x v="48"/>
    <n v="19903"/>
    <n v="9"/>
    <n v="12936.95"/>
    <n v="6966.0499999999993"/>
    <n v="0.35"/>
    <x v="4"/>
    <n v="2023"/>
  </r>
  <r>
    <x v="1135"/>
    <d v="2023-01-07T00:00:00"/>
    <x v="3"/>
    <x v="3"/>
    <x v="40"/>
    <n v="19681"/>
    <n v="10"/>
    <n v="14760.75"/>
    <n v="4920.25"/>
    <n v="0.25"/>
    <x v="9"/>
    <n v="2023"/>
  </r>
  <r>
    <x v="1136"/>
    <d v="2023-12-05T00:00:00"/>
    <x v="0"/>
    <x v="1"/>
    <x v="12"/>
    <n v="7246"/>
    <n v="8"/>
    <n v="4709.9000000000005"/>
    <n v="2536.0999999999995"/>
    <n v="0.34999999999999992"/>
    <x v="7"/>
    <n v="2023"/>
  </r>
  <r>
    <x v="1137"/>
    <d v="2023-08-22T00:00:00"/>
    <x v="1"/>
    <x v="0"/>
    <x v="30"/>
    <n v="1485"/>
    <n v="7"/>
    <n v="891"/>
    <n v="594"/>
    <n v="0.4"/>
    <x v="5"/>
    <n v="2023"/>
  </r>
  <r>
    <x v="1138"/>
    <d v="2023-05-07T00:00:00"/>
    <x v="2"/>
    <x v="3"/>
    <x v="20"/>
    <n v="9437"/>
    <n v="5"/>
    <n v="7077.75"/>
    <n v="2359.25"/>
    <n v="0.25"/>
    <x v="4"/>
    <n v="2023"/>
  </r>
  <r>
    <x v="1139"/>
    <d v="2023-07-22T00:00:00"/>
    <x v="3"/>
    <x v="3"/>
    <x v="31"/>
    <n v="4110"/>
    <n v="3"/>
    <n v="3082.5"/>
    <n v="1027.5"/>
    <n v="0.25"/>
    <x v="6"/>
    <n v="2023"/>
  </r>
  <r>
    <x v="1140"/>
    <d v="2023-03-03T00:00:00"/>
    <x v="0"/>
    <x v="3"/>
    <x v="39"/>
    <n v="10822"/>
    <n v="7"/>
    <n v="8116.5"/>
    <n v="2705.5"/>
    <n v="0.25"/>
    <x v="11"/>
    <n v="2023"/>
  </r>
  <r>
    <x v="1141"/>
    <d v="2023-11-25T00:00:00"/>
    <x v="1"/>
    <x v="1"/>
    <x v="16"/>
    <n v="8386"/>
    <n v="5"/>
    <n v="5450.9000000000005"/>
    <n v="2935.0999999999995"/>
    <n v="0.34999999999999992"/>
    <x v="3"/>
    <n v="2023"/>
  </r>
  <r>
    <x v="1142"/>
    <d v="2023-08-09T00:00:00"/>
    <x v="2"/>
    <x v="3"/>
    <x v="47"/>
    <n v="6805"/>
    <n v="5"/>
    <n v="5103.75"/>
    <n v="1701.25"/>
    <n v="0.25"/>
    <x v="5"/>
    <n v="2023"/>
  </r>
  <r>
    <x v="1143"/>
    <d v="2023-10-01T00:00:00"/>
    <x v="3"/>
    <x v="2"/>
    <x v="5"/>
    <n v="15535"/>
    <n v="8"/>
    <n v="10874.5"/>
    <n v="4660.5"/>
    <n v="0.3"/>
    <x v="0"/>
    <n v="2023"/>
  </r>
  <r>
    <x v="1144"/>
    <d v="2023-04-17T00:00:00"/>
    <x v="0"/>
    <x v="2"/>
    <x v="29"/>
    <n v="15179"/>
    <n v="1"/>
    <n v="10625.3"/>
    <n v="4553.7000000000007"/>
    <n v="0.30000000000000004"/>
    <x v="1"/>
    <n v="2023"/>
  </r>
  <r>
    <x v="1145"/>
    <d v="2023-07-14T00:00:00"/>
    <x v="1"/>
    <x v="3"/>
    <x v="11"/>
    <n v="13879"/>
    <n v="3"/>
    <n v="10409.25"/>
    <n v="3469.75"/>
    <n v="0.25"/>
    <x v="6"/>
    <n v="2023"/>
  </r>
  <r>
    <x v="1146"/>
    <d v="2023-12-16T00:00:00"/>
    <x v="2"/>
    <x v="0"/>
    <x v="39"/>
    <n v="13481"/>
    <n v="5"/>
    <n v="8088.5999999999995"/>
    <n v="5392.4000000000005"/>
    <n v="0.4"/>
    <x v="7"/>
    <n v="2023"/>
  </r>
  <r>
    <x v="1147"/>
    <d v="2023-12-06T00:00:00"/>
    <x v="3"/>
    <x v="3"/>
    <x v="42"/>
    <n v="6397"/>
    <n v="2"/>
    <n v="4797.75"/>
    <n v="1599.25"/>
    <n v="0.25"/>
    <x v="7"/>
    <n v="2023"/>
  </r>
  <r>
    <x v="1148"/>
    <d v="2023-05-22T00:00:00"/>
    <x v="0"/>
    <x v="3"/>
    <x v="42"/>
    <n v="1503"/>
    <n v="2"/>
    <n v="1127.25"/>
    <n v="375.75"/>
    <n v="0.25"/>
    <x v="4"/>
    <n v="2023"/>
  </r>
  <r>
    <x v="1149"/>
    <d v="2023-11-20T00:00:00"/>
    <x v="1"/>
    <x v="3"/>
    <x v="41"/>
    <n v="6363"/>
    <n v="7"/>
    <n v="4772.25"/>
    <n v="1590.75"/>
    <n v="0.25"/>
    <x v="3"/>
    <n v="2023"/>
  </r>
  <r>
    <x v="1150"/>
    <d v="2023-11-28T00:00:00"/>
    <x v="2"/>
    <x v="2"/>
    <x v="31"/>
    <n v="5926"/>
    <n v="1"/>
    <n v="4148.2"/>
    <n v="1777.8000000000002"/>
    <n v="0.30000000000000004"/>
    <x v="3"/>
    <n v="2023"/>
  </r>
  <r>
    <x v="1151"/>
    <d v="2023-08-28T00:00:00"/>
    <x v="3"/>
    <x v="0"/>
    <x v="33"/>
    <n v="4699"/>
    <n v="4"/>
    <n v="2819.4"/>
    <n v="1879.6"/>
    <n v="0.39999999999999997"/>
    <x v="5"/>
    <n v="2023"/>
  </r>
  <r>
    <x v="1152"/>
    <d v="2023-04-17T00:00:00"/>
    <x v="0"/>
    <x v="2"/>
    <x v="20"/>
    <n v="10489"/>
    <n v="10"/>
    <n v="7342.2999999999993"/>
    <n v="3146.7000000000007"/>
    <n v="0.30000000000000004"/>
    <x v="1"/>
    <n v="2023"/>
  </r>
  <r>
    <x v="1153"/>
    <d v="2023-01-04T00:00:00"/>
    <x v="1"/>
    <x v="3"/>
    <x v="1"/>
    <n v="4955"/>
    <n v="1"/>
    <n v="3716.25"/>
    <n v="1238.75"/>
    <n v="0.25"/>
    <x v="9"/>
    <n v="2023"/>
  </r>
  <r>
    <x v="1154"/>
    <d v="2023-09-09T00:00:00"/>
    <x v="2"/>
    <x v="0"/>
    <x v="12"/>
    <n v="916"/>
    <n v="6"/>
    <n v="549.6"/>
    <n v="366.4"/>
    <n v="0.39999999999999997"/>
    <x v="10"/>
    <n v="2023"/>
  </r>
  <r>
    <x v="1155"/>
    <d v="2023-03-01T00:00:00"/>
    <x v="3"/>
    <x v="1"/>
    <x v="11"/>
    <n v="17311"/>
    <n v="1"/>
    <n v="11252.15"/>
    <n v="6058.85"/>
    <n v="0.35000000000000003"/>
    <x v="11"/>
    <n v="2023"/>
  </r>
  <r>
    <x v="1156"/>
    <d v="2023-03-04T00:00:00"/>
    <x v="0"/>
    <x v="3"/>
    <x v="19"/>
    <n v="9305"/>
    <n v="9"/>
    <n v="6978.75"/>
    <n v="2326.25"/>
    <n v="0.25"/>
    <x v="11"/>
    <n v="2023"/>
  </r>
  <r>
    <x v="1157"/>
    <d v="2023-11-09T00:00:00"/>
    <x v="1"/>
    <x v="2"/>
    <x v="43"/>
    <n v="3330"/>
    <n v="8"/>
    <n v="2331"/>
    <n v="999"/>
    <n v="0.3"/>
    <x v="3"/>
    <n v="2023"/>
  </r>
  <r>
    <x v="1158"/>
    <d v="2023-09-25T00:00:00"/>
    <x v="2"/>
    <x v="0"/>
    <x v="34"/>
    <n v="2078"/>
    <n v="1"/>
    <n v="1246.8"/>
    <n v="831.2"/>
    <n v="0.4"/>
    <x v="10"/>
    <n v="2023"/>
  </r>
  <r>
    <x v="1159"/>
    <d v="2023-10-13T00:00:00"/>
    <x v="3"/>
    <x v="2"/>
    <x v="18"/>
    <n v="15493"/>
    <n v="10"/>
    <n v="10845.099999999999"/>
    <n v="4647.9000000000015"/>
    <n v="0.3000000000000001"/>
    <x v="0"/>
    <n v="2023"/>
  </r>
  <r>
    <x v="1160"/>
    <d v="2023-08-26T00:00:00"/>
    <x v="0"/>
    <x v="3"/>
    <x v="6"/>
    <n v="13571"/>
    <n v="9"/>
    <n v="10178.25"/>
    <n v="3392.75"/>
    <n v="0.25"/>
    <x v="5"/>
    <n v="2023"/>
  </r>
  <r>
    <x v="1161"/>
    <d v="2023-01-10T00:00:00"/>
    <x v="1"/>
    <x v="0"/>
    <x v="15"/>
    <n v="2778"/>
    <n v="9"/>
    <n v="1666.8"/>
    <n v="1111.2"/>
    <n v="0.4"/>
    <x v="9"/>
    <n v="2023"/>
  </r>
  <r>
    <x v="1162"/>
    <d v="2023-04-20T00:00:00"/>
    <x v="2"/>
    <x v="2"/>
    <x v="9"/>
    <n v="10550"/>
    <n v="5"/>
    <n v="7384.9999999999991"/>
    <n v="3165.0000000000009"/>
    <n v="0.3000000000000001"/>
    <x v="1"/>
    <n v="2023"/>
  </r>
  <r>
    <x v="1163"/>
    <d v="2023-02-24T00:00:00"/>
    <x v="3"/>
    <x v="3"/>
    <x v="27"/>
    <n v="16450"/>
    <n v="6"/>
    <n v="12337.5"/>
    <n v="4112.5"/>
    <n v="0.25"/>
    <x v="8"/>
    <n v="2023"/>
  </r>
  <r>
    <x v="1164"/>
    <d v="2023-06-08T00:00:00"/>
    <x v="0"/>
    <x v="3"/>
    <x v="28"/>
    <n v="5482"/>
    <n v="6"/>
    <n v="4111.5"/>
    <n v="1370.5"/>
    <n v="0.25"/>
    <x v="2"/>
    <n v="2023"/>
  </r>
  <r>
    <x v="1165"/>
    <d v="2023-12-04T00:00:00"/>
    <x v="1"/>
    <x v="1"/>
    <x v="25"/>
    <n v="19118"/>
    <n v="5"/>
    <n v="12426.7"/>
    <n v="6691.2999999999993"/>
    <n v="0.35"/>
    <x v="7"/>
    <n v="2023"/>
  </r>
  <r>
    <x v="1166"/>
    <d v="2023-08-28T00:00:00"/>
    <x v="2"/>
    <x v="2"/>
    <x v="21"/>
    <n v="14099"/>
    <n v="5"/>
    <n v="9869.2999999999993"/>
    <n v="4229.7000000000007"/>
    <n v="0.30000000000000004"/>
    <x v="5"/>
    <n v="2023"/>
  </r>
  <r>
    <x v="1167"/>
    <d v="2023-11-04T00:00:00"/>
    <x v="3"/>
    <x v="0"/>
    <x v="31"/>
    <n v="11130"/>
    <n v="3"/>
    <n v="6678"/>
    <n v="4452"/>
    <n v="0.4"/>
    <x v="3"/>
    <n v="2023"/>
  </r>
  <r>
    <x v="1168"/>
    <d v="2023-03-28T00:00:00"/>
    <x v="0"/>
    <x v="3"/>
    <x v="40"/>
    <n v="11839"/>
    <n v="1"/>
    <n v="8879.25"/>
    <n v="2959.75"/>
    <n v="0.25"/>
    <x v="11"/>
    <n v="2023"/>
  </r>
  <r>
    <x v="1169"/>
    <d v="2023-01-14T00:00:00"/>
    <x v="1"/>
    <x v="2"/>
    <x v="4"/>
    <n v="13469"/>
    <n v="5"/>
    <n v="9428.2999999999993"/>
    <n v="4040.7000000000007"/>
    <n v="0.30000000000000004"/>
    <x v="9"/>
    <n v="2023"/>
  </r>
  <r>
    <x v="1170"/>
    <d v="2023-11-01T00:00:00"/>
    <x v="2"/>
    <x v="2"/>
    <x v="23"/>
    <n v="13369"/>
    <n v="7"/>
    <n v="9358.2999999999993"/>
    <n v="4010.7000000000007"/>
    <n v="0.30000000000000004"/>
    <x v="3"/>
    <n v="2023"/>
  </r>
  <r>
    <x v="1171"/>
    <d v="2023-10-25T00:00:00"/>
    <x v="3"/>
    <x v="0"/>
    <x v="41"/>
    <n v="16295"/>
    <n v="9"/>
    <n v="9777"/>
    <n v="6518"/>
    <n v="0.4"/>
    <x v="0"/>
    <n v="2023"/>
  </r>
  <r>
    <x v="1172"/>
    <d v="2023-12-27T00:00:00"/>
    <x v="0"/>
    <x v="2"/>
    <x v="21"/>
    <n v="18689"/>
    <n v="2"/>
    <n v="13082.3"/>
    <n v="5606.7000000000007"/>
    <n v="0.30000000000000004"/>
    <x v="7"/>
    <n v="2023"/>
  </r>
  <r>
    <x v="1173"/>
    <d v="2023-09-20T00:00:00"/>
    <x v="1"/>
    <x v="2"/>
    <x v="13"/>
    <n v="5985"/>
    <n v="7"/>
    <n v="4189.5"/>
    <n v="1795.5"/>
    <n v="0.3"/>
    <x v="10"/>
    <n v="2023"/>
  </r>
  <r>
    <x v="1174"/>
    <d v="2023-09-02T00:00:00"/>
    <x v="2"/>
    <x v="0"/>
    <x v="35"/>
    <n v="15316"/>
    <n v="8"/>
    <n v="9189.6"/>
    <n v="6126.4"/>
    <n v="0.39999999999999997"/>
    <x v="10"/>
    <n v="2023"/>
  </r>
  <r>
    <x v="1175"/>
    <d v="2023-08-06T00:00:00"/>
    <x v="3"/>
    <x v="0"/>
    <x v="32"/>
    <n v="18346"/>
    <n v="1"/>
    <n v="11007.6"/>
    <n v="7338.4"/>
    <n v="0.39999999999999997"/>
    <x v="5"/>
    <n v="2023"/>
  </r>
  <r>
    <x v="1176"/>
    <d v="2023-04-02T00:00:00"/>
    <x v="0"/>
    <x v="2"/>
    <x v="34"/>
    <n v="7488"/>
    <n v="8"/>
    <n v="5241.5999999999995"/>
    <n v="2246.4000000000005"/>
    <n v="0.3000000000000001"/>
    <x v="1"/>
    <n v="2023"/>
  </r>
  <r>
    <x v="1177"/>
    <d v="2023-06-21T00:00:00"/>
    <x v="1"/>
    <x v="0"/>
    <x v="48"/>
    <n v="9059"/>
    <n v="10"/>
    <n v="5435.4"/>
    <n v="3623.6000000000004"/>
    <n v="0.4"/>
    <x v="2"/>
    <n v="2023"/>
  </r>
  <r>
    <x v="1178"/>
    <d v="2023-03-10T00:00:00"/>
    <x v="2"/>
    <x v="0"/>
    <x v="22"/>
    <n v="7613"/>
    <n v="2"/>
    <n v="4567.8"/>
    <n v="3045.2"/>
    <n v="0.39999999999999997"/>
    <x v="11"/>
    <n v="2023"/>
  </r>
  <r>
    <x v="1179"/>
    <d v="2023-06-17T00:00:00"/>
    <x v="3"/>
    <x v="2"/>
    <x v="3"/>
    <n v="7766"/>
    <n v="2"/>
    <n v="5436.2"/>
    <n v="2329.8000000000002"/>
    <n v="0.30000000000000004"/>
    <x v="2"/>
    <n v="2023"/>
  </r>
  <r>
    <x v="1180"/>
    <d v="2023-07-10T00:00:00"/>
    <x v="0"/>
    <x v="2"/>
    <x v="0"/>
    <n v="507"/>
    <n v="8"/>
    <n v="354.9"/>
    <n v="152.10000000000002"/>
    <n v="0.30000000000000004"/>
    <x v="6"/>
    <n v="2023"/>
  </r>
  <r>
    <x v="1181"/>
    <d v="2023-03-18T00:00:00"/>
    <x v="1"/>
    <x v="0"/>
    <x v="22"/>
    <n v="12655"/>
    <n v="9"/>
    <n v="7593"/>
    <n v="5062"/>
    <n v="0.4"/>
    <x v="11"/>
    <n v="2023"/>
  </r>
  <r>
    <x v="1182"/>
    <d v="2023-10-07T00:00:00"/>
    <x v="2"/>
    <x v="1"/>
    <x v="14"/>
    <n v="17671"/>
    <n v="4"/>
    <n v="11486.15"/>
    <n v="6184.85"/>
    <n v="0.35000000000000003"/>
    <x v="0"/>
    <n v="2023"/>
  </r>
  <r>
    <x v="1183"/>
    <d v="2023-11-22T00:00:00"/>
    <x v="3"/>
    <x v="1"/>
    <x v="39"/>
    <n v="19817"/>
    <n v="10"/>
    <n v="12881.050000000001"/>
    <n v="6935.9499999999989"/>
    <n v="0.34999999999999992"/>
    <x v="3"/>
    <n v="2023"/>
  </r>
  <r>
    <x v="1184"/>
    <d v="2023-01-28T00:00:00"/>
    <x v="0"/>
    <x v="2"/>
    <x v="46"/>
    <n v="11802"/>
    <n v="2"/>
    <n v="8261.4"/>
    <n v="3540.6000000000004"/>
    <n v="0.30000000000000004"/>
    <x v="9"/>
    <n v="2023"/>
  </r>
  <r>
    <x v="1185"/>
    <d v="2023-08-12T00:00:00"/>
    <x v="1"/>
    <x v="2"/>
    <x v="47"/>
    <n v="2671"/>
    <n v="6"/>
    <n v="1869.6999999999998"/>
    <n v="801.30000000000018"/>
    <n v="0.30000000000000004"/>
    <x v="5"/>
    <n v="2023"/>
  </r>
  <r>
    <x v="1186"/>
    <d v="2023-02-06T00:00:00"/>
    <x v="2"/>
    <x v="0"/>
    <x v="8"/>
    <n v="9345"/>
    <n v="8"/>
    <n v="5607"/>
    <n v="3738"/>
    <n v="0.4"/>
    <x v="8"/>
    <n v="2023"/>
  </r>
  <r>
    <x v="1187"/>
    <d v="2023-01-28T00:00:00"/>
    <x v="3"/>
    <x v="2"/>
    <x v="21"/>
    <n v="7299"/>
    <n v="6"/>
    <n v="5109.2999999999993"/>
    <n v="2189.7000000000007"/>
    <n v="0.3000000000000001"/>
    <x v="9"/>
    <n v="2023"/>
  </r>
  <r>
    <x v="1188"/>
    <d v="2023-11-16T00:00:00"/>
    <x v="0"/>
    <x v="3"/>
    <x v="15"/>
    <n v="6151"/>
    <n v="6"/>
    <n v="4613.25"/>
    <n v="1537.75"/>
    <n v="0.25"/>
    <x v="3"/>
    <n v="2023"/>
  </r>
  <r>
    <x v="1189"/>
    <d v="2023-06-08T00:00:00"/>
    <x v="1"/>
    <x v="2"/>
    <x v="29"/>
    <n v="18571"/>
    <n v="7"/>
    <n v="12999.699999999999"/>
    <n v="5571.3000000000011"/>
    <n v="0.30000000000000004"/>
    <x v="2"/>
    <n v="2023"/>
  </r>
  <r>
    <x v="1190"/>
    <d v="2023-11-13T00:00:00"/>
    <x v="2"/>
    <x v="3"/>
    <x v="15"/>
    <n v="3752"/>
    <n v="5"/>
    <n v="2814"/>
    <n v="938"/>
    <n v="0.25"/>
    <x v="3"/>
    <n v="2023"/>
  </r>
  <r>
    <x v="1191"/>
    <d v="2023-09-25T00:00:00"/>
    <x v="3"/>
    <x v="3"/>
    <x v="34"/>
    <n v="5537"/>
    <n v="4"/>
    <n v="4152.75"/>
    <n v="1384.25"/>
    <n v="0.25"/>
    <x v="10"/>
    <n v="2023"/>
  </r>
  <r>
    <x v="1192"/>
    <d v="2023-11-15T00:00:00"/>
    <x v="0"/>
    <x v="1"/>
    <x v="42"/>
    <n v="19402"/>
    <n v="3"/>
    <n v="12611.300000000001"/>
    <n v="6790.6999999999989"/>
    <n v="0.34999999999999992"/>
    <x v="3"/>
    <n v="2023"/>
  </r>
  <r>
    <x v="1193"/>
    <d v="2023-05-17T00:00:00"/>
    <x v="1"/>
    <x v="0"/>
    <x v="7"/>
    <n v="9513"/>
    <n v="3"/>
    <n v="5707.8"/>
    <n v="3805.2"/>
    <n v="0.39999999999999997"/>
    <x v="4"/>
    <n v="2023"/>
  </r>
  <r>
    <x v="1194"/>
    <d v="2023-09-05T00:00:00"/>
    <x v="2"/>
    <x v="3"/>
    <x v="18"/>
    <n v="2103"/>
    <n v="3"/>
    <n v="1577.25"/>
    <n v="525.75"/>
    <n v="0.25"/>
    <x v="10"/>
    <n v="2023"/>
  </r>
  <r>
    <x v="1195"/>
    <d v="2023-10-11T00:00:00"/>
    <x v="3"/>
    <x v="0"/>
    <x v="44"/>
    <n v="12773"/>
    <n v="4"/>
    <n v="7663.7999999999993"/>
    <n v="5109.2000000000007"/>
    <n v="0.40000000000000008"/>
    <x v="0"/>
    <n v="2023"/>
  </r>
  <r>
    <x v="1196"/>
    <d v="2023-03-16T00:00:00"/>
    <x v="0"/>
    <x v="2"/>
    <x v="19"/>
    <n v="12481"/>
    <n v="2"/>
    <n v="8736.6999999999989"/>
    <n v="3744.3000000000011"/>
    <n v="0.3000000000000001"/>
    <x v="11"/>
    <n v="2023"/>
  </r>
  <r>
    <x v="1197"/>
    <d v="2023-07-23T00:00:00"/>
    <x v="1"/>
    <x v="1"/>
    <x v="10"/>
    <n v="3710"/>
    <n v="3"/>
    <n v="2411.5"/>
    <n v="1298.5"/>
    <n v="0.35"/>
    <x v="6"/>
    <n v="2023"/>
  </r>
  <r>
    <x v="1198"/>
    <d v="2023-05-17T00:00:00"/>
    <x v="2"/>
    <x v="0"/>
    <x v="44"/>
    <n v="1862"/>
    <n v="3"/>
    <n v="1117.2"/>
    <n v="744.8"/>
    <n v="0.39999999999999997"/>
    <x v="4"/>
    <n v="2023"/>
  </r>
  <r>
    <x v="1199"/>
    <d v="2023-10-14T00:00:00"/>
    <x v="3"/>
    <x v="0"/>
    <x v="19"/>
    <n v="9598"/>
    <n v="6"/>
    <n v="5758.8"/>
    <n v="3839.2"/>
    <n v="0.39999999999999997"/>
    <x v="0"/>
    <n v="2023"/>
  </r>
  <r>
    <x v="1200"/>
    <d v="2023-10-22T00:00:00"/>
    <x v="0"/>
    <x v="2"/>
    <x v="2"/>
    <n v="3773"/>
    <n v="6"/>
    <n v="2641.1"/>
    <n v="1131.9000000000001"/>
    <n v="0.30000000000000004"/>
    <x v="0"/>
    <n v="2023"/>
  </r>
  <r>
    <x v="1201"/>
    <d v="2023-11-09T00:00:00"/>
    <x v="1"/>
    <x v="3"/>
    <x v="18"/>
    <n v="5513"/>
    <n v="7"/>
    <n v="4134.75"/>
    <n v="1378.25"/>
    <n v="0.25"/>
    <x v="3"/>
    <n v="2023"/>
  </r>
  <r>
    <x v="1202"/>
    <d v="2023-11-02T00:00:00"/>
    <x v="2"/>
    <x v="1"/>
    <x v="5"/>
    <n v="14876"/>
    <n v="2"/>
    <n v="9669.4"/>
    <n v="5206.6000000000004"/>
    <n v="0.35000000000000003"/>
    <x v="3"/>
    <n v="2023"/>
  </r>
  <r>
    <x v="1203"/>
    <d v="2023-02-11T00:00:00"/>
    <x v="3"/>
    <x v="1"/>
    <x v="9"/>
    <n v="14295"/>
    <n v="4"/>
    <n v="9291.75"/>
    <n v="5003.25"/>
    <n v="0.35"/>
    <x v="8"/>
    <n v="2023"/>
  </r>
  <r>
    <x v="1204"/>
    <d v="2023-07-02T00:00:00"/>
    <x v="0"/>
    <x v="0"/>
    <x v="28"/>
    <n v="14331"/>
    <n v="1"/>
    <n v="8598.6"/>
    <n v="5732.4"/>
    <n v="0.39999999999999997"/>
    <x v="6"/>
    <n v="2023"/>
  </r>
  <r>
    <x v="1205"/>
    <d v="2023-11-12T00:00:00"/>
    <x v="1"/>
    <x v="0"/>
    <x v="15"/>
    <n v="4812"/>
    <n v="6"/>
    <n v="2887.2"/>
    <n v="1924.8000000000002"/>
    <n v="0.4"/>
    <x v="3"/>
    <n v="2023"/>
  </r>
  <r>
    <x v="1206"/>
    <d v="2023-02-09T00:00:00"/>
    <x v="2"/>
    <x v="0"/>
    <x v="26"/>
    <n v="19434"/>
    <n v="5"/>
    <n v="11660.4"/>
    <n v="7773.6"/>
    <n v="0.4"/>
    <x v="8"/>
    <n v="2023"/>
  </r>
  <r>
    <x v="1207"/>
    <d v="2023-04-16T00:00:00"/>
    <x v="3"/>
    <x v="0"/>
    <x v="0"/>
    <n v="19523"/>
    <n v="9"/>
    <n v="11713.8"/>
    <n v="7809.2000000000007"/>
    <n v="0.4"/>
    <x v="1"/>
    <n v="2023"/>
  </r>
  <r>
    <x v="1208"/>
    <d v="2023-02-04T00:00:00"/>
    <x v="0"/>
    <x v="3"/>
    <x v="13"/>
    <n v="18510"/>
    <n v="2"/>
    <n v="13882.5"/>
    <n v="4627.5"/>
    <n v="0.25"/>
    <x v="8"/>
    <n v="2023"/>
  </r>
  <r>
    <x v="1209"/>
    <d v="2023-09-05T00:00:00"/>
    <x v="1"/>
    <x v="2"/>
    <x v="45"/>
    <n v="17687"/>
    <n v="5"/>
    <n v="12380.9"/>
    <n v="5306.1"/>
    <n v="0.30000000000000004"/>
    <x v="10"/>
    <n v="2023"/>
  </r>
  <r>
    <x v="1210"/>
    <d v="2023-05-17T00:00:00"/>
    <x v="2"/>
    <x v="0"/>
    <x v="42"/>
    <n v="18801"/>
    <n v="10"/>
    <n v="11280.6"/>
    <n v="7520.4"/>
    <n v="0.39999999999999997"/>
    <x v="4"/>
    <n v="2023"/>
  </r>
  <r>
    <x v="1211"/>
    <d v="2023-03-24T00:00:00"/>
    <x v="3"/>
    <x v="3"/>
    <x v="31"/>
    <n v="14196"/>
    <n v="5"/>
    <n v="10647"/>
    <n v="3549"/>
    <n v="0.25"/>
    <x v="11"/>
    <n v="2023"/>
  </r>
  <r>
    <x v="1212"/>
    <d v="2023-07-20T00:00:00"/>
    <x v="0"/>
    <x v="2"/>
    <x v="39"/>
    <n v="14289"/>
    <n v="4"/>
    <n v="10002.299999999999"/>
    <n v="4286.7000000000007"/>
    <n v="0.30000000000000004"/>
    <x v="6"/>
    <n v="2023"/>
  </r>
  <r>
    <x v="1213"/>
    <d v="2023-01-22T00:00:00"/>
    <x v="1"/>
    <x v="2"/>
    <x v="49"/>
    <n v="6377"/>
    <n v="2"/>
    <n v="4463.8999999999996"/>
    <n v="1913.1000000000004"/>
    <n v="0.30000000000000004"/>
    <x v="9"/>
    <n v="2023"/>
  </r>
  <r>
    <x v="1214"/>
    <d v="2023-12-14T00:00:00"/>
    <x v="2"/>
    <x v="0"/>
    <x v="35"/>
    <n v="18420"/>
    <n v="7"/>
    <n v="11052"/>
    <n v="7368"/>
    <n v="0.4"/>
    <x v="7"/>
    <n v="2023"/>
  </r>
  <r>
    <x v="1215"/>
    <d v="2023-11-01T00:00:00"/>
    <x v="3"/>
    <x v="2"/>
    <x v="28"/>
    <n v="7144"/>
    <n v="10"/>
    <n v="5000.7999999999993"/>
    <n v="2143.2000000000007"/>
    <n v="0.3000000000000001"/>
    <x v="3"/>
    <n v="2023"/>
  </r>
  <r>
    <x v="1216"/>
    <d v="2023-04-25T00:00:00"/>
    <x v="0"/>
    <x v="0"/>
    <x v="2"/>
    <n v="19234"/>
    <n v="4"/>
    <n v="11540.4"/>
    <n v="7693.6"/>
    <n v="0.4"/>
    <x v="1"/>
    <n v="2023"/>
  </r>
  <r>
    <x v="1217"/>
    <d v="2023-04-27T00:00:00"/>
    <x v="1"/>
    <x v="3"/>
    <x v="7"/>
    <n v="9458"/>
    <n v="5"/>
    <n v="7093.5"/>
    <n v="2364.5"/>
    <n v="0.25"/>
    <x v="1"/>
    <n v="2023"/>
  </r>
  <r>
    <x v="1218"/>
    <d v="2023-12-08T00:00:00"/>
    <x v="2"/>
    <x v="0"/>
    <x v="35"/>
    <n v="4498"/>
    <n v="8"/>
    <n v="2698.7999999999997"/>
    <n v="1799.2000000000003"/>
    <n v="0.40000000000000008"/>
    <x v="7"/>
    <n v="2023"/>
  </r>
  <r>
    <x v="1219"/>
    <d v="2023-08-18T00:00:00"/>
    <x v="3"/>
    <x v="0"/>
    <x v="31"/>
    <n v="14973"/>
    <n v="7"/>
    <n v="8983.7999999999993"/>
    <n v="5989.2000000000007"/>
    <n v="0.4"/>
    <x v="5"/>
    <n v="2023"/>
  </r>
  <r>
    <x v="1220"/>
    <d v="2023-06-15T00:00:00"/>
    <x v="0"/>
    <x v="0"/>
    <x v="36"/>
    <n v="1769"/>
    <n v="8"/>
    <n v="1061.3999999999999"/>
    <n v="707.60000000000014"/>
    <n v="0.40000000000000008"/>
    <x v="2"/>
    <n v="2023"/>
  </r>
  <r>
    <x v="1221"/>
    <d v="2023-01-16T00:00:00"/>
    <x v="1"/>
    <x v="0"/>
    <x v="15"/>
    <n v="1354"/>
    <n v="4"/>
    <n v="812.4"/>
    <n v="541.6"/>
    <n v="0.4"/>
    <x v="9"/>
    <n v="2023"/>
  </r>
  <r>
    <x v="1222"/>
    <d v="2023-12-01T00:00:00"/>
    <x v="2"/>
    <x v="0"/>
    <x v="25"/>
    <n v="18762"/>
    <n v="9"/>
    <n v="11257.199999999999"/>
    <n v="7504.8000000000011"/>
    <n v="0.40000000000000008"/>
    <x v="7"/>
    <n v="2023"/>
  </r>
  <r>
    <x v="1223"/>
    <d v="2023-09-27T00:00:00"/>
    <x v="3"/>
    <x v="1"/>
    <x v="16"/>
    <n v="8631"/>
    <n v="4"/>
    <n v="5610.1500000000005"/>
    <n v="3020.8499999999995"/>
    <n v="0.34999999999999992"/>
    <x v="10"/>
    <n v="2023"/>
  </r>
  <r>
    <x v="1224"/>
    <d v="2023-08-24T00:00:00"/>
    <x v="0"/>
    <x v="3"/>
    <x v="7"/>
    <n v="7277"/>
    <n v="1"/>
    <n v="5457.75"/>
    <n v="1819.25"/>
    <n v="0.25"/>
    <x v="5"/>
    <n v="2023"/>
  </r>
  <r>
    <x v="1225"/>
    <d v="2023-05-11T00:00:00"/>
    <x v="1"/>
    <x v="0"/>
    <x v="29"/>
    <n v="7682"/>
    <n v="10"/>
    <n v="4609.2"/>
    <n v="3072.8"/>
    <n v="0.4"/>
    <x v="4"/>
    <n v="2023"/>
  </r>
  <r>
    <x v="1226"/>
    <d v="2023-12-11T00:00:00"/>
    <x v="2"/>
    <x v="2"/>
    <x v="7"/>
    <n v="19942"/>
    <n v="10"/>
    <n v="13959.4"/>
    <n v="5982.6"/>
    <n v="0.30000000000000004"/>
    <x v="7"/>
    <n v="2023"/>
  </r>
  <r>
    <x v="1227"/>
    <d v="2023-05-14T00:00:00"/>
    <x v="3"/>
    <x v="0"/>
    <x v="6"/>
    <n v="5235"/>
    <n v="1"/>
    <n v="3141"/>
    <n v="2094"/>
    <n v="0.4"/>
    <x v="4"/>
    <n v="2023"/>
  </r>
  <r>
    <x v="1228"/>
    <d v="2023-09-07T00:00:00"/>
    <x v="0"/>
    <x v="1"/>
    <x v="13"/>
    <n v="4663"/>
    <n v="9"/>
    <n v="3030.9500000000003"/>
    <n v="1632.0499999999997"/>
    <n v="0.34999999999999992"/>
    <x v="10"/>
    <n v="2023"/>
  </r>
  <r>
    <x v="1229"/>
    <d v="2023-04-11T00:00:00"/>
    <x v="1"/>
    <x v="1"/>
    <x v="43"/>
    <n v="16259"/>
    <n v="9"/>
    <n v="10568.35"/>
    <n v="5690.65"/>
    <n v="0.35"/>
    <x v="1"/>
    <n v="2023"/>
  </r>
  <r>
    <x v="1230"/>
    <d v="2023-07-10T00:00:00"/>
    <x v="2"/>
    <x v="3"/>
    <x v="29"/>
    <n v="3115"/>
    <n v="9"/>
    <n v="2336.25"/>
    <n v="778.75"/>
    <n v="0.25"/>
    <x v="6"/>
    <n v="2023"/>
  </r>
  <r>
    <x v="1231"/>
    <d v="2023-07-19T00:00:00"/>
    <x v="3"/>
    <x v="3"/>
    <x v="23"/>
    <n v="11723"/>
    <n v="9"/>
    <n v="8792.25"/>
    <n v="2930.75"/>
    <n v="0.25"/>
    <x v="6"/>
    <n v="2023"/>
  </r>
  <r>
    <x v="1232"/>
    <d v="2023-04-15T00:00:00"/>
    <x v="0"/>
    <x v="2"/>
    <x v="41"/>
    <n v="5130"/>
    <n v="7"/>
    <n v="3590.9999999999995"/>
    <n v="1539.0000000000005"/>
    <n v="0.3000000000000001"/>
    <x v="1"/>
    <n v="2023"/>
  </r>
  <r>
    <x v="1233"/>
    <d v="2023-02-15T00:00:00"/>
    <x v="1"/>
    <x v="2"/>
    <x v="37"/>
    <n v="19612"/>
    <n v="6"/>
    <n v="13728.4"/>
    <n v="5883.6"/>
    <n v="0.30000000000000004"/>
    <x v="8"/>
    <n v="2023"/>
  </r>
  <r>
    <x v="1234"/>
    <d v="2023-02-06T00:00:00"/>
    <x v="2"/>
    <x v="3"/>
    <x v="43"/>
    <n v="13391"/>
    <n v="8"/>
    <n v="10043.25"/>
    <n v="3347.75"/>
    <n v="0.25"/>
    <x v="8"/>
    <n v="2023"/>
  </r>
  <r>
    <x v="1235"/>
    <d v="2023-09-12T00:00:00"/>
    <x v="3"/>
    <x v="1"/>
    <x v="20"/>
    <n v="2158"/>
    <n v="6"/>
    <n v="1402.7"/>
    <n v="755.3"/>
    <n v="0.35"/>
    <x v="10"/>
    <n v="2023"/>
  </r>
  <r>
    <x v="1236"/>
    <d v="2023-02-12T00:00:00"/>
    <x v="0"/>
    <x v="3"/>
    <x v="29"/>
    <n v="4315"/>
    <n v="2"/>
    <n v="3236.25"/>
    <n v="1078.75"/>
    <n v="0.25"/>
    <x v="8"/>
    <n v="2023"/>
  </r>
  <r>
    <x v="1237"/>
    <d v="2023-09-04T00:00:00"/>
    <x v="1"/>
    <x v="3"/>
    <x v="12"/>
    <n v="11654"/>
    <n v="9"/>
    <n v="8740.5"/>
    <n v="2913.5"/>
    <n v="0.25"/>
    <x v="10"/>
    <n v="2023"/>
  </r>
  <r>
    <x v="1238"/>
    <d v="2023-08-26T00:00:00"/>
    <x v="2"/>
    <x v="0"/>
    <x v="2"/>
    <n v="16213"/>
    <n v="9"/>
    <n v="9727.7999999999993"/>
    <n v="6485.2000000000007"/>
    <n v="0.4"/>
    <x v="5"/>
    <n v="2023"/>
  </r>
  <r>
    <x v="1239"/>
    <d v="2023-10-23T00:00:00"/>
    <x v="3"/>
    <x v="1"/>
    <x v="21"/>
    <n v="7973"/>
    <n v="5"/>
    <n v="5182.45"/>
    <n v="2790.55"/>
    <n v="0.35000000000000003"/>
    <x v="0"/>
    <n v="2023"/>
  </r>
  <r>
    <x v="1240"/>
    <d v="2023-08-03T00:00:00"/>
    <x v="0"/>
    <x v="1"/>
    <x v="34"/>
    <n v="15237"/>
    <n v="2"/>
    <n v="9904.0500000000011"/>
    <n v="5332.9499999999989"/>
    <n v="0.34999999999999992"/>
    <x v="5"/>
    <n v="2023"/>
  </r>
  <r>
    <x v="1241"/>
    <d v="2023-12-12T00:00:00"/>
    <x v="1"/>
    <x v="3"/>
    <x v="23"/>
    <n v="525"/>
    <n v="4"/>
    <n v="393.75"/>
    <n v="131.25"/>
    <n v="0.25"/>
    <x v="7"/>
    <n v="2023"/>
  </r>
  <r>
    <x v="1242"/>
    <d v="2023-06-11T00:00:00"/>
    <x v="2"/>
    <x v="2"/>
    <x v="27"/>
    <n v="2420"/>
    <n v="1"/>
    <n v="1694"/>
    <n v="726"/>
    <n v="0.3"/>
    <x v="2"/>
    <n v="2023"/>
  </r>
  <r>
    <x v="1243"/>
    <d v="2023-12-08T00:00:00"/>
    <x v="3"/>
    <x v="3"/>
    <x v="0"/>
    <n v="7136"/>
    <n v="4"/>
    <n v="5352"/>
    <n v="1784"/>
    <n v="0.25"/>
    <x v="7"/>
    <n v="2023"/>
  </r>
  <r>
    <x v="1244"/>
    <d v="2023-06-19T00:00:00"/>
    <x v="0"/>
    <x v="2"/>
    <x v="5"/>
    <n v="9738"/>
    <n v="6"/>
    <n v="6816.5999999999995"/>
    <n v="2921.4000000000005"/>
    <n v="0.30000000000000004"/>
    <x v="2"/>
    <n v="2023"/>
  </r>
  <r>
    <x v="1245"/>
    <d v="2023-09-05T00:00:00"/>
    <x v="1"/>
    <x v="1"/>
    <x v="0"/>
    <n v="13979"/>
    <n v="5"/>
    <n v="9086.35"/>
    <n v="4892.6499999999996"/>
    <n v="0.35"/>
    <x v="10"/>
    <n v="2023"/>
  </r>
  <r>
    <x v="1246"/>
    <d v="2023-01-11T00:00:00"/>
    <x v="2"/>
    <x v="1"/>
    <x v="15"/>
    <n v="1352"/>
    <n v="10"/>
    <n v="878.80000000000007"/>
    <n v="473.19999999999993"/>
    <n v="0.34999999999999992"/>
    <x v="9"/>
    <n v="2023"/>
  </r>
  <r>
    <x v="1247"/>
    <d v="2023-05-26T00:00:00"/>
    <x v="3"/>
    <x v="0"/>
    <x v="32"/>
    <n v="16407"/>
    <n v="10"/>
    <n v="9844.1999999999989"/>
    <n v="6562.8000000000011"/>
    <n v="0.40000000000000008"/>
    <x v="4"/>
    <n v="2023"/>
  </r>
  <r>
    <x v="1248"/>
    <d v="2023-07-25T00:00:00"/>
    <x v="0"/>
    <x v="3"/>
    <x v="39"/>
    <n v="1123"/>
    <n v="10"/>
    <n v="842.25"/>
    <n v="280.75"/>
    <n v="0.25"/>
    <x v="6"/>
    <n v="2023"/>
  </r>
  <r>
    <x v="1249"/>
    <d v="2023-02-20T00:00:00"/>
    <x v="1"/>
    <x v="1"/>
    <x v="6"/>
    <n v="17440"/>
    <n v="10"/>
    <n v="11336"/>
    <n v="6104"/>
    <n v="0.35"/>
    <x v="8"/>
    <n v="2023"/>
  </r>
  <r>
    <x v="1250"/>
    <d v="2023-07-25T00:00:00"/>
    <x v="2"/>
    <x v="0"/>
    <x v="2"/>
    <n v="7041"/>
    <n v="10"/>
    <n v="4224.5999999999995"/>
    <n v="2816.4000000000005"/>
    <n v="0.40000000000000008"/>
    <x v="6"/>
    <n v="2023"/>
  </r>
  <r>
    <x v="1251"/>
    <d v="2023-05-08T00:00:00"/>
    <x v="3"/>
    <x v="2"/>
    <x v="5"/>
    <n v="8448"/>
    <n v="8"/>
    <n v="5913.5999999999995"/>
    <n v="2534.4000000000005"/>
    <n v="0.30000000000000004"/>
    <x v="4"/>
    <n v="2023"/>
  </r>
  <r>
    <x v="1252"/>
    <d v="2023-01-02T00:00:00"/>
    <x v="0"/>
    <x v="3"/>
    <x v="6"/>
    <n v="10968"/>
    <n v="4"/>
    <n v="8226"/>
    <n v="2742"/>
    <n v="0.25"/>
    <x v="9"/>
    <n v="2023"/>
  </r>
  <r>
    <x v="1253"/>
    <d v="2023-01-14T00:00:00"/>
    <x v="1"/>
    <x v="2"/>
    <x v="28"/>
    <n v="6957"/>
    <n v="10"/>
    <n v="4869.8999999999996"/>
    <n v="2087.1000000000004"/>
    <n v="0.30000000000000004"/>
    <x v="9"/>
    <n v="2023"/>
  </r>
  <r>
    <x v="1254"/>
    <d v="2023-10-25T00:00:00"/>
    <x v="2"/>
    <x v="2"/>
    <x v="14"/>
    <n v="3162"/>
    <n v="6"/>
    <n v="2213.3999999999996"/>
    <n v="948.60000000000036"/>
    <n v="0.3000000000000001"/>
    <x v="0"/>
    <n v="2023"/>
  </r>
  <r>
    <x v="1255"/>
    <d v="2023-04-21T00:00:00"/>
    <x v="3"/>
    <x v="3"/>
    <x v="33"/>
    <n v="11418"/>
    <n v="6"/>
    <n v="8563.5"/>
    <n v="2854.5"/>
    <n v="0.25"/>
    <x v="1"/>
    <n v="2023"/>
  </r>
  <r>
    <x v="1256"/>
    <d v="2023-01-10T00:00:00"/>
    <x v="0"/>
    <x v="0"/>
    <x v="25"/>
    <n v="4559"/>
    <n v="4"/>
    <n v="2735.4"/>
    <n v="1823.6"/>
    <n v="0.39999999999999997"/>
    <x v="9"/>
    <n v="2023"/>
  </r>
  <r>
    <x v="1257"/>
    <d v="2023-03-20T00:00:00"/>
    <x v="1"/>
    <x v="0"/>
    <x v="4"/>
    <n v="4183"/>
    <n v="9"/>
    <n v="2509.7999999999997"/>
    <n v="1673.2000000000003"/>
    <n v="0.40000000000000008"/>
    <x v="11"/>
    <n v="2023"/>
  </r>
  <r>
    <x v="1258"/>
    <d v="2023-03-27T00:00:00"/>
    <x v="2"/>
    <x v="0"/>
    <x v="16"/>
    <n v="3686"/>
    <n v="5"/>
    <n v="2211.6"/>
    <n v="1474.4"/>
    <n v="0.4"/>
    <x v="11"/>
    <n v="2023"/>
  </r>
  <r>
    <x v="1259"/>
    <d v="2023-03-20T00:00:00"/>
    <x v="3"/>
    <x v="2"/>
    <x v="14"/>
    <n v="13932"/>
    <n v="2"/>
    <n v="9752.4"/>
    <n v="4179.6000000000004"/>
    <n v="0.30000000000000004"/>
    <x v="11"/>
    <n v="2023"/>
  </r>
  <r>
    <x v="1260"/>
    <d v="2023-07-18T00:00:00"/>
    <x v="0"/>
    <x v="2"/>
    <x v="29"/>
    <n v="6050"/>
    <n v="4"/>
    <n v="4235"/>
    <n v="1815"/>
    <n v="0.3"/>
    <x v="6"/>
    <n v="2023"/>
  </r>
  <r>
    <x v="1261"/>
    <d v="2023-10-13T00:00:00"/>
    <x v="1"/>
    <x v="2"/>
    <x v="34"/>
    <n v="16486"/>
    <n v="7"/>
    <n v="11540.199999999999"/>
    <n v="4945.8000000000011"/>
    <n v="0.30000000000000004"/>
    <x v="0"/>
    <n v="2023"/>
  </r>
  <r>
    <x v="1262"/>
    <d v="2023-12-10T00:00:00"/>
    <x v="2"/>
    <x v="3"/>
    <x v="31"/>
    <n v="11636"/>
    <n v="8"/>
    <n v="8727"/>
    <n v="2909"/>
    <n v="0.25"/>
    <x v="7"/>
    <n v="2023"/>
  </r>
  <r>
    <x v="1263"/>
    <d v="2023-06-21T00:00:00"/>
    <x v="3"/>
    <x v="2"/>
    <x v="30"/>
    <n v="16123"/>
    <n v="3"/>
    <n v="11286.099999999999"/>
    <n v="4836.9000000000015"/>
    <n v="0.3000000000000001"/>
    <x v="2"/>
    <n v="2023"/>
  </r>
  <r>
    <x v="1264"/>
    <d v="2023-05-05T00:00:00"/>
    <x v="0"/>
    <x v="2"/>
    <x v="1"/>
    <n v="9440"/>
    <n v="10"/>
    <n v="6608"/>
    <n v="2832"/>
    <n v="0.3"/>
    <x v="4"/>
    <n v="2023"/>
  </r>
  <r>
    <x v="1265"/>
    <d v="2023-07-15T00:00:00"/>
    <x v="1"/>
    <x v="3"/>
    <x v="31"/>
    <n v="10268"/>
    <n v="3"/>
    <n v="7701"/>
    <n v="2567"/>
    <n v="0.25"/>
    <x v="6"/>
    <n v="2023"/>
  </r>
  <r>
    <x v="1266"/>
    <d v="2023-02-26T00:00:00"/>
    <x v="2"/>
    <x v="2"/>
    <x v="18"/>
    <n v="6412"/>
    <n v="8"/>
    <n v="4488.3999999999996"/>
    <n v="1923.6000000000004"/>
    <n v="0.30000000000000004"/>
    <x v="8"/>
    <n v="2023"/>
  </r>
  <r>
    <x v="1267"/>
    <d v="2023-04-01T00:00:00"/>
    <x v="3"/>
    <x v="2"/>
    <x v="30"/>
    <n v="611"/>
    <n v="8"/>
    <n v="427.7"/>
    <n v="183.3"/>
    <n v="0.30000000000000004"/>
    <x v="1"/>
    <n v="2023"/>
  </r>
  <r>
    <x v="1268"/>
    <d v="2023-12-18T00:00:00"/>
    <x v="0"/>
    <x v="3"/>
    <x v="9"/>
    <n v="19754"/>
    <n v="6"/>
    <n v="14815.5"/>
    <n v="4938.5"/>
    <n v="0.25"/>
    <x v="7"/>
    <n v="2023"/>
  </r>
  <r>
    <x v="1269"/>
    <d v="2023-07-12T00:00:00"/>
    <x v="1"/>
    <x v="3"/>
    <x v="42"/>
    <n v="9714"/>
    <n v="1"/>
    <n v="7285.5"/>
    <n v="2428.5"/>
    <n v="0.25"/>
    <x v="6"/>
    <n v="2023"/>
  </r>
  <r>
    <x v="1270"/>
    <d v="2023-02-23T00:00:00"/>
    <x v="2"/>
    <x v="2"/>
    <x v="14"/>
    <n v="7738"/>
    <n v="9"/>
    <n v="5416.5999999999995"/>
    <n v="2321.4000000000005"/>
    <n v="0.30000000000000004"/>
    <x v="8"/>
    <n v="2023"/>
  </r>
  <r>
    <x v="1271"/>
    <d v="2023-06-09T00:00:00"/>
    <x v="3"/>
    <x v="0"/>
    <x v="38"/>
    <n v="3728"/>
    <n v="5"/>
    <n v="2236.7999999999997"/>
    <n v="1491.2000000000003"/>
    <n v="0.40000000000000008"/>
    <x v="2"/>
    <n v="2023"/>
  </r>
  <r>
    <x v="1272"/>
    <d v="2023-04-15T00:00:00"/>
    <x v="0"/>
    <x v="3"/>
    <x v="5"/>
    <n v="5152"/>
    <n v="6"/>
    <n v="3864"/>
    <n v="1288"/>
    <n v="0.25"/>
    <x v="1"/>
    <n v="2023"/>
  </r>
  <r>
    <x v="1273"/>
    <d v="2023-01-09T00:00:00"/>
    <x v="1"/>
    <x v="3"/>
    <x v="3"/>
    <n v="12084"/>
    <n v="4"/>
    <n v="9063"/>
    <n v="3021"/>
    <n v="0.25"/>
    <x v="9"/>
    <n v="2023"/>
  </r>
  <r>
    <x v="1274"/>
    <d v="2023-06-23T00:00:00"/>
    <x v="2"/>
    <x v="2"/>
    <x v="30"/>
    <n v="18140"/>
    <n v="7"/>
    <n v="12698"/>
    <n v="5442"/>
    <n v="0.3"/>
    <x v="2"/>
    <n v="2023"/>
  </r>
  <r>
    <x v="1275"/>
    <d v="2023-10-11T00:00:00"/>
    <x v="3"/>
    <x v="3"/>
    <x v="38"/>
    <n v="5437"/>
    <n v="7"/>
    <n v="4077.75"/>
    <n v="1359.25"/>
    <n v="0.25"/>
    <x v="0"/>
    <n v="2023"/>
  </r>
  <r>
    <x v="1276"/>
    <d v="2023-01-22T00:00:00"/>
    <x v="0"/>
    <x v="2"/>
    <x v="32"/>
    <n v="14507"/>
    <n v="2"/>
    <n v="10154.9"/>
    <n v="4352.1000000000004"/>
    <n v="0.30000000000000004"/>
    <x v="9"/>
    <n v="2023"/>
  </r>
  <r>
    <x v="1277"/>
    <d v="2023-07-08T00:00:00"/>
    <x v="1"/>
    <x v="0"/>
    <x v="36"/>
    <n v="12466"/>
    <n v="6"/>
    <n v="7479.5999999999995"/>
    <n v="4986.4000000000005"/>
    <n v="0.4"/>
    <x v="6"/>
    <n v="2023"/>
  </r>
  <r>
    <x v="1278"/>
    <d v="2023-05-19T00:00:00"/>
    <x v="2"/>
    <x v="2"/>
    <x v="14"/>
    <n v="7435"/>
    <n v="10"/>
    <n v="5204.5"/>
    <n v="2230.5"/>
    <n v="0.3"/>
    <x v="4"/>
    <n v="2023"/>
  </r>
  <r>
    <x v="1279"/>
    <d v="2023-08-26T00:00:00"/>
    <x v="3"/>
    <x v="3"/>
    <x v="25"/>
    <n v="8881"/>
    <n v="3"/>
    <n v="6660.75"/>
    <n v="2220.25"/>
    <n v="0.25"/>
    <x v="5"/>
    <n v="2023"/>
  </r>
  <r>
    <x v="1280"/>
    <d v="2023-03-15T00:00:00"/>
    <x v="0"/>
    <x v="3"/>
    <x v="27"/>
    <n v="4205"/>
    <n v="10"/>
    <n v="3153.75"/>
    <n v="1051.25"/>
    <n v="0.25"/>
    <x v="11"/>
    <n v="2023"/>
  </r>
  <r>
    <x v="1281"/>
    <d v="2023-12-20T00:00:00"/>
    <x v="1"/>
    <x v="3"/>
    <x v="25"/>
    <n v="13091"/>
    <n v="9"/>
    <n v="9818.25"/>
    <n v="3272.75"/>
    <n v="0.25"/>
    <x v="7"/>
    <n v="2023"/>
  </r>
  <r>
    <x v="1282"/>
    <d v="2023-10-23T00:00:00"/>
    <x v="2"/>
    <x v="3"/>
    <x v="34"/>
    <n v="6848"/>
    <n v="5"/>
    <n v="5136"/>
    <n v="1712"/>
    <n v="0.25"/>
    <x v="0"/>
    <n v="2023"/>
  </r>
  <r>
    <x v="1283"/>
    <d v="2023-02-14T00:00:00"/>
    <x v="3"/>
    <x v="0"/>
    <x v="30"/>
    <n v="8553"/>
    <n v="5"/>
    <n v="5131.8"/>
    <n v="3421.2"/>
    <n v="0.39999999999999997"/>
    <x v="8"/>
    <n v="2023"/>
  </r>
  <r>
    <x v="1284"/>
    <d v="2023-02-26T00:00:00"/>
    <x v="0"/>
    <x v="2"/>
    <x v="47"/>
    <n v="7698"/>
    <n v="10"/>
    <n v="5388.5999999999995"/>
    <n v="2309.4000000000005"/>
    <n v="0.30000000000000004"/>
    <x v="8"/>
    <n v="2023"/>
  </r>
  <r>
    <x v="1285"/>
    <d v="2023-10-22T00:00:00"/>
    <x v="1"/>
    <x v="0"/>
    <x v="49"/>
    <n v="8281"/>
    <n v="2"/>
    <n v="4968.5999999999995"/>
    <n v="3312.4000000000005"/>
    <n v="0.40000000000000008"/>
    <x v="0"/>
    <n v="2023"/>
  </r>
  <r>
    <x v="1286"/>
    <d v="2023-06-04T00:00:00"/>
    <x v="2"/>
    <x v="2"/>
    <x v="21"/>
    <n v="12304"/>
    <n v="2"/>
    <n v="8612.7999999999993"/>
    <n v="3691.2000000000007"/>
    <n v="0.30000000000000004"/>
    <x v="2"/>
    <n v="2023"/>
  </r>
  <r>
    <x v="1287"/>
    <d v="2023-10-17T00:00:00"/>
    <x v="3"/>
    <x v="2"/>
    <x v="36"/>
    <n v="2032"/>
    <n v="5"/>
    <n v="1422.3999999999999"/>
    <n v="609.60000000000014"/>
    <n v="0.30000000000000004"/>
    <x v="0"/>
    <n v="2023"/>
  </r>
  <r>
    <x v="1288"/>
    <d v="2023-06-27T00:00:00"/>
    <x v="0"/>
    <x v="0"/>
    <x v="24"/>
    <n v="19658"/>
    <n v="1"/>
    <n v="11794.8"/>
    <n v="7863.2000000000007"/>
    <n v="0.4"/>
    <x v="2"/>
    <n v="2023"/>
  </r>
  <r>
    <x v="1289"/>
    <d v="2023-04-18T00:00:00"/>
    <x v="1"/>
    <x v="3"/>
    <x v="11"/>
    <n v="7260"/>
    <n v="9"/>
    <n v="5445"/>
    <n v="1815"/>
    <n v="0.25"/>
    <x v="1"/>
    <n v="2023"/>
  </r>
  <r>
    <x v="1290"/>
    <d v="2023-07-19T00:00:00"/>
    <x v="2"/>
    <x v="2"/>
    <x v="21"/>
    <n v="17255"/>
    <n v="7"/>
    <n v="12078.5"/>
    <n v="5176.5"/>
    <n v="0.3"/>
    <x v="6"/>
    <n v="2023"/>
  </r>
  <r>
    <x v="1291"/>
    <d v="2023-09-18T00:00:00"/>
    <x v="3"/>
    <x v="2"/>
    <x v="27"/>
    <n v="767"/>
    <n v="10"/>
    <n v="536.9"/>
    <n v="230.10000000000002"/>
    <n v="0.30000000000000004"/>
    <x v="10"/>
    <n v="2023"/>
  </r>
  <r>
    <x v="1292"/>
    <d v="2023-12-07T00:00:00"/>
    <x v="0"/>
    <x v="2"/>
    <x v="16"/>
    <n v="17413"/>
    <n v="6"/>
    <n v="12189.099999999999"/>
    <n v="5223.9000000000015"/>
    <n v="0.3000000000000001"/>
    <x v="7"/>
    <n v="2023"/>
  </r>
  <r>
    <x v="1293"/>
    <d v="2023-08-23T00:00:00"/>
    <x v="1"/>
    <x v="1"/>
    <x v="17"/>
    <n v="12148"/>
    <n v="4"/>
    <n v="7896.2"/>
    <n v="4251.8"/>
    <n v="0.35000000000000003"/>
    <x v="5"/>
    <n v="2023"/>
  </r>
  <r>
    <x v="1294"/>
    <d v="2023-05-01T00:00:00"/>
    <x v="2"/>
    <x v="1"/>
    <x v="9"/>
    <n v="15235"/>
    <n v="3"/>
    <n v="9902.75"/>
    <n v="5332.25"/>
    <n v="0.35"/>
    <x v="4"/>
    <n v="2023"/>
  </r>
  <r>
    <x v="1295"/>
    <d v="2023-09-17T00:00:00"/>
    <x v="3"/>
    <x v="2"/>
    <x v="14"/>
    <n v="3504"/>
    <n v="7"/>
    <n v="2452.7999999999997"/>
    <n v="1051.2000000000003"/>
    <n v="0.3000000000000001"/>
    <x v="10"/>
    <n v="2023"/>
  </r>
  <r>
    <x v="1296"/>
    <d v="2023-08-22T00:00:00"/>
    <x v="0"/>
    <x v="1"/>
    <x v="7"/>
    <n v="18187"/>
    <n v="1"/>
    <n v="11821.550000000001"/>
    <n v="6365.4499999999989"/>
    <n v="0.34999999999999992"/>
    <x v="5"/>
    <n v="2023"/>
  </r>
  <r>
    <x v="1297"/>
    <d v="2023-06-28T00:00:00"/>
    <x v="1"/>
    <x v="2"/>
    <x v="29"/>
    <n v="15690"/>
    <n v="2"/>
    <n v="10983"/>
    <n v="4707"/>
    <n v="0.3"/>
    <x v="2"/>
    <n v="2023"/>
  </r>
  <r>
    <x v="1298"/>
    <d v="2023-07-09T00:00:00"/>
    <x v="2"/>
    <x v="2"/>
    <x v="15"/>
    <n v="17974"/>
    <n v="1"/>
    <n v="12581.8"/>
    <n v="5392.2000000000007"/>
    <n v="0.30000000000000004"/>
    <x v="6"/>
    <n v="2023"/>
  </r>
  <r>
    <x v="1299"/>
    <d v="2023-01-11T00:00:00"/>
    <x v="3"/>
    <x v="2"/>
    <x v="24"/>
    <n v="4746"/>
    <n v="3"/>
    <n v="3322.2"/>
    <n v="1423.8000000000002"/>
    <n v="0.30000000000000004"/>
    <x v="9"/>
    <n v="2023"/>
  </r>
  <r>
    <x v="1300"/>
    <d v="2023-07-19T00:00:00"/>
    <x v="0"/>
    <x v="1"/>
    <x v="16"/>
    <n v="13429"/>
    <n v="5"/>
    <n v="8728.85"/>
    <n v="4700.1499999999996"/>
    <n v="0.35"/>
    <x v="6"/>
    <n v="2023"/>
  </r>
  <r>
    <x v="1301"/>
    <d v="2023-05-15T00:00:00"/>
    <x v="1"/>
    <x v="3"/>
    <x v="39"/>
    <n v="19347"/>
    <n v="6"/>
    <n v="14510.25"/>
    <n v="4836.75"/>
    <n v="0.25"/>
    <x v="4"/>
    <n v="2023"/>
  </r>
  <r>
    <x v="1302"/>
    <d v="2023-11-08T00:00:00"/>
    <x v="2"/>
    <x v="2"/>
    <x v="31"/>
    <n v="9156"/>
    <n v="7"/>
    <n v="6409.2"/>
    <n v="2746.8"/>
    <n v="0.30000000000000004"/>
    <x v="3"/>
    <n v="2023"/>
  </r>
  <r>
    <x v="1303"/>
    <d v="2023-07-25T00:00:00"/>
    <x v="3"/>
    <x v="1"/>
    <x v="19"/>
    <n v="16254"/>
    <n v="6"/>
    <n v="10565.1"/>
    <n v="5688.9"/>
    <n v="0.35"/>
    <x v="6"/>
    <n v="2023"/>
  </r>
  <r>
    <x v="1304"/>
    <d v="2023-09-05T00:00:00"/>
    <x v="0"/>
    <x v="3"/>
    <x v="10"/>
    <n v="11703"/>
    <n v="4"/>
    <n v="8777.25"/>
    <n v="2925.75"/>
    <n v="0.25"/>
    <x v="10"/>
    <n v="2023"/>
  </r>
  <r>
    <x v="1305"/>
    <d v="2023-04-23T00:00:00"/>
    <x v="1"/>
    <x v="3"/>
    <x v="24"/>
    <n v="11566"/>
    <n v="9"/>
    <n v="8674.5"/>
    <n v="2891.5"/>
    <n v="0.25"/>
    <x v="1"/>
    <n v="2023"/>
  </r>
  <r>
    <x v="1306"/>
    <d v="2023-08-02T00:00:00"/>
    <x v="2"/>
    <x v="0"/>
    <x v="43"/>
    <n v="17871"/>
    <n v="8"/>
    <n v="10722.6"/>
    <n v="7148.4"/>
    <n v="0.39999999999999997"/>
    <x v="5"/>
    <n v="2023"/>
  </r>
  <r>
    <x v="1307"/>
    <d v="2023-10-11T00:00:00"/>
    <x v="3"/>
    <x v="3"/>
    <x v="9"/>
    <n v="19144"/>
    <n v="1"/>
    <n v="14358"/>
    <n v="4786"/>
    <n v="0.25"/>
    <x v="0"/>
    <n v="2023"/>
  </r>
  <r>
    <x v="1308"/>
    <d v="2023-03-28T00:00:00"/>
    <x v="0"/>
    <x v="2"/>
    <x v="35"/>
    <n v="1876"/>
    <n v="7"/>
    <n v="1313.1999999999998"/>
    <n v="562.80000000000018"/>
    <n v="0.3000000000000001"/>
    <x v="11"/>
    <n v="2023"/>
  </r>
  <r>
    <x v="1309"/>
    <d v="2023-09-28T00:00:00"/>
    <x v="1"/>
    <x v="2"/>
    <x v="7"/>
    <n v="10446"/>
    <n v="3"/>
    <n v="7312.2"/>
    <n v="3133.8"/>
    <n v="0.30000000000000004"/>
    <x v="10"/>
    <n v="2023"/>
  </r>
  <r>
    <x v="1310"/>
    <d v="2023-05-22T00:00:00"/>
    <x v="2"/>
    <x v="2"/>
    <x v="28"/>
    <n v="14032"/>
    <n v="6"/>
    <n v="9822.4"/>
    <n v="4209.6000000000004"/>
    <n v="0.30000000000000004"/>
    <x v="4"/>
    <n v="2023"/>
  </r>
  <r>
    <x v="1311"/>
    <d v="2023-09-24T00:00:00"/>
    <x v="3"/>
    <x v="1"/>
    <x v="16"/>
    <n v="4714"/>
    <n v="2"/>
    <n v="3064.1"/>
    <n v="1649.9"/>
    <n v="0.35000000000000003"/>
    <x v="10"/>
    <n v="2023"/>
  </r>
  <r>
    <x v="1312"/>
    <d v="2023-09-28T00:00:00"/>
    <x v="0"/>
    <x v="2"/>
    <x v="47"/>
    <n v="7193"/>
    <n v="2"/>
    <n v="5035.0999999999995"/>
    <n v="2157.9000000000005"/>
    <n v="0.3000000000000001"/>
    <x v="10"/>
    <n v="2023"/>
  </r>
  <r>
    <x v="1313"/>
    <d v="2023-04-07T00:00:00"/>
    <x v="1"/>
    <x v="2"/>
    <x v="4"/>
    <n v="13591"/>
    <n v="2"/>
    <n v="9513.6999999999989"/>
    <n v="4077.3000000000011"/>
    <n v="0.3000000000000001"/>
    <x v="1"/>
    <n v="2023"/>
  </r>
  <r>
    <x v="1314"/>
    <d v="2023-02-21T00:00:00"/>
    <x v="2"/>
    <x v="0"/>
    <x v="25"/>
    <n v="3114"/>
    <n v="5"/>
    <n v="1868.3999999999999"/>
    <n v="1245.6000000000001"/>
    <n v="0.4"/>
    <x v="8"/>
    <n v="2023"/>
  </r>
  <r>
    <x v="1315"/>
    <d v="2023-06-14T00:00:00"/>
    <x v="3"/>
    <x v="0"/>
    <x v="15"/>
    <n v="4168"/>
    <n v="9"/>
    <n v="2500.7999999999997"/>
    <n v="1667.2000000000003"/>
    <n v="0.40000000000000008"/>
    <x v="2"/>
    <n v="2023"/>
  </r>
  <r>
    <x v="1316"/>
    <d v="2023-03-21T00:00:00"/>
    <x v="0"/>
    <x v="0"/>
    <x v="6"/>
    <n v="2148"/>
    <n v="6"/>
    <n v="1288.8"/>
    <n v="859.2"/>
    <n v="0.4"/>
    <x v="11"/>
    <n v="2023"/>
  </r>
  <r>
    <x v="1317"/>
    <d v="2023-07-26T00:00:00"/>
    <x v="1"/>
    <x v="1"/>
    <x v="15"/>
    <n v="1071"/>
    <n v="6"/>
    <n v="696.15"/>
    <n v="374.85"/>
    <n v="0.35000000000000003"/>
    <x v="6"/>
    <n v="2023"/>
  </r>
  <r>
    <x v="1318"/>
    <d v="2023-12-09T00:00:00"/>
    <x v="2"/>
    <x v="0"/>
    <x v="31"/>
    <n v="3261"/>
    <n v="9"/>
    <n v="1956.6"/>
    <n v="1304.4000000000001"/>
    <n v="0.4"/>
    <x v="7"/>
    <n v="2023"/>
  </r>
  <r>
    <x v="1319"/>
    <d v="2023-06-10T00:00:00"/>
    <x v="3"/>
    <x v="1"/>
    <x v="7"/>
    <n v="16209"/>
    <n v="1"/>
    <n v="10535.85"/>
    <n v="5673.15"/>
    <n v="0.35"/>
    <x v="2"/>
    <n v="2023"/>
  </r>
  <r>
    <x v="1320"/>
    <d v="2023-08-18T00:00:00"/>
    <x v="0"/>
    <x v="2"/>
    <x v="19"/>
    <n v="11898"/>
    <n v="2"/>
    <n v="8328.6"/>
    <n v="3569.3999999999996"/>
    <n v="0.3"/>
    <x v="5"/>
    <n v="2023"/>
  </r>
  <r>
    <x v="1321"/>
    <d v="2023-08-13T00:00:00"/>
    <x v="1"/>
    <x v="1"/>
    <x v="38"/>
    <n v="4117"/>
    <n v="7"/>
    <n v="2676.05"/>
    <n v="1440.9499999999998"/>
    <n v="0.35"/>
    <x v="5"/>
    <n v="2023"/>
  </r>
  <r>
    <x v="1322"/>
    <d v="2023-04-08T00:00:00"/>
    <x v="2"/>
    <x v="2"/>
    <x v="42"/>
    <n v="8190"/>
    <n v="10"/>
    <n v="5733"/>
    <n v="2457"/>
    <n v="0.3"/>
    <x v="1"/>
    <n v="2023"/>
  </r>
  <r>
    <x v="1323"/>
    <d v="2023-01-28T00:00:00"/>
    <x v="3"/>
    <x v="3"/>
    <x v="16"/>
    <n v="13527"/>
    <n v="9"/>
    <n v="10145.25"/>
    <n v="3381.75"/>
    <n v="0.25"/>
    <x v="9"/>
    <n v="2023"/>
  </r>
  <r>
    <x v="1324"/>
    <d v="2023-07-18T00:00:00"/>
    <x v="0"/>
    <x v="2"/>
    <x v="20"/>
    <n v="4760"/>
    <n v="8"/>
    <n v="3332"/>
    <n v="1428"/>
    <n v="0.3"/>
    <x v="6"/>
    <n v="2023"/>
  </r>
  <r>
    <x v="1325"/>
    <d v="2023-01-04T00:00:00"/>
    <x v="1"/>
    <x v="2"/>
    <x v="35"/>
    <n v="4343"/>
    <n v="1"/>
    <n v="3040.1"/>
    <n v="1302.9000000000001"/>
    <n v="0.30000000000000004"/>
    <x v="9"/>
    <n v="2023"/>
  </r>
  <r>
    <x v="1326"/>
    <d v="2023-09-06T00:00:00"/>
    <x v="2"/>
    <x v="3"/>
    <x v="9"/>
    <n v="14848"/>
    <n v="3"/>
    <n v="11136"/>
    <n v="3712"/>
    <n v="0.25"/>
    <x v="10"/>
    <n v="2023"/>
  </r>
  <r>
    <x v="1327"/>
    <d v="2023-02-18T00:00:00"/>
    <x v="3"/>
    <x v="1"/>
    <x v="10"/>
    <n v="6341"/>
    <n v="2"/>
    <n v="4121.6500000000005"/>
    <n v="2219.3499999999995"/>
    <n v="0.34999999999999992"/>
    <x v="8"/>
    <n v="2023"/>
  </r>
  <r>
    <x v="1328"/>
    <d v="2023-06-03T00:00:00"/>
    <x v="0"/>
    <x v="2"/>
    <x v="25"/>
    <n v="1526"/>
    <n v="4"/>
    <n v="1068.2"/>
    <n v="457.79999999999995"/>
    <n v="0.3"/>
    <x v="2"/>
    <n v="2023"/>
  </r>
  <r>
    <x v="1329"/>
    <d v="2023-08-20T00:00:00"/>
    <x v="1"/>
    <x v="3"/>
    <x v="7"/>
    <n v="3725"/>
    <n v="7"/>
    <n v="2793.75"/>
    <n v="931.25"/>
    <n v="0.25"/>
    <x v="5"/>
    <n v="2023"/>
  </r>
  <r>
    <x v="1330"/>
    <d v="2023-08-17T00:00:00"/>
    <x v="2"/>
    <x v="2"/>
    <x v="15"/>
    <n v="9359"/>
    <n v="9"/>
    <n v="6551.2999999999993"/>
    <n v="2807.7000000000007"/>
    <n v="0.3000000000000001"/>
    <x v="5"/>
    <n v="2023"/>
  </r>
  <r>
    <x v="1331"/>
    <d v="2023-03-22T00:00:00"/>
    <x v="3"/>
    <x v="1"/>
    <x v="23"/>
    <n v="13736"/>
    <n v="6"/>
    <n v="8928.4"/>
    <n v="4807.6000000000004"/>
    <n v="0.35000000000000003"/>
    <x v="11"/>
    <n v="2023"/>
  </r>
  <r>
    <x v="1332"/>
    <d v="2023-04-16T00:00:00"/>
    <x v="0"/>
    <x v="2"/>
    <x v="43"/>
    <n v="18080"/>
    <n v="7"/>
    <n v="12656"/>
    <n v="5424"/>
    <n v="0.3"/>
    <x v="1"/>
    <n v="2023"/>
  </r>
  <r>
    <x v="1333"/>
    <d v="2023-10-01T00:00:00"/>
    <x v="1"/>
    <x v="1"/>
    <x v="0"/>
    <n v="2892"/>
    <n v="8"/>
    <n v="1879.8"/>
    <n v="1012.2"/>
    <n v="0.35000000000000003"/>
    <x v="0"/>
    <n v="2023"/>
  </r>
  <r>
    <x v="1334"/>
    <d v="2023-10-18T00:00:00"/>
    <x v="2"/>
    <x v="1"/>
    <x v="37"/>
    <n v="2259"/>
    <n v="2"/>
    <n v="1468.3500000000001"/>
    <n v="790.64999999999986"/>
    <n v="0.34999999999999992"/>
    <x v="0"/>
    <n v="2023"/>
  </r>
  <r>
    <x v="1335"/>
    <d v="2023-07-01T00:00:00"/>
    <x v="3"/>
    <x v="2"/>
    <x v="18"/>
    <n v="12923"/>
    <n v="1"/>
    <n v="9046.0999999999985"/>
    <n v="3876.9000000000015"/>
    <n v="0.3000000000000001"/>
    <x v="6"/>
    <n v="2023"/>
  </r>
  <r>
    <x v="1336"/>
    <d v="2023-04-01T00:00:00"/>
    <x v="0"/>
    <x v="2"/>
    <x v="7"/>
    <n v="7124"/>
    <n v="8"/>
    <n v="4986.7999999999993"/>
    <n v="2137.2000000000007"/>
    <n v="0.3000000000000001"/>
    <x v="1"/>
    <n v="2023"/>
  </r>
  <r>
    <x v="1337"/>
    <d v="2023-03-23T00:00:00"/>
    <x v="1"/>
    <x v="2"/>
    <x v="23"/>
    <n v="8744"/>
    <n v="7"/>
    <n v="6120.7999999999993"/>
    <n v="2623.2000000000007"/>
    <n v="0.3000000000000001"/>
    <x v="11"/>
    <n v="2023"/>
  </r>
  <r>
    <x v="1338"/>
    <d v="2023-12-18T00:00:00"/>
    <x v="2"/>
    <x v="2"/>
    <x v="11"/>
    <n v="5659"/>
    <n v="7"/>
    <n v="3961.2999999999997"/>
    <n v="1697.7000000000003"/>
    <n v="0.30000000000000004"/>
    <x v="7"/>
    <n v="2023"/>
  </r>
  <r>
    <x v="1339"/>
    <d v="2023-08-19T00:00:00"/>
    <x v="3"/>
    <x v="3"/>
    <x v="35"/>
    <n v="17605"/>
    <n v="1"/>
    <n v="13203.75"/>
    <n v="4401.25"/>
    <n v="0.25"/>
    <x v="5"/>
    <n v="2023"/>
  </r>
  <r>
    <x v="1340"/>
    <d v="2023-07-21T00:00:00"/>
    <x v="0"/>
    <x v="0"/>
    <x v="19"/>
    <n v="17185"/>
    <n v="3"/>
    <n v="10311"/>
    <n v="6874"/>
    <n v="0.4"/>
    <x v="6"/>
    <n v="2023"/>
  </r>
  <r>
    <x v="1341"/>
    <d v="2023-03-05T00:00:00"/>
    <x v="1"/>
    <x v="0"/>
    <x v="26"/>
    <n v="16552"/>
    <n v="10"/>
    <n v="9931.1999999999989"/>
    <n v="6620.8000000000011"/>
    <n v="0.40000000000000008"/>
    <x v="11"/>
    <n v="2023"/>
  </r>
  <r>
    <x v="1342"/>
    <d v="2023-10-28T00:00:00"/>
    <x v="2"/>
    <x v="2"/>
    <x v="9"/>
    <n v="1236"/>
    <n v="5"/>
    <n v="865.19999999999993"/>
    <n v="370.80000000000007"/>
    <n v="0.30000000000000004"/>
    <x v="0"/>
    <n v="2023"/>
  </r>
  <r>
    <x v="1343"/>
    <d v="2023-10-25T00:00:00"/>
    <x v="3"/>
    <x v="0"/>
    <x v="25"/>
    <n v="11035"/>
    <n v="7"/>
    <n v="6621"/>
    <n v="4414"/>
    <n v="0.4"/>
    <x v="0"/>
    <n v="2023"/>
  </r>
  <r>
    <x v="1344"/>
    <d v="2023-06-05T00:00:00"/>
    <x v="0"/>
    <x v="2"/>
    <x v="49"/>
    <n v="5227"/>
    <n v="9"/>
    <n v="3658.8999999999996"/>
    <n v="1568.1000000000004"/>
    <n v="0.30000000000000004"/>
    <x v="2"/>
    <n v="2023"/>
  </r>
  <r>
    <x v="1345"/>
    <d v="2023-08-03T00:00:00"/>
    <x v="1"/>
    <x v="0"/>
    <x v="23"/>
    <n v="14132"/>
    <n v="1"/>
    <n v="8479.1999999999989"/>
    <n v="5652.8000000000011"/>
    <n v="0.40000000000000008"/>
    <x v="5"/>
    <n v="2023"/>
  </r>
  <r>
    <x v="1346"/>
    <d v="2023-11-17T00:00:00"/>
    <x v="2"/>
    <x v="0"/>
    <x v="34"/>
    <n v="10671"/>
    <n v="2"/>
    <n v="6402.5999999999995"/>
    <n v="4268.4000000000005"/>
    <n v="0.40000000000000008"/>
    <x v="3"/>
    <n v="2023"/>
  </r>
  <r>
    <x v="1347"/>
    <d v="2023-11-22T00:00:00"/>
    <x v="3"/>
    <x v="2"/>
    <x v="34"/>
    <n v="14493"/>
    <n v="4"/>
    <n v="10145.099999999999"/>
    <n v="4347.9000000000015"/>
    <n v="0.3000000000000001"/>
    <x v="3"/>
    <n v="2023"/>
  </r>
  <r>
    <x v="1348"/>
    <d v="2023-11-11T00:00:00"/>
    <x v="0"/>
    <x v="0"/>
    <x v="29"/>
    <n v="16186"/>
    <n v="1"/>
    <n v="9711.6"/>
    <n v="6474.4"/>
    <n v="0.39999999999999997"/>
    <x v="3"/>
    <n v="2023"/>
  </r>
  <r>
    <x v="1349"/>
    <d v="2023-04-02T00:00:00"/>
    <x v="1"/>
    <x v="1"/>
    <x v="4"/>
    <n v="6224"/>
    <n v="9"/>
    <n v="4045.6000000000004"/>
    <n v="2178.3999999999996"/>
    <n v="0.34999999999999992"/>
    <x v="1"/>
    <n v="2023"/>
  </r>
  <r>
    <x v="1350"/>
    <d v="2023-05-16T00:00:00"/>
    <x v="2"/>
    <x v="3"/>
    <x v="10"/>
    <n v="2833"/>
    <n v="10"/>
    <n v="2124.75"/>
    <n v="708.25"/>
    <n v="0.25"/>
    <x v="4"/>
    <n v="2023"/>
  </r>
  <r>
    <x v="1351"/>
    <d v="2023-12-23T00:00:00"/>
    <x v="3"/>
    <x v="3"/>
    <x v="1"/>
    <n v="8872"/>
    <n v="2"/>
    <n v="6654"/>
    <n v="2218"/>
    <n v="0.25"/>
    <x v="7"/>
    <n v="2023"/>
  </r>
  <r>
    <x v="1352"/>
    <d v="2023-07-20T00:00:00"/>
    <x v="0"/>
    <x v="2"/>
    <x v="11"/>
    <n v="5425"/>
    <n v="5"/>
    <n v="3797.4999999999995"/>
    <n v="1627.5000000000005"/>
    <n v="0.3000000000000001"/>
    <x v="6"/>
    <n v="2023"/>
  </r>
  <r>
    <x v="1353"/>
    <d v="2023-10-11T00:00:00"/>
    <x v="1"/>
    <x v="1"/>
    <x v="6"/>
    <n v="1213"/>
    <n v="8"/>
    <n v="788.45"/>
    <n v="424.54999999999995"/>
    <n v="0.35"/>
    <x v="0"/>
    <n v="2023"/>
  </r>
  <r>
    <x v="1354"/>
    <d v="2023-06-03T00:00:00"/>
    <x v="2"/>
    <x v="3"/>
    <x v="1"/>
    <n v="16167"/>
    <n v="4"/>
    <n v="12125.25"/>
    <n v="4041.75"/>
    <n v="0.25"/>
    <x v="2"/>
    <n v="2023"/>
  </r>
  <r>
    <x v="1355"/>
    <d v="2023-05-08T00:00:00"/>
    <x v="3"/>
    <x v="0"/>
    <x v="10"/>
    <n v="9553"/>
    <n v="10"/>
    <n v="5731.8"/>
    <n v="3821.2"/>
    <n v="0.39999999999999997"/>
    <x v="4"/>
    <n v="2023"/>
  </r>
  <r>
    <x v="1356"/>
    <d v="2023-04-14T00:00:00"/>
    <x v="0"/>
    <x v="2"/>
    <x v="45"/>
    <n v="12905"/>
    <n v="5"/>
    <n v="9033.5"/>
    <n v="3871.5"/>
    <n v="0.3"/>
    <x v="1"/>
    <n v="2023"/>
  </r>
  <r>
    <x v="1357"/>
    <d v="2023-01-06T00:00:00"/>
    <x v="1"/>
    <x v="0"/>
    <x v="23"/>
    <n v="7072"/>
    <n v="2"/>
    <n v="4243.2"/>
    <n v="2828.8"/>
    <n v="0.4"/>
    <x v="9"/>
    <n v="2023"/>
  </r>
  <r>
    <x v="1358"/>
    <d v="2023-06-03T00:00:00"/>
    <x v="2"/>
    <x v="0"/>
    <x v="48"/>
    <n v="7681"/>
    <n v="9"/>
    <n v="4608.5999999999995"/>
    <n v="3072.4000000000005"/>
    <n v="0.40000000000000008"/>
    <x v="2"/>
    <n v="2023"/>
  </r>
  <r>
    <x v="1359"/>
    <d v="2023-09-26T00:00:00"/>
    <x v="3"/>
    <x v="0"/>
    <x v="39"/>
    <n v="18994"/>
    <n v="4"/>
    <n v="11396.4"/>
    <n v="7597.6"/>
    <n v="0.4"/>
    <x v="10"/>
    <n v="2023"/>
  </r>
  <r>
    <x v="1360"/>
    <d v="2023-05-24T00:00:00"/>
    <x v="0"/>
    <x v="1"/>
    <x v="28"/>
    <n v="7341"/>
    <n v="10"/>
    <n v="4771.6500000000005"/>
    <n v="2569.3499999999995"/>
    <n v="0.34999999999999992"/>
    <x v="4"/>
    <n v="2023"/>
  </r>
  <r>
    <x v="1361"/>
    <d v="2023-03-01T00:00:00"/>
    <x v="1"/>
    <x v="1"/>
    <x v="34"/>
    <n v="4266"/>
    <n v="2"/>
    <n v="2772.9"/>
    <n v="1493.1"/>
    <n v="0.35"/>
    <x v="11"/>
    <n v="2023"/>
  </r>
  <r>
    <x v="1362"/>
    <d v="2023-01-18T00:00:00"/>
    <x v="2"/>
    <x v="0"/>
    <x v="35"/>
    <n v="18481"/>
    <n v="3"/>
    <n v="11088.6"/>
    <n v="7392.4"/>
    <n v="0.39999999999999997"/>
    <x v="9"/>
    <n v="2023"/>
  </r>
  <r>
    <x v="1363"/>
    <d v="2023-07-15T00:00:00"/>
    <x v="3"/>
    <x v="2"/>
    <x v="10"/>
    <n v="17013"/>
    <n v="7"/>
    <n v="11909.099999999999"/>
    <n v="5103.9000000000015"/>
    <n v="0.3000000000000001"/>
    <x v="6"/>
    <n v="2023"/>
  </r>
  <r>
    <x v="1364"/>
    <d v="2023-12-19T00:00:00"/>
    <x v="0"/>
    <x v="2"/>
    <x v="3"/>
    <n v="12021"/>
    <n v="2"/>
    <n v="8414.6999999999989"/>
    <n v="3606.3000000000011"/>
    <n v="0.3000000000000001"/>
    <x v="7"/>
    <n v="2023"/>
  </r>
  <r>
    <x v="1365"/>
    <d v="2023-01-27T00:00:00"/>
    <x v="1"/>
    <x v="1"/>
    <x v="46"/>
    <n v="5069"/>
    <n v="4"/>
    <n v="3294.85"/>
    <n v="1774.15"/>
    <n v="0.35000000000000003"/>
    <x v="9"/>
    <n v="2023"/>
  </r>
  <r>
    <x v="1366"/>
    <d v="2023-05-11T00:00:00"/>
    <x v="2"/>
    <x v="2"/>
    <x v="43"/>
    <n v="4440"/>
    <n v="5"/>
    <n v="3108"/>
    <n v="1332"/>
    <n v="0.3"/>
    <x v="4"/>
    <n v="2023"/>
  </r>
  <r>
    <x v="1367"/>
    <d v="2023-06-05T00:00:00"/>
    <x v="3"/>
    <x v="3"/>
    <x v="33"/>
    <n v="15910"/>
    <n v="9"/>
    <n v="11932.5"/>
    <n v="3977.5"/>
    <n v="0.25"/>
    <x v="2"/>
    <n v="2023"/>
  </r>
  <r>
    <x v="1368"/>
    <d v="2023-05-18T00:00:00"/>
    <x v="0"/>
    <x v="1"/>
    <x v="24"/>
    <n v="10338"/>
    <n v="1"/>
    <n v="6719.7"/>
    <n v="3618.3"/>
    <n v="0.35000000000000003"/>
    <x v="4"/>
    <n v="2023"/>
  </r>
  <r>
    <x v="1369"/>
    <d v="2023-12-03T00:00:00"/>
    <x v="1"/>
    <x v="1"/>
    <x v="42"/>
    <n v="18521"/>
    <n v="1"/>
    <n v="12038.65"/>
    <n v="6482.35"/>
    <n v="0.35000000000000003"/>
    <x v="7"/>
    <n v="2023"/>
  </r>
  <r>
    <x v="1370"/>
    <d v="2023-04-02T00:00:00"/>
    <x v="2"/>
    <x v="3"/>
    <x v="24"/>
    <n v="8098"/>
    <n v="2"/>
    <n v="6073.5"/>
    <n v="2024.5"/>
    <n v="0.25"/>
    <x v="1"/>
    <n v="2023"/>
  </r>
  <r>
    <x v="1371"/>
    <d v="2023-04-24T00:00:00"/>
    <x v="3"/>
    <x v="3"/>
    <x v="15"/>
    <n v="10824"/>
    <n v="4"/>
    <n v="8118"/>
    <n v="2706"/>
    <n v="0.25"/>
    <x v="1"/>
    <n v="2023"/>
  </r>
  <r>
    <x v="1372"/>
    <d v="2023-10-04T00:00:00"/>
    <x v="0"/>
    <x v="1"/>
    <x v="9"/>
    <n v="4980"/>
    <n v="1"/>
    <n v="3237"/>
    <n v="1743"/>
    <n v="0.35"/>
    <x v="0"/>
    <n v="2023"/>
  </r>
  <r>
    <x v="1373"/>
    <d v="2023-04-14T00:00:00"/>
    <x v="1"/>
    <x v="2"/>
    <x v="24"/>
    <n v="18543"/>
    <n v="5"/>
    <n v="12980.099999999999"/>
    <n v="5562.9000000000015"/>
    <n v="0.3000000000000001"/>
    <x v="1"/>
    <n v="2023"/>
  </r>
  <r>
    <x v="1374"/>
    <d v="2023-02-10T00:00:00"/>
    <x v="2"/>
    <x v="3"/>
    <x v="13"/>
    <n v="18464"/>
    <n v="10"/>
    <n v="13848"/>
    <n v="4616"/>
    <n v="0.25"/>
    <x v="8"/>
    <n v="2023"/>
  </r>
  <r>
    <x v="1375"/>
    <d v="2023-11-02T00:00:00"/>
    <x v="3"/>
    <x v="0"/>
    <x v="8"/>
    <n v="9972"/>
    <n v="2"/>
    <n v="5983.2"/>
    <n v="3988.8"/>
    <n v="0.4"/>
    <x v="3"/>
    <n v="2023"/>
  </r>
  <r>
    <x v="1376"/>
    <d v="2023-02-12T00:00:00"/>
    <x v="0"/>
    <x v="1"/>
    <x v="16"/>
    <n v="12978"/>
    <n v="1"/>
    <n v="8435.7000000000007"/>
    <n v="4542.2999999999993"/>
    <n v="0.34999999999999992"/>
    <x v="8"/>
    <n v="2023"/>
  </r>
  <r>
    <x v="1377"/>
    <d v="2023-12-07T00:00:00"/>
    <x v="1"/>
    <x v="2"/>
    <x v="16"/>
    <n v="5945"/>
    <n v="8"/>
    <n v="4161.5"/>
    <n v="1783.5"/>
    <n v="0.3"/>
    <x v="7"/>
    <n v="2023"/>
  </r>
  <r>
    <x v="1378"/>
    <d v="2023-03-06T00:00:00"/>
    <x v="2"/>
    <x v="1"/>
    <x v="32"/>
    <n v="3689"/>
    <n v="10"/>
    <n v="2397.85"/>
    <n v="1291.1500000000001"/>
    <n v="0.35000000000000003"/>
    <x v="11"/>
    <n v="2023"/>
  </r>
  <r>
    <x v="1379"/>
    <d v="2023-11-09T00:00:00"/>
    <x v="3"/>
    <x v="2"/>
    <x v="4"/>
    <n v="8485"/>
    <n v="2"/>
    <n v="5939.5"/>
    <n v="2545.5"/>
    <n v="0.3"/>
    <x v="3"/>
    <n v="2023"/>
  </r>
  <r>
    <x v="1380"/>
    <d v="2023-08-10T00:00:00"/>
    <x v="0"/>
    <x v="2"/>
    <x v="28"/>
    <n v="16895"/>
    <n v="3"/>
    <n v="11826.5"/>
    <n v="5068.5"/>
    <n v="0.3"/>
    <x v="5"/>
    <n v="2023"/>
  </r>
  <r>
    <x v="1381"/>
    <d v="2023-02-28T00:00:00"/>
    <x v="1"/>
    <x v="3"/>
    <x v="21"/>
    <n v="13556"/>
    <n v="7"/>
    <n v="10167"/>
    <n v="3389"/>
    <n v="0.25"/>
    <x v="8"/>
    <n v="2023"/>
  </r>
  <r>
    <x v="1382"/>
    <d v="2023-04-21T00:00:00"/>
    <x v="2"/>
    <x v="3"/>
    <x v="28"/>
    <n v="18519"/>
    <n v="2"/>
    <n v="13889.25"/>
    <n v="4629.75"/>
    <n v="0.25"/>
    <x v="1"/>
    <n v="2023"/>
  </r>
  <r>
    <x v="1383"/>
    <d v="2023-11-08T00:00:00"/>
    <x v="3"/>
    <x v="2"/>
    <x v="19"/>
    <n v="4022"/>
    <n v="10"/>
    <n v="2815.3999999999996"/>
    <n v="1206.6000000000004"/>
    <n v="0.3000000000000001"/>
    <x v="3"/>
    <n v="2023"/>
  </r>
  <r>
    <x v="1384"/>
    <d v="2023-02-08T00:00:00"/>
    <x v="0"/>
    <x v="0"/>
    <x v="16"/>
    <n v="1930"/>
    <n v="7"/>
    <n v="1158"/>
    <n v="772"/>
    <n v="0.4"/>
    <x v="8"/>
    <n v="2023"/>
  </r>
  <r>
    <x v="1385"/>
    <d v="2023-06-20T00:00:00"/>
    <x v="1"/>
    <x v="1"/>
    <x v="12"/>
    <n v="9937"/>
    <n v="1"/>
    <n v="6459.05"/>
    <n v="3477.95"/>
    <n v="0.35"/>
    <x v="2"/>
    <n v="2023"/>
  </r>
  <r>
    <x v="1386"/>
    <d v="2023-10-23T00:00:00"/>
    <x v="2"/>
    <x v="0"/>
    <x v="32"/>
    <n v="14849"/>
    <n v="1"/>
    <n v="8909.4"/>
    <n v="5939.6"/>
    <n v="0.4"/>
    <x v="0"/>
    <n v="2023"/>
  </r>
  <r>
    <x v="1387"/>
    <d v="2023-11-26T00:00:00"/>
    <x v="3"/>
    <x v="1"/>
    <x v="40"/>
    <n v="18135"/>
    <n v="10"/>
    <n v="11787.75"/>
    <n v="6347.25"/>
    <n v="0.35"/>
    <x v="3"/>
    <n v="2023"/>
  </r>
  <r>
    <x v="1388"/>
    <d v="2023-08-22T00:00:00"/>
    <x v="0"/>
    <x v="3"/>
    <x v="36"/>
    <n v="2167"/>
    <n v="10"/>
    <n v="1625.25"/>
    <n v="541.75"/>
    <n v="0.25"/>
    <x v="5"/>
    <n v="2023"/>
  </r>
  <r>
    <x v="1389"/>
    <d v="2023-09-08T00:00:00"/>
    <x v="1"/>
    <x v="3"/>
    <x v="47"/>
    <n v="17752"/>
    <n v="5"/>
    <n v="13314"/>
    <n v="4438"/>
    <n v="0.25"/>
    <x v="10"/>
    <n v="2023"/>
  </r>
  <r>
    <x v="1390"/>
    <d v="2023-05-14T00:00:00"/>
    <x v="2"/>
    <x v="0"/>
    <x v="46"/>
    <n v="12535"/>
    <n v="10"/>
    <n v="7521"/>
    <n v="5014"/>
    <n v="0.4"/>
    <x v="4"/>
    <n v="2023"/>
  </r>
  <r>
    <x v="1391"/>
    <d v="2023-04-01T00:00:00"/>
    <x v="3"/>
    <x v="0"/>
    <x v="48"/>
    <n v="8094"/>
    <n v="6"/>
    <n v="4856.3999999999996"/>
    <n v="3237.6000000000004"/>
    <n v="0.4"/>
    <x v="1"/>
    <n v="2023"/>
  </r>
  <r>
    <x v="1392"/>
    <d v="2023-09-13T00:00:00"/>
    <x v="0"/>
    <x v="2"/>
    <x v="47"/>
    <n v="8317"/>
    <n v="9"/>
    <n v="5821.9"/>
    <n v="2495.1000000000004"/>
    <n v="0.30000000000000004"/>
    <x v="10"/>
    <n v="2023"/>
  </r>
  <r>
    <x v="1393"/>
    <d v="2023-04-17T00:00:00"/>
    <x v="1"/>
    <x v="2"/>
    <x v="34"/>
    <n v="16373"/>
    <n v="8"/>
    <n v="11461.099999999999"/>
    <n v="4911.9000000000015"/>
    <n v="0.3000000000000001"/>
    <x v="1"/>
    <n v="2023"/>
  </r>
  <r>
    <x v="1394"/>
    <d v="2023-08-08T00:00:00"/>
    <x v="2"/>
    <x v="0"/>
    <x v="39"/>
    <n v="15544"/>
    <n v="4"/>
    <n v="9326.4"/>
    <n v="6217.6"/>
    <n v="0.4"/>
    <x v="5"/>
    <n v="2023"/>
  </r>
  <r>
    <x v="1395"/>
    <d v="2023-10-09T00:00:00"/>
    <x v="3"/>
    <x v="2"/>
    <x v="33"/>
    <n v="16911"/>
    <n v="4"/>
    <n v="11837.699999999999"/>
    <n v="5073.3000000000011"/>
    <n v="0.30000000000000004"/>
    <x v="0"/>
    <n v="2023"/>
  </r>
  <r>
    <x v="1396"/>
    <d v="2023-02-20T00:00:00"/>
    <x v="0"/>
    <x v="0"/>
    <x v="4"/>
    <n v="18072"/>
    <n v="3"/>
    <n v="10843.199999999999"/>
    <n v="7228.8000000000011"/>
    <n v="0.40000000000000008"/>
    <x v="8"/>
    <n v="2023"/>
  </r>
  <r>
    <x v="1397"/>
    <d v="2023-01-12T00:00:00"/>
    <x v="1"/>
    <x v="2"/>
    <x v="5"/>
    <n v="8650"/>
    <n v="6"/>
    <n v="6055"/>
    <n v="2595"/>
    <n v="0.3"/>
    <x v="9"/>
    <n v="2023"/>
  </r>
  <r>
    <x v="1398"/>
    <d v="2023-08-20T00:00:00"/>
    <x v="2"/>
    <x v="2"/>
    <x v="6"/>
    <n v="15562"/>
    <n v="3"/>
    <n v="10893.4"/>
    <n v="4668.6000000000004"/>
    <n v="0.30000000000000004"/>
    <x v="5"/>
    <n v="2023"/>
  </r>
  <r>
    <x v="1399"/>
    <d v="2023-03-25T00:00:00"/>
    <x v="3"/>
    <x v="0"/>
    <x v="9"/>
    <n v="14624"/>
    <n v="5"/>
    <n v="8774.4"/>
    <n v="5849.6"/>
    <n v="0.4"/>
    <x v="11"/>
    <n v="2023"/>
  </r>
  <r>
    <x v="1400"/>
    <d v="2023-11-11T00:00:00"/>
    <x v="0"/>
    <x v="3"/>
    <x v="23"/>
    <n v="1951"/>
    <n v="6"/>
    <n v="1463.25"/>
    <n v="487.75"/>
    <n v="0.25"/>
    <x v="3"/>
    <n v="2023"/>
  </r>
  <r>
    <x v="1401"/>
    <d v="2023-07-10T00:00:00"/>
    <x v="1"/>
    <x v="2"/>
    <x v="1"/>
    <n v="13910"/>
    <n v="10"/>
    <n v="9737"/>
    <n v="4173"/>
    <n v="0.3"/>
    <x v="6"/>
    <n v="2023"/>
  </r>
  <r>
    <x v="1402"/>
    <d v="2023-06-21T00:00:00"/>
    <x v="2"/>
    <x v="0"/>
    <x v="36"/>
    <n v="14146"/>
    <n v="4"/>
    <n v="8487.6"/>
    <n v="5658.4"/>
    <n v="0.39999999999999997"/>
    <x v="2"/>
    <n v="2023"/>
  </r>
  <r>
    <x v="1403"/>
    <d v="2023-10-06T00:00:00"/>
    <x v="3"/>
    <x v="2"/>
    <x v="12"/>
    <n v="4331"/>
    <n v="8"/>
    <n v="3031.7"/>
    <n v="1299.3000000000002"/>
    <n v="0.30000000000000004"/>
    <x v="0"/>
    <n v="2023"/>
  </r>
  <r>
    <x v="1404"/>
    <d v="2023-01-26T00:00:00"/>
    <x v="0"/>
    <x v="0"/>
    <x v="2"/>
    <n v="10311"/>
    <n v="3"/>
    <n v="6186.5999999999995"/>
    <n v="4124.4000000000005"/>
    <n v="0.40000000000000008"/>
    <x v="9"/>
    <n v="2023"/>
  </r>
  <r>
    <x v="1405"/>
    <d v="2023-04-22T00:00:00"/>
    <x v="1"/>
    <x v="0"/>
    <x v="48"/>
    <n v="3165"/>
    <n v="3"/>
    <n v="1899"/>
    <n v="1266"/>
    <n v="0.4"/>
    <x v="1"/>
    <n v="2023"/>
  </r>
  <r>
    <x v="1406"/>
    <d v="2023-10-01T00:00:00"/>
    <x v="2"/>
    <x v="1"/>
    <x v="6"/>
    <n v="2151"/>
    <n v="3"/>
    <n v="1398.15"/>
    <n v="752.84999999999991"/>
    <n v="0.35"/>
    <x v="0"/>
    <n v="2023"/>
  </r>
  <r>
    <x v="1407"/>
    <d v="2023-05-03T00:00:00"/>
    <x v="3"/>
    <x v="1"/>
    <x v="45"/>
    <n v="17692"/>
    <n v="5"/>
    <n v="11499.800000000001"/>
    <n v="6192.1999999999989"/>
    <n v="0.34999999999999992"/>
    <x v="4"/>
    <n v="2023"/>
  </r>
  <r>
    <x v="1408"/>
    <d v="2023-08-06T00:00:00"/>
    <x v="0"/>
    <x v="2"/>
    <x v="4"/>
    <n v="18749"/>
    <n v="10"/>
    <n v="13124.3"/>
    <n v="5624.7000000000007"/>
    <n v="0.30000000000000004"/>
    <x v="5"/>
    <n v="2023"/>
  </r>
  <r>
    <x v="1409"/>
    <d v="2023-05-21T00:00:00"/>
    <x v="1"/>
    <x v="3"/>
    <x v="48"/>
    <n v="4391"/>
    <n v="10"/>
    <n v="3293.25"/>
    <n v="1097.75"/>
    <n v="0.25"/>
    <x v="4"/>
    <n v="2023"/>
  </r>
  <r>
    <x v="1410"/>
    <d v="2023-09-09T00:00:00"/>
    <x v="2"/>
    <x v="0"/>
    <x v="35"/>
    <n v="7228"/>
    <n v="4"/>
    <n v="4336.8"/>
    <n v="2891.2"/>
    <n v="0.39999999999999997"/>
    <x v="10"/>
    <n v="2023"/>
  </r>
  <r>
    <x v="1411"/>
    <d v="2023-10-07T00:00:00"/>
    <x v="3"/>
    <x v="1"/>
    <x v="45"/>
    <n v="8229"/>
    <n v="2"/>
    <n v="5348.85"/>
    <n v="2880.1499999999996"/>
    <n v="0.35"/>
    <x v="0"/>
    <n v="2023"/>
  </r>
  <r>
    <x v="1412"/>
    <d v="2023-02-27T00:00:00"/>
    <x v="0"/>
    <x v="3"/>
    <x v="23"/>
    <n v="9970"/>
    <n v="4"/>
    <n v="7477.5"/>
    <n v="2492.5"/>
    <n v="0.25"/>
    <x v="8"/>
    <n v="2023"/>
  </r>
  <r>
    <x v="1413"/>
    <d v="2023-08-10T00:00:00"/>
    <x v="1"/>
    <x v="3"/>
    <x v="9"/>
    <n v="3809"/>
    <n v="2"/>
    <n v="2856.75"/>
    <n v="952.25"/>
    <n v="0.25"/>
    <x v="5"/>
    <n v="2023"/>
  </r>
  <r>
    <x v="1414"/>
    <d v="2023-07-08T00:00:00"/>
    <x v="2"/>
    <x v="1"/>
    <x v="0"/>
    <n v="3635"/>
    <n v="8"/>
    <n v="2362.75"/>
    <n v="1272.25"/>
    <n v="0.35"/>
    <x v="6"/>
    <n v="2023"/>
  </r>
  <r>
    <x v="1415"/>
    <d v="2023-04-25T00:00:00"/>
    <x v="3"/>
    <x v="3"/>
    <x v="21"/>
    <n v="13807"/>
    <n v="10"/>
    <n v="10355.25"/>
    <n v="3451.75"/>
    <n v="0.25"/>
    <x v="1"/>
    <n v="2023"/>
  </r>
  <r>
    <x v="1416"/>
    <d v="2023-10-03T00:00:00"/>
    <x v="0"/>
    <x v="2"/>
    <x v="12"/>
    <n v="8428"/>
    <n v="9"/>
    <n v="5899.5999999999995"/>
    <n v="2528.4000000000005"/>
    <n v="0.30000000000000004"/>
    <x v="0"/>
    <n v="2023"/>
  </r>
  <r>
    <x v="1417"/>
    <d v="2023-12-23T00:00:00"/>
    <x v="1"/>
    <x v="0"/>
    <x v="31"/>
    <n v="7421"/>
    <n v="5"/>
    <n v="4452.5999999999995"/>
    <n v="2968.4000000000005"/>
    <n v="0.40000000000000008"/>
    <x v="7"/>
    <n v="2023"/>
  </r>
  <r>
    <x v="1418"/>
    <d v="2023-12-02T00:00:00"/>
    <x v="2"/>
    <x v="0"/>
    <x v="39"/>
    <n v="10221"/>
    <n v="9"/>
    <n v="6132.5999999999995"/>
    <n v="4088.4000000000005"/>
    <n v="0.40000000000000008"/>
    <x v="7"/>
    <n v="2023"/>
  </r>
  <r>
    <x v="1419"/>
    <d v="2023-06-09T00:00:00"/>
    <x v="3"/>
    <x v="0"/>
    <x v="4"/>
    <n v="17875"/>
    <n v="9"/>
    <n v="10725"/>
    <n v="7150"/>
    <n v="0.4"/>
    <x v="2"/>
    <n v="2023"/>
  </r>
  <r>
    <x v="1420"/>
    <d v="2023-07-08T00:00:00"/>
    <x v="0"/>
    <x v="0"/>
    <x v="15"/>
    <n v="16519"/>
    <n v="10"/>
    <n v="9911.4"/>
    <n v="6607.6"/>
    <n v="0.4"/>
    <x v="6"/>
    <n v="2023"/>
  </r>
  <r>
    <x v="1421"/>
    <d v="2023-01-03T00:00:00"/>
    <x v="1"/>
    <x v="3"/>
    <x v="20"/>
    <n v="18063"/>
    <n v="9"/>
    <n v="13547.25"/>
    <n v="4515.75"/>
    <n v="0.25"/>
    <x v="9"/>
    <n v="2023"/>
  </r>
  <r>
    <x v="1422"/>
    <d v="2023-12-12T00:00:00"/>
    <x v="2"/>
    <x v="3"/>
    <x v="48"/>
    <n v="4259"/>
    <n v="1"/>
    <n v="3194.25"/>
    <n v="1064.75"/>
    <n v="0.25"/>
    <x v="7"/>
    <n v="2023"/>
  </r>
  <r>
    <x v="1423"/>
    <d v="2023-06-23T00:00:00"/>
    <x v="3"/>
    <x v="1"/>
    <x v="12"/>
    <n v="5499"/>
    <n v="6"/>
    <n v="3574.35"/>
    <n v="1924.65"/>
    <n v="0.35000000000000003"/>
    <x v="2"/>
    <n v="2023"/>
  </r>
  <r>
    <x v="1424"/>
    <d v="2023-03-20T00:00:00"/>
    <x v="0"/>
    <x v="2"/>
    <x v="48"/>
    <n v="4736"/>
    <n v="5"/>
    <n v="3315.2"/>
    <n v="1420.8000000000002"/>
    <n v="0.30000000000000004"/>
    <x v="11"/>
    <n v="2023"/>
  </r>
  <r>
    <x v="1425"/>
    <d v="2023-01-21T00:00:00"/>
    <x v="1"/>
    <x v="0"/>
    <x v="10"/>
    <n v="12476"/>
    <n v="3"/>
    <n v="7485.5999999999995"/>
    <n v="4990.4000000000005"/>
    <n v="0.4"/>
    <x v="9"/>
    <n v="2023"/>
  </r>
  <r>
    <x v="1426"/>
    <d v="2023-09-02T00:00:00"/>
    <x v="2"/>
    <x v="1"/>
    <x v="32"/>
    <n v="4138"/>
    <n v="4"/>
    <n v="2689.7000000000003"/>
    <n v="1448.2999999999997"/>
    <n v="0.34999999999999992"/>
    <x v="10"/>
    <n v="2023"/>
  </r>
  <r>
    <x v="1427"/>
    <d v="2023-12-15T00:00:00"/>
    <x v="3"/>
    <x v="2"/>
    <x v="14"/>
    <n v="1768"/>
    <n v="7"/>
    <n v="1237.5999999999999"/>
    <n v="530.40000000000009"/>
    <n v="0.30000000000000004"/>
    <x v="7"/>
    <n v="2023"/>
  </r>
  <r>
    <x v="1428"/>
    <d v="2023-07-09T00:00:00"/>
    <x v="0"/>
    <x v="3"/>
    <x v="33"/>
    <n v="6704"/>
    <n v="4"/>
    <n v="5028"/>
    <n v="1676"/>
    <n v="0.25"/>
    <x v="6"/>
    <n v="2023"/>
  </r>
  <r>
    <x v="1429"/>
    <d v="2023-03-09T00:00:00"/>
    <x v="1"/>
    <x v="0"/>
    <x v="35"/>
    <n v="3642"/>
    <n v="8"/>
    <n v="2185.1999999999998"/>
    <n v="1456.8000000000002"/>
    <n v="0.4"/>
    <x v="11"/>
    <n v="2023"/>
  </r>
  <r>
    <x v="1430"/>
    <d v="2023-02-25T00:00:00"/>
    <x v="2"/>
    <x v="3"/>
    <x v="24"/>
    <n v="2428"/>
    <n v="2"/>
    <n v="1821"/>
    <n v="607"/>
    <n v="0.25"/>
    <x v="8"/>
    <n v="2023"/>
  </r>
  <r>
    <x v="1431"/>
    <d v="2023-01-03T00:00:00"/>
    <x v="3"/>
    <x v="0"/>
    <x v="15"/>
    <n v="3490"/>
    <n v="4"/>
    <n v="2094"/>
    <n v="1396"/>
    <n v="0.4"/>
    <x v="9"/>
    <n v="2023"/>
  </r>
  <r>
    <x v="1432"/>
    <d v="2023-03-19T00:00:00"/>
    <x v="0"/>
    <x v="0"/>
    <x v="24"/>
    <n v="7993"/>
    <n v="10"/>
    <n v="4795.8"/>
    <n v="3197.2"/>
    <n v="0.39999999999999997"/>
    <x v="11"/>
    <n v="2023"/>
  </r>
  <r>
    <x v="1433"/>
    <d v="2023-12-06T00:00:00"/>
    <x v="1"/>
    <x v="0"/>
    <x v="10"/>
    <n v="18494"/>
    <n v="5"/>
    <n v="11096.4"/>
    <n v="7397.6"/>
    <n v="0.4"/>
    <x v="7"/>
    <n v="2023"/>
  </r>
  <r>
    <x v="1434"/>
    <d v="2023-11-18T00:00:00"/>
    <x v="2"/>
    <x v="1"/>
    <x v="27"/>
    <n v="9269"/>
    <n v="5"/>
    <n v="6024.85"/>
    <n v="3244.1499999999996"/>
    <n v="0.35"/>
    <x v="3"/>
    <n v="2023"/>
  </r>
  <r>
    <x v="1435"/>
    <d v="2023-10-04T00:00:00"/>
    <x v="3"/>
    <x v="3"/>
    <x v="17"/>
    <n v="2668"/>
    <n v="6"/>
    <n v="2001"/>
    <n v="667"/>
    <n v="0.25"/>
    <x v="0"/>
    <n v="2023"/>
  </r>
  <r>
    <x v="1436"/>
    <d v="2023-02-15T00:00:00"/>
    <x v="0"/>
    <x v="3"/>
    <x v="20"/>
    <n v="1442"/>
    <n v="10"/>
    <n v="1081.5"/>
    <n v="360.5"/>
    <n v="0.25"/>
    <x v="8"/>
    <n v="2023"/>
  </r>
  <r>
    <x v="1437"/>
    <d v="2023-08-25T00:00:00"/>
    <x v="1"/>
    <x v="2"/>
    <x v="21"/>
    <n v="10003"/>
    <n v="2"/>
    <n v="7002.0999999999995"/>
    <n v="3000.9000000000005"/>
    <n v="0.30000000000000004"/>
    <x v="5"/>
    <n v="2023"/>
  </r>
  <r>
    <x v="1438"/>
    <d v="2023-02-22T00:00:00"/>
    <x v="2"/>
    <x v="2"/>
    <x v="29"/>
    <n v="5573"/>
    <n v="6"/>
    <n v="3901.1"/>
    <n v="1671.9"/>
    <n v="0.3"/>
    <x v="8"/>
    <n v="2023"/>
  </r>
  <r>
    <x v="1439"/>
    <d v="2023-07-27T00:00:00"/>
    <x v="3"/>
    <x v="2"/>
    <x v="40"/>
    <n v="17647"/>
    <n v="7"/>
    <n v="12352.9"/>
    <n v="5294.1"/>
    <n v="0.30000000000000004"/>
    <x v="6"/>
    <n v="2023"/>
  </r>
  <r>
    <x v="1440"/>
    <d v="2023-11-16T00:00:00"/>
    <x v="0"/>
    <x v="0"/>
    <x v="7"/>
    <n v="10069"/>
    <n v="5"/>
    <n v="6041.4"/>
    <n v="4027.6000000000004"/>
    <n v="0.4"/>
    <x v="3"/>
    <n v="2023"/>
  </r>
  <r>
    <x v="1441"/>
    <d v="2023-12-04T00:00:00"/>
    <x v="1"/>
    <x v="2"/>
    <x v="44"/>
    <n v="17691"/>
    <n v="4"/>
    <n v="12383.699999999999"/>
    <n v="5307.3000000000011"/>
    <n v="0.30000000000000004"/>
    <x v="7"/>
    <n v="2023"/>
  </r>
  <r>
    <x v="1442"/>
    <d v="2023-01-09T00:00:00"/>
    <x v="2"/>
    <x v="2"/>
    <x v="25"/>
    <n v="4651"/>
    <n v="1"/>
    <n v="3255.7"/>
    <n v="1395.3000000000002"/>
    <n v="0.30000000000000004"/>
    <x v="9"/>
    <n v="2023"/>
  </r>
  <r>
    <x v="1443"/>
    <d v="2023-06-14T00:00:00"/>
    <x v="3"/>
    <x v="3"/>
    <x v="1"/>
    <n v="13467"/>
    <n v="3"/>
    <n v="10100.25"/>
    <n v="3366.75"/>
    <n v="0.25"/>
    <x v="2"/>
    <n v="2023"/>
  </r>
  <r>
    <x v="1444"/>
    <d v="2023-10-13T00:00:00"/>
    <x v="0"/>
    <x v="1"/>
    <x v="28"/>
    <n v="4341"/>
    <n v="5"/>
    <n v="2821.65"/>
    <n v="1519.35"/>
    <n v="0.35"/>
    <x v="0"/>
    <n v="2023"/>
  </r>
  <r>
    <x v="1445"/>
    <d v="2023-01-09T00:00:00"/>
    <x v="1"/>
    <x v="2"/>
    <x v="42"/>
    <n v="6542"/>
    <n v="1"/>
    <n v="4579.3999999999996"/>
    <n v="1962.6000000000004"/>
    <n v="0.30000000000000004"/>
    <x v="9"/>
    <n v="2023"/>
  </r>
  <r>
    <x v="1446"/>
    <d v="2023-11-06T00:00:00"/>
    <x v="2"/>
    <x v="1"/>
    <x v="49"/>
    <n v="2555"/>
    <n v="7"/>
    <n v="1660.75"/>
    <n v="894.25"/>
    <n v="0.35"/>
    <x v="3"/>
    <n v="2023"/>
  </r>
  <r>
    <x v="1447"/>
    <d v="2023-10-27T00:00:00"/>
    <x v="3"/>
    <x v="3"/>
    <x v="16"/>
    <n v="7976"/>
    <n v="4"/>
    <n v="5982"/>
    <n v="1994"/>
    <n v="0.25"/>
    <x v="0"/>
    <n v="2023"/>
  </r>
  <r>
    <x v="1448"/>
    <d v="2023-06-22T00:00:00"/>
    <x v="0"/>
    <x v="1"/>
    <x v="41"/>
    <n v="1511"/>
    <n v="9"/>
    <n v="982.15"/>
    <n v="528.85"/>
    <n v="0.35000000000000003"/>
    <x v="2"/>
    <n v="2023"/>
  </r>
  <r>
    <x v="1449"/>
    <d v="2023-08-01T00:00:00"/>
    <x v="1"/>
    <x v="3"/>
    <x v="35"/>
    <n v="4260"/>
    <n v="4"/>
    <n v="3195"/>
    <n v="1065"/>
    <n v="0.25"/>
    <x v="5"/>
    <n v="2023"/>
  </r>
  <r>
    <x v="1450"/>
    <d v="2023-06-12T00:00:00"/>
    <x v="2"/>
    <x v="1"/>
    <x v="9"/>
    <n v="16628"/>
    <n v="1"/>
    <n v="10808.2"/>
    <n v="5819.7999999999993"/>
    <n v="0.35"/>
    <x v="2"/>
    <n v="2023"/>
  </r>
  <r>
    <x v="1451"/>
    <d v="2023-11-17T00:00:00"/>
    <x v="3"/>
    <x v="0"/>
    <x v="22"/>
    <n v="6028"/>
    <n v="1"/>
    <n v="3616.7999999999997"/>
    <n v="2411.2000000000003"/>
    <n v="0.4"/>
    <x v="3"/>
    <n v="2023"/>
  </r>
  <r>
    <x v="1452"/>
    <d v="2023-05-19T00:00:00"/>
    <x v="0"/>
    <x v="0"/>
    <x v="0"/>
    <n v="18899"/>
    <n v="3"/>
    <n v="11339.4"/>
    <n v="7559.6"/>
    <n v="0.4"/>
    <x v="4"/>
    <n v="2023"/>
  </r>
  <r>
    <x v="1453"/>
    <d v="2023-03-24T00:00:00"/>
    <x v="1"/>
    <x v="3"/>
    <x v="2"/>
    <n v="1231"/>
    <n v="8"/>
    <n v="923.25"/>
    <n v="307.75"/>
    <n v="0.25"/>
    <x v="11"/>
    <n v="2023"/>
  </r>
  <r>
    <x v="1454"/>
    <d v="2023-06-16T00:00:00"/>
    <x v="2"/>
    <x v="3"/>
    <x v="43"/>
    <n v="8917"/>
    <n v="4"/>
    <n v="6687.75"/>
    <n v="2229.25"/>
    <n v="0.25"/>
    <x v="2"/>
    <n v="2023"/>
  </r>
  <r>
    <x v="1455"/>
    <d v="2023-10-08T00:00:00"/>
    <x v="3"/>
    <x v="2"/>
    <x v="13"/>
    <n v="6290"/>
    <n v="1"/>
    <n v="4403"/>
    <n v="1887"/>
    <n v="0.3"/>
    <x v="0"/>
    <n v="2023"/>
  </r>
  <r>
    <x v="1456"/>
    <d v="2023-03-01T00:00:00"/>
    <x v="0"/>
    <x v="2"/>
    <x v="45"/>
    <n v="16690"/>
    <n v="6"/>
    <n v="11683"/>
    <n v="5007"/>
    <n v="0.3"/>
    <x v="11"/>
    <n v="2023"/>
  </r>
  <r>
    <x v="1457"/>
    <d v="2023-07-25T00:00:00"/>
    <x v="1"/>
    <x v="3"/>
    <x v="47"/>
    <n v="10670"/>
    <n v="3"/>
    <n v="8002.5"/>
    <n v="2667.5"/>
    <n v="0.25"/>
    <x v="6"/>
    <n v="2023"/>
  </r>
  <r>
    <x v="1458"/>
    <d v="2023-11-11T00:00:00"/>
    <x v="2"/>
    <x v="0"/>
    <x v="48"/>
    <n v="4961"/>
    <n v="7"/>
    <n v="2976.6"/>
    <n v="1984.4"/>
    <n v="0.4"/>
    <x v="3"/>
    <n v="2023"/>
  </r>
  <r>
    <x v="1459"/>
    <d v="2023-02-22T00:00:00"/>
    <x v="3"/>
    <x v="0"/>
    <x v="40"/>
    <n v="1589"/>
    <n v="10"/>
    <n v="953.4"/>
    <n v="635.6"/>
    <n v="0.4"/>
    <x v="8"/>
    <n v="2023"/>
  </r>
  <r>
    <x v="1460"/>
    <d v="2023-01-22T00:00:00"/>
    <x v="0"/>
    <x v="3"/>
    <x v="10"/>
    <n v="17044"/>
    <n v="10"/>
    <n v="12783"/>
    <n v="4261"/>
    <n v="0.25"/>
    <x v="9"/>
    <n v="2023"/>
  </r>
  <r>
    <x v="1461"/>
    <d v="2023-06-01T00:00:00"/>
    <x v="1"/>
    <x v="3"/>
    <x v="45"/>
    <n v="5766"/>
    <n v="1"/>
    <n v="4324.5"/>
    <n v="1441.5"/>
    <n v="0.25"/>
    <x v="2"/>
    <n v="2023"/>
  </r>
  <r>
    <x v="1462"/>
    <d v="2023-05-28T00:00:00"/>
    <x v="2"/>
    <x v="0"/>
    <x v="4"/>
    <n v="6771"/>
    <n v="10"/>
    <n v="4062.6"/>
    <n v="2708.4"/>
    <n v="0.4"/>
    <x v="4"/>
    <n v="2023"/>
  </r>
  <r>
    <x v="1463"/>
    <d v="2023-12-05T00:00:00"/>
    <x v="3"/>
    <x v="1"/>
    <x v="49"/>
    <n v="3561"/>
    <n v="7"/>
    <n v="2314.65"/>
    <n v="1246.3499999999999"/>
    <n v="0.35"/>
    <x v="7"/>
    <n v="2023"/>
  </r>
  <r>
    <x v="1464"/>
    <d v="2023-08-09T00:00:00"/>
    <x v="0"/>
    <x v="3"/>
    <x v="18"/>
    <n v="3574"/>
    <n v="9"/>
    <n v="2680.5"/>
    <n v="893.5"/>
    <n v="0.25"/>
    <x v="5"/>
    <n v="2023"/>
  </r>
  <r>
    <x v="1465"/>
    <d v="2023-06-03T00:00:00"/>
    <x v="1"/>
    <x v="3"/>
    <x v="26"/>
    <n v="14125"/>
    <n v="6"/>
    <n v="10593.75"/>
    <n v="3531.25"/>
    <n v="0.25"/>
    <x v="2"/>
    <n v="2023"/>
  </r>
  <r>
    <x v="1466"/>
    <d v="2023-02-22T00:00:00"/>
    <x v="2"/>
    <x v="3"/>
    <x v="40"/>
    <n v="12300"/>
    <n v="10"/>
    <n v="9225"/>
    <n v="3075"/>
    <n v="0.25"/>
    <x v="8"/>
    <n v="2023"/>
  </r>
  <r>
    <x v="1467"/>
    <d v="2023-12-22T00:00:00"/>
    <x v="3"/>
    <x v="3"/>
    <x v="29"/>
    <n v="14820"/>
    <n v="6"/>
    <n v="11115"/>
    <n v="3705"/>
    <n v="0.25"/>
    <x v="7"/>
    <n v="2023"/>
  </r>
  <r>
    <x v="1468"/>
    <d v="2023-11-07T00:00:00"/>
    <x v="0"/>
    <x v="0"/>
    <x v="12"/>
    <n v="17946"/>
    <n v="2"/>
    <n v="10767.6"/>
    <n v="7178.4"/>
    <n v="0.39999999999999997"/>
    <x v="3"/>
    <n v="2023"/>
  </r>
  <r>
    <x v="1469"/>
    <d v="2023-04-24T00:00:00"/>
    <x v="1"/>
    <x v="0"/>
    <x v="13"/>
    <n v="5765"/>
    <n v="9"/>
    <n v="3459"/>
    <n v="2306"/>
    <n v="0.4"/>
    <x v="1"/>
    <n v="2023"/>
  </r>
  <r>
    <x v="1470"/>
    <d v="2023-04-16T00:00:00"/>
    <x v="2"/>
    <x v="3"/>
    <x v="2"/>
    <n v="3867"/>
    <n v="9"/>
    <n v="2900.25"/>
    <n v="966.75"/>
    <n v="0.25"/>
    <x v="1"/>
    <n v="2023"/>
  </r>
  <r>
    <x v="1471"/>
    <d v="2023-04-25T00:00:00"/>
    <x v="3"/>
    <x v="0"/>
    <x v="43"/>
    <n v="19252"/>
    <n v="2"/>
    <n v="11551.199999999999"/>
    <n v="7700.8000000000011"/>
    <n v="0.40000000000000008"/>
    <x v="1"/>
    <n v="2023"/>
  </r>
  <r>
    <x v="1472"/>
    <d v="2023-05-06T00:00:00"/>
    <x v="0"/>
    <x v="2"/>
    <x v="19"/>
    <n v="18726"/>
    <n v="7"/>
    <n v="13108.199999999999"/>
    <n v="5617.8000000000011"/>
    <n v="0.30000000000000004"/>
    <x v="4"/>
    <n v="2023"/>
  </r>
  <r>
    <x v="1473"/>
    <d v="2023-12-01T00:00:00"/>
    <x v="1"/>
    <x v="2"/>
    <x v="15"/>
    <n v="19780"/>
    <n v="9"/>
    <n v="13846"/>
    <n v="5934"/>
    <n v="0.3"/>
    <x v="7"/>
    <n v="2023"/>
  </r>
  <r>
    <x v="1474"/>
    <d v="2023-09-05T00:00:00"/>
    <x v="2"/>
    <x v="1"/>
    <x v="9"/>
    <n v="5394"/>
    <n v="1"/>
    <n v="3506.1"/>
    <n v="1887.9"/>
    <n v="0.35000000000000003"/>
    <x v="10"/>
    <n v="2023"/>
  </r>
  <r>
    <x v="1475"/>
    <d v="2023-01-18T00:00:00"/>
    <x v="3"/>
    <x v="3"/>
    <x v="42"/>
    <n v="17316"/>
    <n v="1"/>
    <n v="12987"/>
    <n v="4329"/>
    <n v="0.25"/>
    <x v="9"/>
    <n v="2023"/>
  </r>
  <r>
    <x v="1476"/>
    <d v="2023-11-11T00:00:00"/>
    <x v="0"/>
    <x v="1"/>
    <x v="15"/>
    <n v="9211"/>
    <n v="8"/>
    <n v="5987.1500000000005"/>
    <n v="3223.8499999999995"/>
    <n v="0.34999999999999992"/>
    <x v="3"/>
    <n v="2023"/>
  </r>
  <r>
    <x v="1477"/>
    <d v="2023-12-09T00:00:00"/>
    <x v="1"/>
    <x v="3"/>
    <x v="30"/>
    <n v="13417"/>
    <n v="6"/>
    <n v="10062.75"/>
    <n v="3354.25"/>
    <n v="0.25"/>
    <x v="7"/>
    <n v="2023"/>
  </r>
  <r>
    <x v="1478"/>
    <d v="2023-08-10T00:00:00"/>
    <x v="2"/>
    <x v="1"/>
    <x v="6"/>
    <n v="9084"/>
    <n v="2"/>
    <n v="5904.6"/>
    <n v="3179.3999999999996"/>
    <n v="0.35"/>
    <x v="5"/>
    <n v="2023"/>
  </r>
  <r>
    <x v="1479"/>
    <d v="2023-01-26T00:00:00"/>
    <x v="3"/>
    <x v="2"/>
    <x v="35"/>
    <n v="19482"/>
    <n v="3"/>
    <n v="13637.4"/>
    <n v="5844.6"/>
    <n v="0.30000000000000004"/>
    <x v="9"/>
    <n v="2023"/>
  </r>
  <r>
    <x v="1480"/>
    <d v="2023-02-06T00:00:00"/>
    <x v="0"/>
    <x v="1"/>
    <x v="36"/>
    <n v="3276"/>
    <n v="3"/>
    <n v="2129.4"/>
    <n v="1146.5999999999999"/>
    <n v="0.35"/>
    <x v="8"/>
    <n v="2023"/>
  </r>
  <r>
    <x v="1481"/>
    <d v="2023-06-02T00:00:00"/>
    <x v="1"/>
    <x v="3"/>
    <x v="13"/>
    <n v="2068"/>
    <n v="8"/>
    <n v="1551"/>
    <n v="517"/>
    <n v="0.25"/>
    <x v="2"/>
    <n v="2023"/>
  </r>
  <r>
    <x v="1482"/>
    <d v="2023-09-02T00:00:00"/>
    <x v="2"/>
    <x v="2"/>
    <x v="13"/>
    <n v="5000"/>
    <n v="7"/>
    <n v="3500"/>
    <n v="1500"/>
    <n v="0.3"/>
    <x v="10"/>
    <n v="2023"/>
  </r>
  <r>
    <x v="1483"/>
    <d v="2023-07-14T00:00:00"/>
    <x v="3"/>
    <x v="1"/>
    <x v="27"/>
    <n v="6266"/>
    <n v="10"/>
    <n v="4072.9"/>
    <n v="2193.1"/>
    <n v="0.35"/>
    <x v="6"/>
    <n v="2023"/>
  </r>
  <r>
    <x v="1484"/>
    <d v="2023-09-05T00:00:00"/>
    <x v="0"/>
    <x v="3"/>
    <x v="45"/>
    <n v="11155"/>
    <n v="3"/>
    <n v="8366.25"/>
    <n v="2788.75"/>
    <n v="0.25"/>
    <x v="10"/>
    <n v="2023"/>
  </r>
  <r>
    <x v="1485"/>
    <d v="2023-02-28T00:00:00"/>
    <x v="1"/>
    <x v="3"/>
    <x v="44"/>
    <n v="9954"/>
    <n v="9"/>
    <n v="7465.5"/>
    <n v="2488.5"/>
    <n v="0.25"/>
    <x v="8"/>
    <n v="2023"/>
  </r>
  <r>
    <x v="1486"/>
    <d v="2023-08-23T00:00:00"/>
    <x v="2"/>
    <x v="2"/>
    <x v="43"/>
    <n v="12414"/>
    <n v="9"/>
    <n v="8689.7999999999993"/>
    <n v="3724.2000000000007"/>
    <n v="0.30000000000000004"/>
    <x v="5"/>
    <n v="2023"/>
  </r>
  <r>
    <x v="1487"/>
    <d v="2023-03-15T00:00:00"/>
    <x v="3"/>
    <x v="1"/>
    <x v="34"/>
    <n v="9943"/>
    <n v="10"/>
    <n v="6462.95"/>
    <n v="3480.05"/>
    <n v="0.35000000000000003"/>
    <x v="11"/>
    <n v="2023"/>
  </r>
  <r>
    <x v="1488"/>
    <d v="2023-12-05T00:00:00"/>
    <x v="0"/>
    <x v="1"/>
    <x v="31"/>
    <n v="17929"/>
    <n v="10"/>
    <n v="11653.85"/>
    <n v="6275.15"/>
    <n v="0.35"/>
    <x v="7"/>
    <n v="2023"/>
  </r>
  <r>
    <x v="1489"/>
    <d v="2023-03-21T00:00:00"/>
    <x v="1"/>
    <x v="2"/>
    <x v="24"/>
    <n v="1542"/>
    <n v="10"/>
    <n v="1079.3999999999999"/>
    <n v="462.60000000000014"/>
    <n v="0.3000000000000001"/>
    <x v="11"/>
    <n v="2023"/>
  </r>
  <r>
    <x v="1490"/>
    <d v="2023-02-06T00:00:00"/>
    <x v="2"/>
    <x v="1"/>
    <x v="42"/>
    <n v="17953"/>
    <n v="9"/>
    <n v="11669.45"/>
    <n v="6283.5499999999993"/>
    <n v="0.35"/>
    <x v="8"/>
    <n v="2023"/>
  </r>
  <r>
    <x v="1491"/>
    <d v="2023-01-11T00:00:00"/>
    <x v="3"/>
    <x v="3"/>
    <x v="4"/>
    <n v="18732"/>
    <n v="4"/>
    <n v="14049"/>
    <n v="4683"/>
    <n v="0.25"/>
    <x v="9"/>
    <n v="2023"/>
  </r>
  <r>
    <x v="1492"/>
    <d v="2023-09-07T00:00:00"/>
    <x v="0"/>
    <x v="0"/>
    <x v="8"/>
    <n v="10087"/>
    <n v="10"/>
    <n v="6052.2"/>
    <n v="4034.8"/>
    <n v="0.4"/>
    <x v="10"/>
    <n v="2023"/>
  </r>
  <r>
    <x v="1493"/>
    <d v="2023-11-07T00:00:00"/>
    <x v="1"/>
    <x v="1"/>
    <x v="48"/>
    <n v="621"/>
    <n v="8"/>
    <n v="403.65000000000003"/>
    <n v="217.34999999999997"/>
    <n v="0.34999999999999992"/>
    <x v="3"/>
    <n v="2023"/>
  </r>
  <r>
    <x v="1494"/>
    <d v="2023-07-01T00:00:00"/>
    <x v="2"/>
    <x v="1"/>
    <x v="14"/>
    <n v="10974"/>
    <n v="2"/>
    <n v="7133.1"/>
    <n v="3840.8999999999996"/>
    <n v="0.35"/>
    <x v="6"/>
    <n v="2023"/>
  </r>
  <r>
    <x v="1495"/>
    <d v="2023-11-28T00:00:00"/>
    <x v="3"/>
    <x v="3"/>
    <x v="6"/>
    <n v="8637"/>
    <n v="5"/>
    <n v="6477.75"/>
    <n v="2159.25"/>
    <n v="0.25"/>
    <x v="3"/>
    <n v="2023"/>
  </r>
  <r>
    <x v="1496"/>
    <d v="2023-12-14T00:00:00"/>
    <x v="0"/>
    <x v="0"/>
    <x v="45"/>
    <n v="8781"/>
    <n v="5"/>
    <n v="5268.5999999999995"/>
    <n v="3512.4000000000005"/>
    <n v="0.40000000000000008"/>
    <x v="7"/>
    <n v="2023"/>
  </r>
  <r>
    <x v="1497"/>
    <d v="2023-08-15T00:00:00"/>
    <x v="1"/>
    <x v="0"/>
    <x v="44"/>
    <n v="12516"/>
    <n v="3"/>
    <n v="7509.5999999999995"/>
    <n v="5006.4000000000005"/>
    <n v="0.4"/>
    <x v="5"/>
    <n v="2023"/>
  </r>
  <r>
    <x v="1498"/>
    <d v="2023-08-26T00:00:00"/>
    <x v="2"/>
    <x v="1"/>
    <x v="29"/>
    <n v="14233"/>
    <n v="8"/>
    <n v="9251.4500000000007"/>
    <n v="4981.5499999999993"/>
    <n v="0.34999999999999992"/>
    <x v="5"/>
    <n v="2023"/>
  </r>
  <r>
    <x v="1499"/>
    <d v="2023-11-20T00:00:00"/>
    <x v="3"/>
    <x v="3"/>
    <x v="33"/>
    <n v="5630"/>
    <n v="7"/>
    <n v="4222.5"/>
    <n v="1407.5"/>
    <n v="0.25"/>
    <x v="3"/>
    <n v="2023"/>
  </r>
  <r>
    <x v="1500"/>
    <d v="2023-09-13T00:00:00"/>
    <x v="0"/>
    <x v="2"/>
    <x v="35"/>
    <n v="6387"/>
    <n v="4"/>
    <n v="4470.8999999999996"/>
    <n v="1916.1000000000004"/>
    <n v="0.30000000000000004"/>
    <x v="10"/>
    <n v="2023"/>
  </r>
  <r>
    <x v="1501"/>
    <d v="2023-09-15T00:00:00"/>
    <x v="1"/>
    <x v="2"/>
    <x v="49"/>
    <n v="8524"/>
    <n v="2"/>
    <n v="5966.7999999999993"/>
    <n v="2557.2000000000007"/>
    <n v="0.3000000000000001"/>
    <x v="10"/>
    <n v="2023"/>
  </r>
  <r>
    <x v="1502"/>
    <d v="2023-03-24T00:00:00"/>
    <x v="2"/>
    <x v="2"/>
    <x v="31"/>
    <n v="15705"/>
    <n v="4"/>
    <n v="10993.5"/>
    <n v="4711.5"/>
    <n v="0.3"/>
    <x v="11"/>
    <n v="2023"/>
  </r>
  <r>
    <x v="1503"/>
    <d v="2023-02-24T00:00:00"/>
    <x v="3"/>
    <x v="1"/>
    <x v="22"/>
    <n v="5736"/>
    <n v="5"/>
    <n v="3728.4"/>
    <n v="2007.6"/>
    <n v="0.35"/>
    <x v="8"/>
    <n v="2023"/>
  </r>
  <r>
    <x v="1504"/>
    <d v="2023-01-01T00:00:00"/>
    <x v="0"/>
    <x v="0"/>
    <x v="26"/>
    <n v="8232"/>
    <n v="6"/>
    <n v="4939.2"/>
    <n v="3292.8"/>
    <n v="0.4"/>
    <x v="9"/>
    <n v="2023"/>
  </r>
  <r>
    <x v="1505"/>
    <d v="2023-11-22T00:00:00"/>
    <x v="1"/>
    <x v="3"/>
    <x v="35"/>
    <n v="13827"/>
    <n v="8"/>
    <n v="10370.25"/>
    <n v="3456.75"/>
    <n v="0.25"/>
    <x v="3"/>
    <n v="2023"/>
  </r>
  <r>
    <x v="1506"/>
    <d v="2023-04-23T00:00:00"/>
    <x v="2"/>
    <x v="1"/>
    <x v="8"/>
    <n v="5753"/>
    <n v="8"/>
    <n v="3739.4500000000003"/>
    <n v="2013.5499999999997"/>
    <n v="0.35"/>
    <x v="1"/>
    <n v="2023"/>
  </r>
  <r>
    <x v="1507"/>
    <d v="2023-09-20T00:00:00"/>
    <x v="3"/>
    <x v="1"/>
    <x v="26"/>
    <n v="9231"/>
    <n v="3"/>
    <n v="6000.1500000000005"/>
    <n v="3230.8499999999995"/>
    <n v="0.34999999999999992"/>
    <x v="10"/>
    <n v="2023"/>
  </r>
  <r>
    <x v="1508"/>
    <d v="2023-11-27T00:00:00"/>
    <x v="0"/>
    <x v="3"/>
    <x v="2"/>
    <n v="2576"/>
    <n v="9"/>
    <n v="1932"/>
    <n v="644"/>
    <n v="0.25"/>
    <x v="3"/>
    <n v="2023"/>
  </r>
  <r>
    <x v="1509"/>
    <d v="2023-05-26T00:00:00"/>
    <x v="1"/>
    <x v="1"/>
    <x v="30"/>
    <n v="9435"/>
    <n v="1"/>
    <n v="6132.75"/>
    <n v="3302.25"/>
    <n v="0.35"/>
    <x v="4"/>
    <n v="2023"/>
  </r>
  <r>
    <x v="1510"/>
    <d v="2023-09-27T00:00:00"/>
    <x v="2"/>
    <x v="0"/>
    <x v="34"/>
    <n v="16737"/>
    <n v="8"/>
    <n v="10042.199999999999"/>
    <n v="6694.8000000000011"/>
    <n v="0.40000000000000008"/>
    <x v="10"/>
    <n v="2023"/>
  </r>
  <r>
    <x v="1511"/>
    <d v="2023-02-04T00:00:00"/>
    <x v="3"/>
    <x v="1"/>
    <x v="39"/>
    <n v="1936"/>
    <n v="2"/>
    <n v="1258.4000000000001"/>
    <n v="677.59999999999991"/>
    <n v="0.35"/>
    <x v="8"/>
    <n v="2023"/>
  </r>
  <r>
    <x v="1512"/>
    <d v="2023-12-15T00:00:00"/>
    <x v="0"/>
    <x v="1"/>
    <x v="1"/>
    <n v="5669"/>
    <n v="10"/>
    <n v="3684.85"/>
    <n v="1984.15"/>
    <n v="0.35000000000000003"/>
    <x v="7"/>
    <n v="2023"/>
  </r>
  <r>
    <x v="1513"/>
    <d v="2023-01-04T00:00:00"/>
    <x v="1"/>
    <x v="0"/>
    <x v="2"/>
    <n v="18193"/>
    <n v="6"/>
    <n v="10915.8"/>
    <n v="7277.2000000000007"/>
    <n v="0.4"/>
    <x v="9"/>
    <n v="2023"/>
  </r>
  <r>
    <x v="1514"/>
    <d v="2023-04-28T00:00:00"/>
    <x v="2"/>
    <x v="3"/>
    <x v="40"/>
    <n v="7380"/>
    <n v="6"/>
    <n v="5535"/>
    <n v="1845"/>
    <n v="0.25"/>
    <x v="1"/>
    <n v="2023"/>
  </r>
  <r>
    <x v="1515"/>
    <d v="2023-01-26T00:00:00"/>
    <x v="3"/>
    <x v="1"/>
    <x v="40"/>
    <n v="9786"/>
    <n v="1"/>
    <n v="6360.9000000000005"/>
    <n v="3425.0999999999995"/>
    <n v="0.34999999999999992"/>
    <x v="9"/>
    <n v="2023"/>
  </r>
  <r>
    <x v="1516"/>
    <d v="2023-05-16T00:00:00"/>
    <x v="0"/>
    <x v="0"/>
    <x v="18"/>
    <n v="10004"/>
    <n v="8"/>
    <n v="6002.4"/>
    <n v="4001.6000000000004"/>
    <n v="0.4"/>
    <x v="4"/>
    <n v="2023"/>
  </r>
  <r>
    <x v="1517"/>
    <d v="2023-06-27T00:00:00"/>
    <x v="1"/>
    <x v="2"/>
    <x v="3"/>
    <n v="13001"/>
    <n v="9"/>
    <n v="9100.6999999999989"/>
    <n v="3900.3000000000011"/>
    <n v="0.3000000000000001"/>
    <x v="2"/>
    <n v="2023"/>
  </r>
  <r>
    <x v="1518"/>
    <d v="2023-08-23T00:00:00"/>
    <x v="2"/>
    <x v="0"/>
    <x v="23"/>
    <n v="17509"/>
    <n v="5"/>
    <n v="10505.4"/>
    <n v="7003.6"/>
    <n v="0.4"/>
    <x v="5"/>
    <n v="2023"/>
  </r>
  <r>
    <x v="1519"/>
    <d v="2023-06-27T00:00:00"/>
    <x v="3"/>
    <x v="3"/>
    <x v="18"/>
    <n v="5621"/>
    <n v="1"/>
    <n v="4215.75"/>
    <n v="1405.25"/>
    <n v="0.25"/>
    <x v="2"/>
    <n v="2023"/>
  </r>
  <r>
    <x v="1520"/>
    <d v="2023-11-25T00:00:00"/>
    <x v="0"/>
    <x v="1"/>
    <x v="40"/>
    <n v="5470"/>
    <n v="8"/>
    <n v="3555.5"/>
    <n v="1914.5"/>
    <n v="0.35"/>
    <x v="3"/>
    <n v="2023"/>
  </r>
  <r>
    <x v="1521"/>
    <d v="2023-08-13T00:00:00"/>
    <x v="1"/>
    <x v="0"/>
    <x v="33"/>
    <n v="3104"/>
    <n v="9"/>
    <n v="1862.3999999999999"/>
    <n v="1241.6000000000001"/>
    <n v="0.4"/>
    <x v="5"/>
    <n v="2023"/>
  </r>
  <r>
    <x v="1522"/>
    <d v="2023-10-17T00:00:00"/>
    <x v="2"/>
    <x v="0"/>
    <x v="18"/>
    <n v="10447"/>
    <n v="5"/>
    <n v="6268.2"/>
    <n v="4178.8"/>
    <n v="0.4"/>
    <x v="0"/>
    <n v="2023"/>
  </r>
  <r>
    <x v="1523"/>
    <d v="2023-11-12T00:00:00"/>
    <x v="3"/>
    <x v="2"/>
    <x v="2"/>
    <n v="2483"/>
    <n v="5"/>
    <n v="1738.1"/>
    <n v="744.90000000000009"/>
    <n v="0.30000000000000004"/>
    <x v="3"/>
    <n v="2023"/>
  </r>
  <r>
    <x v="1524"/>
    <d v="2023-08-10T00:00:00"/>
    <x v="0"/>
    <x v="3"/>
    <x v="30"/>
    <n v="11748"/>
    <n v="3"/>
    <n v="8811"/>
    <n v="2937"/>
    <n v="0.25"/>
    <x v="5"/>
    <n v="2023"/>
  </r>
  <r>
    <x v="1525"/>
    <d v="2023-04-11T00:00:00"/>
    <x v="1"/>
    <x v="2"/>
    <x v="26"/>
    <n v="5293"/>
    <n v="4"/>
    <n v="3705.1"/>
    <n v="1587.9"/>
    <n v="0.30000000000000004"/>
    <x v="1"/>
    <n v="2023"/>
  </r>
  <r>
    <x v="1526"/>
    <d v="2023-01-24T00:00:00"/>
    <x v="2"/>
    <x v="1"/>
    <x v="47"/>
    <n v="19424"/>
    <n v="8"/>
    <n v="12625.6"/>
    <n v="6798.4"/>
    <n v="0.35"/>
    <x v="9"/>
    <n v="2023"/>
  </r>
  <r>
    <x v="1527"/>
    <d v="2023-11-20T00:00:00"/>
    <x v="3"/>
    <x v="2"/>
    <x v="2"/>
    <n v="916"/>
    <n v="5"/>
    <n v="641.19999999999993"/>
    <n v="274.80000000000007"/>
    <n v="0.3000000000000001"/>
    <x v="3"/>
    <n v="2023"/>
  </r>
  <r>
    <x v="1528"/>
    <d v="2023-01-14T00:00:00"/>
    <x v="0"/>
    <x v="3"/>
    <x v="14"/>
    <n v="7362"/>
    <n v="5"/>
    <n v="5521.5"/>
    <n v="1840.5"/>
    <n v="0.25"/>
    <x v="9"/>
    <n v="2023"/>
  </r>
  <r>
    <x v="1529"/>
    <d v="2023-08-10T00:00:00"/>
    <x v="1"/>
    <x v="3"/>
    <x v="46"/>
    <n v="9559"/>
    <n v="2"/>
    <n v="7169.25"/>
    <n v="2389.75"/>
    <n v="0.25"/>
    <x v="5"/>
    <n v="2023"/>
  </r>
  <r>
    <x v="1530"/>
    <d v="2023-08-16T00:00:00"/>
    <x v="2"/>
    <x v="2"/>
    <x v="18"/>
    <n v="3122"/>
    <n v="8"/>
    <n v="2185.3999999999996"/>
    <n v="936.60000000000036"/>
    <n v="0.3000000000000001"/>
    <x v="5"/>
    <n v="2023"/>
  </r>
  <r>
    <x v="1531"/>
    <d v="2023-07-20T00:00:00"/>
    <x v="3"/>
    <x v="0"/>
    <x v="48"/>
    <n v="17904"/>
    <n v="7"/>
    <n v="10742.4"/>
    <n v="7161.6"/>
    <n v="0.4"/>
    <x v="6"/>
    <n v="2023"/>
  </r>
  <r>
    <x v="1532"/>
    <d v="2023-02-10T00:00:00"/>
    <x v="0"/>
    <x v="3"/>
    <x v="39"/>
    <n v="8629"/>
    <n v="1"/>
    <n v="6471.75"/>
    <n v="2157.25"/>
    <n v="0.25"/>
    <x v="8"/>
    <n v="2023"/>
  </r>
  <r>
    <x v="1533"/>
    <d v="2023-02-06T00:00:00"/>
    <x v="1"/>
    <x v="3"/>
    <x v="46"/>
    <n v="4107"/>
    <n v="3"/>
    <n v="3080.25"/>
    <n v="1026.75"/>
    <n v="0.25"/>
    <x v="8"/>
    <n v="2023"/>
  </r>
  <r>
    <x v="1534"/>
    <d v="2023-09-28T00:00:00"/>
    <x v="2"/>
    <x v="3"/>
    <x v="4"/>
    <n v="7338"/>
    <n v="7"/>
    <n v="5503.5"/>
    <n v="1834.5"/>
    <n v="0.25"/>
    <x v="10"/>
    <n v="2023"/>
  </r>
  <r>
    <x v="1535"/>
    <d v="2023-10-25T00:00:00"/>
    <x v="3"/>
    <x v="0"/>
    <x v="14"/>
    <n v="10089"/>
    <n v="3"/>
    <n v="6053.4"/>
    <n v="4035.6000000000004"/>
    <n v="0.4"/>
    <x v="0"/>
    <n v="2023"/>
  </r>
  <r>
    <x v="1536"/>
    <d v="2023-11-14T00:00:00"/>
    <x v="0"/>
    <x v="3"/>
    <x v="10"/>
    <n v="6294"/>
    <n v="10"/>
    <n v="4720.5"/>
    <n v="1573.5"/>
    <n v="0.25"/>
    <x v="3"/>
    <n v="2023"/>
  </r>
  <r>
    <x v="1537"/>
    <d v="2023-06-20T00:00:00"/>
    <x v="1"/>
    <x v="1"/>
    <x v="10"/>
    <n v="17852"/>
    <n v="6"/>
    <n v="11603.800000000001"/>
    <n v="6248.1999999999989"/>
    <n v="0.34999999999999992"/>
    <x v="2"/>
    <n v="2023"/>
  </r>
  <r>
    <x v="1538"/>
    <d v="2023-12-15T00:00:00"/>
    <x v="2"/>
    <x v="0"/>
    <x v="10"/>
    <n v="5158"/>
    <n v="6"/>
    <n v="3094.7999999999997"/>
    <n v="2063.2000000000003"/>
    <n v="0.40000000000000008"/>
    <x v="7"/>
    <n v="2023"/>
  </r>
  <r>
    <x v="1539"/>
    <d v="2023-01-10T00:00:00"/>
    <x v="3"/>
    <x v="2"/>
    <x v="18"/>
    <n v="17353"/>
    <n v="5"/>
    <n v="12147.099999999999"/>
    <n v="5205.9000000000015"/>
    <n v="0.3000000000000001"/>
    <x v="9"/>
    <n v="2023"/>
  </r>
  <r>
    <x v="1540"/>
    <d v="2023-01-09T00:00:00"/>
    <x v="0"/>
    <x v="2"/>
    <x v="30"/>
    <n v="1466"/>
    <n v="6"/>
    <n v="1026.2"/>
    <n v="439.79999999999995"/>
    <n v="0.3"/>
    <x v="9"/>
    <n v="2023"/>
  </r>
  <r>
    <x v="1541"/>
    <d v="2023-06-19T00:00:00"/>
    <x v="1"/>
    <x v="0"/>
    <x v="27"/>
    <n v="7337"/>
    <n v="7"/>
    <n v="4402.2"/>
    <n v="2934.8"/>
    <n v="0.4"/>
    <x v="2"/>
    <n v="2023"/>
  </r>
  <r>
    <x v="1542"/>
    <d v="2023-05-26T00:00:00"/>
    <x v="2"/>
    <x v="0"/>
    <x v="45"/>
    <n v="18401"/>
    <n v="1"/>
    <n v="11040.6"/>
    <n v="7360.4"/>
    <n v="0.39999999999999997"/>
    <x v="4"/>
    <n v="2023"/>
  </r>
  <r>
    <x v="1543"/>
    <d v="2023-03-03T00:00:00"/>
    <x v="3"/>
    <x v="3"/>
    <x v="13"/>
    <n v="1456"/>
    <n v="1"/>
    <n v="1092"/>
    <n v="364"/>
    <n v="0.25"/>
    <x v="11"/>
    <n v="2023"/>
  </r>
  <r>
    <x v="1544"/>
    <d v="2023-04-25T00:00:00"/>
    <x v="0"/>
    <x v="2"/>
    <x v="26"/>
    <n v="17753"/>
    <n v="4"/>
    <n v="12427.099999999999"/>
    <n v="5325.9000000000015"/>
    <n v="0.3000000000000001"/>
    <x v="1"/>
    <n v="2023"/>
  </r>
  <r>
    <x v="1545"/>
    <d v="2023-09-24T00:00:00"/>
    <x v="1"/>
    <x v="0"/>
    <x v="45"/>
    <n v="9974"/>
    <n v="10"/>
    <n v="5984.4"/>
    <n v="3989.6000000000004"/>
    <n v="0.4"/>
    <x v="10"/>
    <n v="2023"/>
  </r>
  <r>
    <x v="1546"/>
    <d v="2023-04-25T00:00:00"/>
    <x v="2"/>
    <x v="2"/>
    <x v="18"/>
    <n v="9673"/>
    <n v="7"/>
    <n v="6771.0999999999995"/>
    <n v="2901.9000000000005"/>
    <n v="0.30000000000000004"/>
    <x v="1"/>
    <n v="2023"/>
  </r>
  <r>
    <x v="1547"/>
    <d v="2023-07-22T00:00:00"/>
    <x v="3"/>
    <x v="3"/>
    <x v="10"/>
    <n v="9192"/>
    <n v="6"/>
    <n v="6894"/>
    <n v="2298"/>
    <n v="0.25"/>
    <x v="6"/>
    <n v="2023"/>
  </r>
  <r>
    <x v="1548"/>
    <d v="2023-10-19T00:00:00"/>
    <x v="0"/>
    <x v="3"/>
    <x v="44"/>
    <n v="1219"/>
    <n v="6"/>
    <n v="914.25"/>
    <n v="304.75"/>
    <n v="0.25"/>
    <x v="0"/>
    <n v="2023"/>
  </r>
  <r>
    <x v="1549"/>
    <d v="2023-11-01T00:00:00"/>
    <x v="1"/>
    <x v="3"/>
    <x v="6"/>
    <n v="5273"/>
    <n v="7"/>
    <n v="3954.75"/>
    <n v="1318.25"/>
    <n v="0.25"/>
    <x v="3"/>
    <n v="2023"/>
  </r>
  <r>
    <x v="1550"/>
    <d v="2023-12-22T00:00:00"/>
    <x v="2"/>
    <x v="2"/>
    <x v="43"/>
    <n v="16444"/>
    <n v="4"/>
    <n v="11510.8"/>
    <n v="4933.2000000000007"/>
    <n v="0.30000000000000004"/>
    <x v="7"/>
    <n v="2023"/>
  </r>
  <r>
    <x v="1551"/>
    <d v="2023-06-07T00:00:00"/>
    <x v="3"/>
    <x v="3"/>
    <x v="0"/>
    <n v="16002"/>
    <n v="7"/>
    <n v="12001.5"/>
    <n v="4000.5"/>
    <n v="0.25"/>
    <x v="2"/>
    <n v="2023"/>
  </r>
  <r>
    <x v="1552"/>
    <d v="2023-07-12T00:00:00"/>
    <x v="0"/>
    <x v="2"/>
    <x v="23"/>
    <n v="17520"/>
    <n v="8"/>
    <n v="12264"/>
    <n v="5256"/>
    <n v="0.3"/>
    <x v="6"/>
    <n v="2023"/>
  </r>
  <r>
    <x v="1553"/>
    <d v="2023-01-21T00:00:00"/>
    <x v="1"/>
    <x v="3"/>
    <x v="31"/>
    <n v="6227"/>
    <n v="8"/>
    <n v="4670.25"/>
    <n v="1556.75"/>
    <n v="0.25"/>
    <x v="9"/>
    <n v="2023"/>
  </r>
  <r>
    <x v="1554"/>
    <d v="2023-08-11T00:00:00"/>
    <x v="2"/>
    <x v="0"/>
    <x v="36"/>
    <n v="15452"/>
    <n v="4"/>
    <n v="9271.1999999999989"/>
    <n v="6180.8000000000011"/>
    <n v="0.40000000000000008"/>
    <x v="5"/>
    <n v="2023"/>
  </r>
  <r>
    <x v="1555"/>
    <d v="2023-10-15T00:00:00"/>
    <x v="3"/>
    <x v="2"/>
    <x v="17"/>
    <n v="7042"/>
    <n v="5"/>
    <n v="4929.3999999999996"/>
    <n v="2112.6000000000004"/>
    <n v="0.30000000000000004"/>
    <x v="0"/>
    <n v="2023"/>
  </r>
  <r>
    <x v="1556"/>
    <d v="2023-03-10T00:00:00"/>
    <x v="0"/>
    <x v="2"/>
    <x v="2"/>
    <n v="10237"/>
    <n v="6"/>
    <n v="7165.9"/>
    <n v="3071.1000000000004"/>
    <n v="0.30000000000000004"/>
    <x v="11"/>
    <n v="2023"/>
  </r>
  <r>
    <x v="1557"/>
    <d v="2023-10-15T00:00:00"/>
    <x v="1"/>
    <x v="3"/>
    <x v="3"/>
    <n v="17952"/>
    <n v="3"/>
    <n v="13464"/>
    <n v="4488"/>
    <n v="0.25"/>
    <x v="0"/>
    <n v="2023"/>
  </r>
  <r>
    <x v="1558"/>
    <d v="2023-09-09T00:00:00"/>
    <x v="2"/>
    <x v="3"/>
    <x v="32"/>
    <n v="6167"/>
    <n v="3"/>
    <n v="4625.25"/>
    <n v="1541.75"/>
    <n v="0.25"/>
    <x v="10"/>
    <n v="2023"/>
  </r>
  <r>
    <x v="1559"/>
    <d v="2023-03-18T00:00:00"/>
    <x v="3"/>
    <x v="1"/>
    <x v="9"/>
    <n v="11754"/>
    <n v="6"/>
    <n v="7640.1"/>
    <n v="4113.8999999999996"/>
    <n v="0.35"/>
    <x v="11"/>
    <n v="2023"/>
  </r>
  <r>
    <x v="1560"/>
    <d v="2023-01-11T00:00:00"/>
    <x v="0"/>
    <x v="3"/>
    <x v="12"/>
    <n v="4112"/>
    <n v="8"/>
    <n v="3084"/>
    <n v="1028"/>
    <n v="0.25"/>
    <x v="9"/>
    <n v="2023"/>
  </r>
  <r>
    <x v="1561"/>
    <d v="2023-07-02T00:00:00"/>
    <x v="1"/>
    <x v="1"/>
    <x v="16"/>
    <n v="12907"/>
    <n v="10"/>
    <n v="8389.5500000000011"/>
    <n v="4517.4499999999989"/>
    <n v="0.34999999999999992"/>
    <x v="6"/>
    <n v="2023"/>
  </r>
  <r>
    <x v="1562"/>
    <d v="2023-01-24T00:00:00"/>
    <x v="2"/>
    <x v="2"/>
    <x v="29"/>
    <n v="2279"/>
    <n v="10"/>
    <n v="1595.3"/>
    <n v="683.7"/>
    <n v="0.30000000000000004"/>
    <x v="9"/>
    <n v="2023"/>
  </r>
  <r>
    <x v="1563"/>
    <d v="2023-06-24T00:00:00"/>
    <x v="3"/>
    <x v="2"/>
    <x v="11"/>
    <n v="11352"/>
    <n v="8"/>
    <n v="7946.4"/>
    <n v="3405.6000000000004"/>
    <n v="0.30000000000000004"/>
    <x v="2"/>
    <n v="2023"/>
  </r>
  <r>
    <x v="1564"/>
    <d v="2023-02-27T00:00:00"/>
    <x v="0"/>
    <x v="0"/>
    <x v="2"/>
    <n v="5517"/>
    <n v="5"/>
    <n v="3310.2"/>
    <n v="2206.8000000000002"/>
    <n v="0.4"/>
    <x v="8"/>
    <n v="2023"/>
  </r>
  <r>
    <x v="1565"/>
    <d v="2023-06-20T00:00:00"/>
    <x v="1"/>
    <x v="3"/>
    <x v="33"/>
    <n v="6273"/>
    <n v="9"/>
    <n v="4704.75"/>
    <n v="1568.25"/>
    <n v="0.25"/>
    <x v="2"/>
    <n v="2023"/>
  </r>
  <r>
    <x v="1566"/>
    <d v="2023-05-13T00:00:00"/>
    <x v="2"/>
    <x v="2"/>
    <x v="11"/>
    <n v="4838"/>
    <n v="3"/>
    <n v="3386.6"/>
    <n v="1451.4"/>
    <n v="0.30000000000000004"/>
    <x v="4"/>
    <n v="2023"/>
  </r>
  <r>
    <x v="1567"/>
    <d v="2023-01-23T00:00:00"/>
    <x v="3"/>
    <x v="2"/>
    <x v="23"/>
    <n v="10130"/>
    <n v="6"/>
    <n v="7091"/>
    <n v="3039"/>
    <n v="0.3"/>
    <x v="9"/>
    <n v="2023"/>
  </r>
  <r>
    <x v="1568"/>
    <d v="2023-10-03T00:00:00"/>
    <x v="0"/>
    <x v="3"/>
    <x v="43"/>
    <n v="3198"/>
    <n v="1"/>
    <n v="2398.5"/>
    <n v="799.5"/>
    <n v="0.25"/>
    <x v="0"/>
    <n v="2023"/>
  </r>
  <r>
    <x v="1569"/>
    <d v="2023-07-15T00:00:00"/>
    <x v="1"/>
    <x v="0"/>
    <x v="30"/>
    <n v="5227"/>
    <n v="1"/>
    <n v="3136.2"/>
    <n v="2090.8000000000002"/>
    <n v="0.4"/>
    <x v="6"/>
    <n v="2023"/>
  </r>
  <r>
    <x v="1570"/>
    <d v="2023-01-04T00:00:00"/>
    <x v="2"/>
    <x v="2"/>
    <x v="37"/>
    <n v="7316"/>
    <n v="2"/>
    <n v="5121.2"/>
    <n v="2194.8000000000002"/>
    <n v="0.30000000000000004"/>
    <x v="9"/>
    <n v="2023"/>
  </r>
  <r>
    <x v="1571"/>
    <d v="2023-08-13T00:00:00"/>
    <x v="3"/>
    <x v="0"/>
    <x v="32"/>
    <n v="8730"/>
    <n v="2"/>
    <n v="5238"/>
    <n v="3492"/>
    <n v="0.4"/>
    <x v="5"/>
    <n v="2023"/>
  </r>
  <r>
    <x v="1572"/>
    <d v="2023-02-02T00:00:00"/>
    <x v="0"/>
    <x v="3"/>
    <x v="4"/>
    <n v="19564"/>
    <n v="1"/>
    <n v="14673"/>
    <n v="4891"/>
    <n v="0.25"/>
    <x v="8"/>
    <n v="2023"/>
  </r>
  <r>
    <x v="1573"/>
    <d v="2023-04-08T00:00:00"/>
    <x v="1"/>
    <x v="2"/>
    <x v="17"/>
    <n v="4793"/>
    <n v="5"/>
    <n v="3355.1"/>
    <n v="1437.9"/>
    <n v="0.30000000000000004"/>
    <x v="1"/>
    <n v="2023"/>
  </r>
  <r>
    <x v="1574"/>
    <d v="2023-07-10T00:00:00"/>
    <x v="2"/>
    <x v="3"/>
    <x v="46"/>
    <n v="1666"/>
    <n v="4"/>
    <n v="1249.5"/>
    <n v="416.5"/>
    <n v="0.25"/>
    <x v="6"/>
    <n v="2023"/>
  </r>
  <r>
    <x v="1575"/>
    <d v="2023-07-16T00:00:00"/>
    <x v="3"/>
    <x v="0"/>
    <x v="18"/>
    <n v="18374"/>
    <n v="7"/>
    <n v="11024.4"/>
    <n v="7349.6"/>
    <n v="0.4"/>
    <x v="6"/>
    <n v="2023"/>
  </r>
  <r>
    <x v="1576"/>
    <d v="2023-03-07T00:00:00"/>
    <x v="0"/>
    <x v="3"/>
    <x v="14"/>
    <n v="9849"/>
    <n v="6"/>
    <n v="7386.75"/>
    <n v="2462.25"/>
    <n v="0.25"/>
    <x v="11"/>
    <n v="2023"/>
  </r>
  <r>
    <x v="1577"/>
    <d v="2023-08-09T00:00:00"/>
    <x v="1"/>
    <x v="2"/>
    <x v="18"/>
    <n v="5540"/>
    <n v="3"/>
    <n v="3877.9999999999995"/>
    <n v="1662.0000000000005"/>
    <n v="0.3000000000000001"/>
    <x v="5"/>
    <n v="2023"/>
  </r>
  <r>
    <x v="1578"/>
    <d v="2023-03-24T00:00:00"/>
    <x v="2"/>
    <x v="3"/>
    <x v="7"/>
    <n v="568"/>
    <n v="6"/>
    <n v="426"/>
    <n v="142"/>
    <n v="0.25"/>
    <x v="11"/>
    <n v="2023"/>
  </r>
  <r>
    <x v="1579"/>
    <d v="2023-09-18T00:00:00"/>
    <x v="3"/>
    <x v="3"/>
    <x v="40"/>
    <n v="17972"/>
    <n v="10"/>
    <n v="13479"/>
    <n v="4493"/>
    <n v="0.25"/>
    <x v="10"/>
    <n v="2023"/>
  </r>
  <r>
    <x v="1580"/>
    <d v="2023-10-03T00:00:00"/>
    <x v="0"/>
    <x v="3"/>
    <x v="24"/>
    <n v="10882"/>
    <n v="10"/>
    <n v="8161.5"/>
    <n v="2720.5"/>
    <n v="0.25"/>
    <x v="0"/>
    <n v="2023"/>
  </r>
  <r>
    <x v="1581"/>
    <d v="2023-01-22T00:00:00"/>
    <x v="1"/>
    <x v="3"/>
    <x v="5"/>
    <n v="5994"/>
    <n v="10"/>
    <n v="4495.5"/>
    <n v="1498.5"/>
    <n v="0.25"/>
    <x v="9"/>
    <n v="2023"/>
  </r>
  <r>
    <x v="1582"/>
    <d v="2023-05-07T00:00:00"/>
    <x v="2"/>
    <x v="1"/>
    <x v="41"/>
    <n v="4378"/>
    <n v="8"/>
    <n v="2845.7000000000003"/>
    <n v="1532.2999999999997"/>
    <n v="0.34999999999999992"/>
    <x v="4"/>
    <n v="2023"/>
  </r>
  <r>
    <x v="1583"/>
    <d v="2023-06-04T00:00:00"/>
    <x v="3"/>
    <x v="1"/>
    <x v="10"/>
    <n v="9436"/>
    <n v="7"/>
    <n v="6133.4000000000005"/>
    <n v="3302.5999999999995"/>
    <n v="0.34999999999999992"/>
    <x v="2"/>
    <n v="2023"/>
  </r>
  <r>
    <x v="1584"/>
    <d v="2023-05-07T00:00:00"/>
    <x v="0"/>
    <x v="3"/>
    <x v="21"/>
    <n v="3809"/>
    <n v="4"/>
    <n v="2856.75"/>
    <n v="952.25"/>
    <n v="0.25"/>
    <x v="4"/>
    <n v="2023"/>
  </r>
  <r>
    <x v="1585"/>
    <d v="2023-07-13T00:00:00"/>
    <x v="1"/>
    <x v="3"/>
    <x v="32"/>
    <n v="12951"/>
    <n v="10"/>
    <n v="9713.25"/>
    <n v="3237.75"/>
    <n v="0.25"/>
    <x v="6"/>
    <n v="2023"/>
  </r>
  <r>
    <x v="1586"/>
    <d v="2023-11-12T00:00:00"/>
    <x v="2"/>
    <x v="0"/>
    <x v="33"/>
    <n v="15159"/>
    <n v="3"/>
    <n v="9095.4"/>
    <n v="6063.6"/>
    <n v="0.4"/>
    <x v="3"/>
    <n v="2023"/>
  </r>
  <r>
    <x v="1587"/>
    <d v="2023-04-21T00:00:00"/>
    <x v="3"/>
    <x v="0"/>
    <x v="32"/>
    <n v="2938"/>
    <n v="10"/>
    <n v="1762.8"/>
    <n v="1175.2"/>
    <n v="0.4"/>
    <x v="1"/>
    <n v="2023"/>
  </r>
  <r>
    <x v="1588"/>
    <d v="2023-11-07T00:00:00"/>
    <x v="0"/>
    <x v="0"/>
    <x v="26"/>
    <n v="18075"/>
    <n v="2"/>
    <n v="10845"/>
    <n v="7230"/>
    <n v="0.4"/>
    <x v="3"/>
    <n v="2023"/>
  </r>
  <r>
    <x v="1589"/>
    <d v="2023-04-25T00:00:00"/>
    <x v="1"/>
    <x v="0"/>
    <x v="35"/>
    <n v="14006"/>
    <n v="1"/>
    <n v="8403.6"/>
    <n v="5602.4"/>
    <n v="0.39999999999999997"/>
    <x v="1"/>
    <n v="2023"/>
  </r>
  <r>
    <x v="1590"/>
    <d v="2023-07-07T00:00:00"/>
    <x v="2"/>
    <x v="0"/>
    <x v="47"/>
    <n v="16437"/>
    <n v="3"/>
    <n v="9862.1999999999989"/>
    <n v="6574.8000000000011"/>
    <n v="0.40000000000000008"/>
    <x v="6"/>
    <n v="2023"/>
  </r>
  <r>
    <x v="1591"/>
    <d v="2023-11-09T00:00:00"/>
    <x v="3"/>
    <x v="3"/>
    <x v="44"/>
    <n v="4316"/>
    <n v="3"/>
    <n v="3237"/>
    <n v="1079"/>
    <n v="0.25"/>
    <x v="3"/>
    <n v="2023"/>
  </r>
  <r>
    <x v="1592"/>
    <d v="2023-11-17T00:00:00"/>
    <x v="0"/>
    <x v="0"/>
    <x v="1"/>
    <n v="5383"/>
    <n v="8"/>
    <n v="3229.7999999999997"/>
    <n v="2153.2000000000003"/>
    <n v="0.40000000000000008"/>
    <x v="3"/>
    <n v="2023"/>
  </r>
  <r>
    <x v="1593"/>
    <d v="2023-09-24T00:00:00"/>
    <x v="1"/>
    <x v="1"/>
    <x v="8"/>
    <n v="10714"/>
    <n v="8"/>
    <n v="6964.1"/>
    <n v="3749.8999999999996"/>
    <n v="0.35"/>
    <x v="10"/>
    <n v="2023"/>
  </r>
  <r>
    <x v="1594"/>
    <d v="2023-12-03T00:00:00"/>
    <x v="2"/>
    <x v="1"/>
    <x v="30"/>
    <n v="4383"/>
    <n v="3"/>
    <n v="2848.9500000000003"/>
    <n v="1534.0499999999997"/>
    <n v="0.34999999999999992"/>
    <x v="7"/>
    <n v="2023"/>
  </r>
  <r>
    <x v="1595"/>
    <d v="2023-08-25T00:00:00"/>
    <x v="3"/>
    <x v="3"/>
    <x v="20"/>
    <n v="5644"/>
    <n v="10"/>
    <n v="4233"/>
    <n v="1411"/>
    <n v="0.25"/>
    <x v="5"/>
    <n v="2023"/>
  </r>
  <r>
    <x v="1596"/>
    <d v="2023-02-13T00:00:00"/>
    <x v="0"/>
    <x v="3"/>
    <x v="29"/>
    <n v="5293"/>
    <n v="3"/>
    <n v="3969.75"/>
    <n v="1323.25"/>
    <n v="0.25"/>
    <x v="8"/>
    <n v="2023"/>
  </r>
  <r>
    <x v="1597"/>
    <d v="2023-10-02T00:00:00"/>
    <x v="1"/>
    <x v="0"/>
    <x v="30"/>
    <n v="14367"/>
    <n v="8"/>
    <n v="8620.1999999999989"/>
    <n v="5746.8000000000011"/>
    <n v="0.40000000000000008"/>
    <x v="0"/>
    <n v="2023"/>
  </r>
  <r>
    <x v="1598"/>
    <d v="2023-03-01T00:00:00"/>
    <x v="2"/>
    <x v="3"/>
    <x v="35"/>
    <n v="11190"/>
    <n v="8"/>
    <n v="8392.5"/>
    <n v="2797.5"/>
    <n v="0.25"/>
    <x v="11"/>
    <n v="2023"/>
  </r>
  <r>
    <x v="1599"/>
    <d v="2023-05-09T00:00:00"/>
    <x v="3"/>
    <x v="1"/>
    <x v="8"/>
    <n v="4064"/>
    <n v="7"/>
    <n v="2641.6"/>
    <n v="1422.4"/>
    <n v="0.35000000000000003"/>
    <x v="4"/>
    <n v="2023"/>
  </r>
  <r>
    <x v="1600"/>
    <d v="2023-08-28T00:00:00"/>
    <x v="0"/>
    <x v="2"/>
    <x v="22"/>
    <n v="4928"/>
    <n v="5"/>
    <n v="3449.6"/>
    <n v="1478.4"/>
    <n v="0.30000000000000004"/>
    <x v="5"/>
    <n v="2023"/>
  </r>
  <r>
    <x v="1601"/>
    <d v="2023-10-20T00:00:00"/>
    <x v="1"/>
    <x v="3"/>
    <x v="17"/>
    <n v="12256"/>
    <n v="3"/>
    <n v="9192"/>
    <n v="3064"/>
    <n v="0.25"/>
    <x v="0"/>
    <n v="2023"/>
  </r>
  <r>
    <x v="1602"/>
    <d v="2023-08-11T00:00:00"/>
    <x v="2"/>
    <x v="2"/>
    <x v="27"/>
    <n v="4542"/>
    <n v="2"/>
    <n v="3179.3999999999996"/>
    <n v="1362.6000000000004"/>
    <n v="0.3000000000000001"/>
    <x v="5"/>
    <n v="2023"/>
  </r>
  <r>
    <x v="1603"/>
    <d v="2023-03-02T00:00:00"/>
    <x v="3"/>
    <x v="1"/>
    <x v="23"/>
    <n v="6690"/>
    <n v="5"/>
    <n v="4348.5"/>
    <n v="2341.5"/>
    <n v="0.35"/>
    <x v="11"/>
    <n v="2023"/>
  </r>
  <r>
    <x v="1604"/>
    <d v="2023-10-17T00:00:00"/>
    <x v="0"/>
    <x v="0"/>
    <x v="44"/>
    <n v="4813"/>
    <n v="9"/>
    <n v="2887.7999999999997"/>
    <n v="1925.2000000000003"/>
    <n v="0.40000000000000008"/>
    <x v="0"/>
    <n v="2023"/>
  </r>
  <r>
    <x v="1605"/>
    <d v="2023-04-14T00:00:00"/>
    <x v="1"/>
    <x v="0"/>
    <x v="19"/>
    <n v="1135"/>
    <n v="8"/>
    <n v="681"/>
    <n v="454"/>
    <n v="0.4"/>
    <x v="1"/>
    <n v="2023"/>
  </r>
  <r>
    <x v="1606"/>
    <d v="2023-11-04T00:00:00"/>
    <x v="2"/>
    <x v="1"/>
    <x v="30"/>
    <n v="10031"/>
    <n v="7"/>
    <n v="6520.1500000000005"/>
    <n v="3510.8499999999995"/>
    <n v="0.34999999999999992"/>
    <x v="3"/>
    <n v="2023"/>
  </r>
  <r>
    <x v="1607"/>
    <d v="2023-07-12T00:00:00"/>
    <x v="3"/>
    <x v="0"/>
    <x v="22"/>
    <n v="8109"/>
    <n v="5"/>
    <n v="4865.3999999999996"/>
    <n v="3243.6000000000004"/>
    <n v="0.4"/>
    <x v="6"/>
    <n v="2023"/>
  </r>
  <r>
    <x v="1608"/>
    <d v="2023-11-18T00:00:00"/>
    <x v="0"/>
    <x v="2"/>
    <x v="26"/>
    <n v="15544"/>
    <n v="4"/>
    <n v="10880.8"/>
    <n v="4663.2000000000007"/>
    <n v="0.30000000000000004"/>
    <x v="3"/>
    <n v="2023"/>
  </r>
  <r>
    <x v="1609"/>
    <d v="2023-12-16T00:00:00"/>
    <x v="1"/>
    <x v="1"/>
    <x v="11"/>
    <n v="2970"/>
    <n v="3"/>
    <n v="1930.5"/>
    <n v="1039.5"/>
    <n v="0.35"/>
    <x v="7"/>
    <n v="2023"/>
  </r>
  <r>
    <x v="1610"/>
    <d v="2023-07-17T00:00:00"/>
    <x v="2"/>
    <x v="3"/>
    <x v="30"/>
    <n v="15917"/>
    <n v="9"/>
    <n v="11937.75"/>
    <n v="3979.25"/>
    <n v="0.25"/>
    <x v="6"/>
    <n v="2023"/>
  </r>
  <r>
    <x v="1611"/>
    <d v="2023-04-10T00:00:00"/>
    <x v="3"/>
    <x v="3"/>
    <x v="44"/>
    <n v="6526"/>
    <n v="8"/>
    <n v="4894.5"/>
    <n v="1631.5"/>
    <n v="0.25"/>
    <x v="1"/>
    <n v="2023"/>
  </r>
  <r>
    <x v="1612"/>
    <d v="2023-11-11T00:00:00"/>
    <x v="0"/>
    <x v="2"/>
    <x v="34"/>
    <n v="1542"/>
    <n v="9"/>
    <n v="1079.3999999999999"/>
    <n v="462.60000000000014"/>
    <n v="0.3000000000000001"/>
    <x v="3"/>
    <n v="2023"/>
  </r>
  <r>
    <x v="1613"/>
    <d v="2023-03-01T00:00:00"/>
    <x v="1"/>
    <x v="2"/>
    <x v="27"/>
    <n v="18710"/>
    <n v="3"/>
    <n v="13097"/>
    <n v="5613"/>
    <n v="0.3"/>
    <x v="11"/>
    <n v="2023"/>
  </r>
  <r>
    <x v="1614"/>
    <d v="2023-09-27T00:00:00"/>
    <x v="2"/>
    <x v="0"/>
    <x v="34"/>
    <n v="17304"/>
    <n v="2"/>
    <n v="10382.4"/>
    <n v="6921.6"/>
    <n v="0.4"/>
    <x v="10"/>
    <n v="2023"/>
  </r>
  <r>
    <x v="1615"/>
    <d v="2023-01-15T00:00:00"/>
    <x v="3"/>
    <x v="3"/>
    <x v="4"/>
    <n v="3231"/>
    <n v="10"/>
    <n v="2423.25"/>
    <n v="807.75"/>
    <n v="0.25"/>
    <x v="9"/>
    <n v="2023"/>
  </r>
  <r>
    <x v="1616"/>
    <d v="2023-03-13T00:00:00"/>
    <x v="0"/>
    <x v="3"/>
    <x v="4"/>
    <n v="8687"/>
    <n v="10"/>
    <n v="6515.25"/>
    <n v="2171.75"/>
    <n v="0.25"/>
    <x v="11"/>
    <n v="2023"/>
  </r>
  <r>
    <x v="1617"/>
    <d v="2023-03-15T00:00:00"/>
    <x v="1"/>
    <x v="2"/>
    <x v="45"/>
    <n v="14373"/>
    <n v="2"/>
    <n v="10061.099999999999"/>
    <n v="4311.9000000000015"/>
    <n v="0.3000000000000001"/>
    <x v="11"/>
    <n v="2023"/>
  </r>
  <r>
    <x v="1618"/>
    <d v="2023-11-13T00:00:00"/>
    <x v="2"/>
    <x v="1"/>
    <x v="4"/>
    <n v="12444"/>
    <n v="8"/>
    <n v="8088.6"/>
    <n v="4355.3999999999996"/>
    <n v="0.35"/>
    <x v="3"/>
    <n v="2023"/>
  </r>
  <r>
    <x v="1619"/>
    <d v="2023-08-08T00:00:00"/>
    <x v="3"/>
    <x v="2"/>
    <x v="30"/>
    <n v="4910"/>
    <n v="3"/>
    <n v="3437"/>
    <n v="1473"/>
    <n v="0.3"/>
    <x v="5"/>
    <n v="2023"/>
  </r>
  <r>
    <x v="1620"/>
    <d v="2023-12-06T00:00:00"/>
    <x v="0"/>
    <x v="1"/>
    <x v="32"/>
    <n v="5422"/>
    <n v="8"/>
    <n v="3524.3"/>
    <n v="1897.6999999999998"/>
    <n v="0.35"/>
    <x v="7"/>
    <n v="2023"/>
  </r>
  <r>
    <x v="1621"/>
    <d v="2023-07-23T00:00:00"/>
    <x v="1"/>
    <x v="3"/>
    <x v="30"/>
    <n v="13448"/>
    <n v="5"/>
    <n v="10086"/>
    <n v="3362"/>
    <n v="0.25"/>
    <x v="6"/>
    <n v="2023"/>
  </r>
  <r>
    <x v="1622"/>
    <d v="2023-07-08T00:00:00"/>
    <x v="2"/>
    <x v="3"/>
    <x v="7"/>
    <n v="9135"/>
    <n v="9"/>
    <n v="6851.25"/>
    <n v="2283.75"/>
    <n v="0.25"/>
    <x v="6"/>
    <n v="2023"/>
  </r>
  <r>
    <x v="1623"/>
    <d v="2023-04-23T00:00:00"/>
    <x v="3"/>
    <x v="3"/>
    <x v="4"/>
    <n v="15920"/>
    <n v="10"/>
    <n v="11940"/>
    <n v="3980"/>
    <n v="0.25"/>
    <x v="1"/>
    <n v="2023"/>
  </r>
  <r>
    <x v="1624"/>
    <d v="2023-06-21T00:00:00"/>
    <x v="0"/>
    <x v="2"/>
    <x v="27"/>
    <n v="2131"/>
    <n v="9"/>
    <n v="1491.6999999999998"/>
    <n v="639.30000000000018"/>
    <n v="0.3000000000000001"/>
    <x v="2"/>
    <n v="2023"/>
  </r>
  <r>
    <x v="1625"/>
    <d v="2023-03-16T00:00:00"/>
    <x v="1"/>
    <x v="0"/>
    <x v="40"/>
    <n v="18127"/>
    <n v="8"/>
    <n v="10876.199999999999"/>
    <n v="7250.8000000000011"/>
    <n v="0.40000000000000008"/>
    <x v="11"/>
    <n v="2023"/>
  </r>
  <r>
    <x v="1626"/>
    <d v="2023-09-10T00:00:00"/>
    <x v="2"/>
    <x v="0"/>
    <x v="6"/>
    <n v="2519"/>
    <n v="2"/>
    <n v="1511.3999999999999"/>
    <n v="1007.6000000000001"/>
    <n v="0.40000000000000008"/>
    <x v="10"/>
    <n v="2023"/>
  </r>
  <r>
    <x v="1627"/>
    <d v="2023-08-07T00:00:00"/>
    <x v="3"/>
    <x v="0"/>
    <x v="28"/>
    <n v="4517"/>
    <n v="4"/>
    <n v="2710.2"/>
    <n v="1806.8000000000002"/>
    <n v="0.4"/>
    <x v="5"/>
    <n v="2023"/>
  </r>
  <r>
    <x v="1628"/>
    <d v="2023-01-08T00:00:00"/>
    <x v="0"/>
    <x v="2"/>
    <x v="8"/>
    <n v="10623"/>
    <n v="4"/>
    <n v="7436.0999999999995"/>
    <n v="3186.9000000000005"/>
    <n v="0.30000000000000004"/>
    <x v="9"/>
    <n v="2023"/>
  </r>
  <r>
    <x v="1629"/>
    <d v="2023-02-06T00:00:00"/>
    <x v="1"/>
    <x v="1"/>
    <x v="35"/>
    <n v="16788"/>
    <n v="8"/>
    <n v="10912.2"/>
    <n v="5875.7999999999993"/>
    <n v="0.35"/>
    <x v="8"/>
    <n v="2023"/>
  </r>
  <r>
    <x v="1630"/>
    <d v="2023-05-16T00:00:00"/>
    <x v="2"/>
    <x v="0"/>
    <x v="48"/>
    <n v="10945"/>
    <n v="2"/>
    <n v="6567"/>
    <n v="4378"/>
    <n v="0.4"/>
    <x v="4"/>
    <n v="2023"/>
  </r>
  <r>
    <x v="1631"/>
    <d v="2023-11-27T00:00:00"/>
    <x v="3"/>
    <x v="2"/>
    <x v="31"/>
    <n v="17081"/>
    <n v="5"/>
    <n v="11956.699999999999"/>
    <n v="5124.3000000000011"/>
    <n v="0.30000000000000004"/>
    <x v="3"/>
    <n v="2023"/>
  </r>
  <r>
    <x v="1632"/>
    <d v="2023-02-11T00:00:00"/>
    <x v="0"/>
    <x v="1"/>
    <x v="11"/>
    <n v="1396"/>
    <n v="9"/>
    <n v="907.4"/>
    <n v="488.6"/>
    <n v="0.35000000000000003"/>
    <x v="8"/>
    <n v="2023"/>
  </r>
  <r>
    <x v="1633"/>
    <d v="2023-01-25T00:00:00"/>
    <x v="1"/>
    <x v="2"/>
    <x v="20"/>
    <n v="3538"/>
    <n v="3"/>
    <n v="2476.6"/>
    <n v="1061.4000000000001"/>
    <n v="0.30000000000000004"/>
    <x v="9"/>
    <n v="2023"/>
  </r>
  <r>
    <x v="1634"/>
    <d v="2023-11-14T00:00:00"/>
    <x v="2"/>
    <x v="0"/>
    <x v="5"/>
    <n v="3276"/>
    <n v="3"/>
    <n v="1965.6"/>
    <n v="1310.4000000000001"/>
    <n v="0.4"/>
    <x v="3"/>
    <n v="2023"/>
  </r>
  <r>
    <x v="1635"/>
    <d v="2023-08-17T00:00:00"/>
    <x v="3"/>
    <x v="3"/>
    <x v="10"/>
    <n v="13561"/>
    <n v="5"/>
    <n v="10170.75"/>
    <n v="3390.25"/>
    <n v="0.25"/>
    <x v="5"/>
    <n v="2023"/>
  </r>
  <r>
    <x v="1636"/>
    <d v="2023-12-11T00:00:00"/>
    <x v="0"/>
    <x v="3"/>
    <x v="20"/>
    <n v="14668"/>
    <n v="10"/>
    <n v="11001"/>
    <n v="3667"/>
    <n v="0.25"/>
    <x v="7"/>
    <n v="2023"/>
  </r>
  <r>
    <x v="1637"/>
    <d v="2023-10-06T00:00:00"/>
    <x v="1"/>
    <x v="0"/>
    <x v="5"/>
    <n v="2175"/>
    <n v="9"/>
    <n v="1305"/>
    <n v="870"/>
    <n v="0.4"/>
    <x v="0"/>
    <n v="2023"/>
  </r>
  <r>
    <x v="1638"/>
    <d v="2023-05-11T00:00:00"/>
    <x v="2"/>
    <x v="2"/>
    <x v="12"/>
    <n v="12104"/>
    <n v="5"/>
    <n v="8472.7999999999993"/>
    <n v="3631.2000000000007"/>
    <n v="0.30000000000000004"/>
    <x v="4"/>
    <n v="2023"/>
  </r>
  <r>
    <x v="1639"/>
    <d v="2023-04-06T00:00:00"/>
    <x v="3"/>
    <x v="3"/>
    <x v="10"/>
    <n v="19009"/>
    <n v="2"/>
    <n v="14256.75"/>
    <n v="4752.25"/>
    <n v="0.25"/>
    <x v="1"/>
    <n v="2023"/>
  </r>
  <r>
    <x v="1640"/>
    <d v="2023-12-25T00:00:00"/>
    <x v="0"/>
    <x v="0"/>
    <x v="43"/>
    <n v="9569"/>
    <n v="1"/>
    <n v="5741.4"/>
    <n v="3827.6000000000004"/>
    <n v="0.4"/>
    <x v="7"/>
    <n v="2023"/>
  </r>
  <r>
    <x v="1641"/>
    <d v="2023-11-27T00:00:00"/>
    <x v="1"/>
    <x v="2"/>
    <x v="33"/>
    <n v="13704"/>
    <n v="9"/>
    <n v="9592.7999999999993"/>
    <n v="4111.2000000000007"/>
    <n v="0.30000000000000004"/>
    <x v="3"/>
    <n v="2023"/>
  </r>
  <r>
    <x v="1642"/>
    <d v="2023-07-12T00:00:00"/>
    <x v="2"/>
    <x v="1"/>
    <x v="26"/>
    <n v="14076"/>
    <n v="5"/>
    <n v="9149.4"/>
    <n v="4926.6000000000004"/>
    <n v="0.35000000000000003"/>
    <x v="6"/>
    <n v="2023"/>
  </r>
  <r>
    <x v="1643"/>
    <d v="2023-04-19T00:00:00"/>
    <x v="3"/>
    <x v="1"/>
    <x v="43"/>
    <n v="12259"/>
    <n v="5"/>
    <n v="7968.35"/>
    <n v="4290.6499999999996"/>
    <n v="0.35"/>
    <x v="1"/>
    <n v="2023"/>
  </r>
  <r>
    <x v="1644"/>
    <d v="2023-09-25T00:00:00"/>
    <x v="0"/>
    <x v="0"/>
    <x v="4"/>
    <n v="4040"/>
    <n v="5"/>
    <n v="2424"/>
    <n v="1616"/>
    <n v="0.4"/>
    <x v="10"/>
    <n v="2023"/>
  </r>
  <r>
    <x v="1645"/>
    <d v="2023-09-11T00:00:00"/>
    <x v="1"/>
    <x v="1"/>
    <x v="45"/>
    <n v="5669"/>
    <n v="7"/>
    <n v="3684.85"/>
    <n v="1984.15"/>
    <n v="0.35000000000000003"/>
    <x v="10"/>
    <n v="2023"/>
  </r>
  <r>
    <x v="1646"/>
    <d v="2023-01-11T00:00:00"/>
    <x v="2"/>
    <x v="1"/>
    <x v="45"/>
    <n v="9919"/>
    <n v="2"/>
    <n v="6447.35"/>
    <n v="3471.6499999999996"/>
    <n v="0.35"/>
    <x v="9"/>
    <n v="2023"/>
  </r>
  <r>
    <x v="1647"/>
    <d v="2023-06-07T00:00:00"/>
    <x v="3"/>
    <x v="2"/>
    <x v="15"/>
    <n v="4322"/>
    <n v="5"/>
    <n v="3025.3999999999996"/>
    <n v="1296.6000000000004"/>
    <n v="0.3000000000000001"/>
    <x v="2"/>
    <n v="2023"/>
  </r>
  <r>
    <x v="1648"/>
    <d v="2023-10-10T00:00:00"/>
    <x v="0"/>
    <x v="0"/>
    <x v="9"/>
    <n v="2020"/>
    <n v="8"/>
    <n v="1212"/>
    <n v="808"/>
    <n v="0.4"/>
    <x v="0"/>
    <n v="2023"/>
  </r>
  <r>
    <x v="1649"/>
    <d v="2023-11-25T00:00:00"/>
    <x v="1"/>
    <x v="2"/>
    <x v="5"/>
    <n v="2976"/>
    <n v="2"/>
    <n v="2083.1999999999998"/>
    <n v="892.80000000000018"/>
    <n v="0.30000000000000004"/>
    <x v="3"/>
    <n v="2023"/>
  </r>
  <r>
    <x v="1650"/>
    <d v="2023-06-16T00:00:00"/>
    <x v="2"/>
    <x v="1"/>
    <x v="45"/>
    <n v="7561"/>
    <n v="3"/>
    <n v="4914.6500000000005"/>
    <n v="2646.3499999999995"/>
    <n v="0.34999999999999992"/>
    <x v="2"/>
    <n v="2023"/>
  </r>
  <r>
    <x v="1651"/>
    <d v="2023-09-15T00:00:00"/>
    <x v="3"/>
    <x v="2"/>
    <x v="36"/>
    <n v="4714"/>
    <n v="7"/>
    <n v="3299.7999999999997"/>
    <n v="1414.2000000000003"/>
    <n v="0.30000000000000004"/>
    <x v="10"/>
    <n v="2023"/>
  </r>
  <r>
    <x v="1652"/>
    <d v="2023-08-28T00:00:00"/>
    <x v="0"/>
    <x v="3"/>
    <x v="6"/>
    <n v="15524"/>
    <n v="8"/>
    <n v="11643"/>
    <n v="3881"/>
    <n v="0.25"/>
    <x v="5"/>
    <n v="2023"/>
  </r>
  <r>
    <x v="1653"/>
    <d v="2023-07-15T00:00:00"/>
    <x v="1"/>
    <x v="2"/>
    <x v="45"/>
    <n v="2552"/>
    <n v="9"/>
    <n v="1786.3999999999999"/>
    <n v="765.60000000000014"/>
    <n v="0.30000000000000004"/>
    <x v="6"/>
    <n v="2023"/>
  </r>
  <r>
    <x v="1654"/>
    <d v="2023-07-09T00:00:00"/>
    <x v="2"/>
    <x v="3"/>
    <x v="2"/>
    <n v="13332"/>
    <n v="9"/>
    <n v="9999"/>
    <n v="3333"/>
    <n v="0.25"/>
    <x v="6"/>
    <n v="2023"/>
  </r>
  <r>
    <x v="1655"/>
    <d v="2023-10-04T00:00:00"/>
    <x v="3"/>
    <x v="3"/>
    <x v="1"/>
    <n v="8335"/>
    <n v="4"/>
    <n v="6251.25"/>
    <n v="2083.75"/>
    <n v="0.25"/>
    <x v="0"/>
    <n v="2023"/>
  </r>
  <r>
    <x v="1656"/>
    <d v="2023-01-07T00:00:00"/>
    <x v="0"/>
    <x v="1"/>
    <x v="6"/>
    <n v="2365"/>
    <n v="9"/>
    <n v="1537.25"/>
    <n v="827.75"/>
    <n v="0.35"/>
    <x v="9"/>
    <n v="2023"/>
  </r>
  <r>
    <x v="1657"/>
    <d v="2023-03-18T00:00:00"/>
    <x v="1"/>
    <x v="1"/>
    <x v="35"/>
    <n v="2584"/>
    <n v="4"/>
    <n v="1679.6000000000001"/>
    <n v="904.39999999999986"/>
    <n v="0.34999999999999992"/>
    <x v="11"/>
    <n v="2023"/>
  </r>
  <r>
    <x v="1658"/>
    <d v="2023-09-22T00:00:00"/>
    <x v="2"/>
    <x v="3"/>
    <x v="47"/>
    <n v="15586"/>
    <n v="4"/>
    <n v="11689.5"/>
    <n v="3896.5"/>
    <n v="0.25"/>
    <x v="10"/>
    <n v="2023"/>
  </r>
  <r>
    <x v="1659"/>
    <d v="2023-06-14T00:00:00"/>
    <x v="3"/>
    <x v="3"/>
    <x v="32"/>
    <n v="7165"/>
    <n v="2"/>
    <n v="5373.75"/>
    <n v="1791.25"/>
    <n v="0.25"/>
    <x v="2"/>
    <n v="2023"/>
  </r>
  <r>
    <x v="1660"/>
    <d v="2023-03-28T00:00:00"/>
    <x v="0"/>
    <x v="2"/>
    <x v="7"/>
    <n v="19714"/>
    <n v="3"/>
    <n v="13799.8"/>
    <n v="5914.2000000000007"/>
    <n v="0.30000000000000004"/>
    <x v="11"/>
    <n v="2023"/>
  </r>
  <r>
    <x v="1661"/>
    <d v="2023-05-01T00:00:00"/>
    <x v="1"/>
    <x v="1"/>
    <x v="36"/>
    <n v="15804"/>
    <n v="5"/>
    <n v="10272.6"/>
    <n v="5531.4"/>
    <n v="0.35"/>
    <x v="4"/>
    <n v="2023"/>
  </r>
  <r>
    <x v="1662"/>
    <d v="2023-11-12T00:00:00"/>
    <x v="2"/>
    <x v="2"/>
    <x v="26"/>
    <n v="17597"/>
    <n v="1"/>
    <n v="12317.9"/>
    <n v="5279.1"/>
    <n v="0.30000000000000004"/>
    <x v="3"/>
    <n v="2023"/>
  </r>
  <r>
    <x v="1663"/>
    <d v="2023-04-15T00:00:00"/>
    <x v="3"/>
    <x v="2"/>
    <x v="24"/>
    <n v="4234"/>
    <n v="8"/>
    <n v="2963.7999999999997"/>
    <n v="1270.2000000000003"/>
    <n v="0.30000000000000004"/>
    <x v="1"/>
    <n v="2023"/>
  </r>
  <r>
    <x v="1664"/>
    <d v="2023-06-04T00:00:00"/>
    <x v="0"/>
    <x v="0"/>
    <x v="34"/>
    <n v="17550"/>
    <n v="6"/>
    <n v="10530"/>
    <n v="7020"/>
    <n v="0.4"/>
    <x v="2"/>
    <n v="2023"/>
  </r>
  <r>
    <x v="1665"/>
    <d v="2023-11-27T00:00:00"/>
    <x v="1"/>
    <x v="1"/>
    <x v="29"/>
    <n v="4768"/>
    <n v="5"/>
    <n v="3099.2000000000003"/>
    <n v="1668.7999999999997"/>
    <n v="0.34999999999999992"/>
    <x v="3"/>
    <n v="2023"/>
  </r>
  <r>
    <x v="1666"/>
    <d v="2023-08-23T00:00:00"/>
    <x v="2"/>
    <x v="1"/>
    <x v="21"/>
    <n v="18195"/>
    <n v="9"/>
    <n v="11826.75"/>
    <n v="6368.25"/>
    <n v="0.35"/>
    <x v="5"/>
    <n v="2023"/>
  </r>
  <r>
    <x v="1667"/>
    <d v="2023-10-08T00:00:00"/>
    <x v="3"/>
    <x v="1"/>
    <x v="11"/>
    <n v="10686"/>
    <n v="3"/>
    <n v="6945.9000000000005"/>
    <n v="3740.0999999999995"/>
    <n v="0.34999999999999992"/>
    <x v="0"/>
    <n v="2023"/>
  </r>
  <r>
    <x v="1668"/>
    <d v="2023-03-27T00:00:00"/>
    <x v="0"/>
    <x v="3"/>
    <x v="40"/>
    <n v="18229"/>
    <n v="1"/>
    <n v="13671.75"/>
    <n v="4557.25"/>
    <n v="0.25"/>
    <x v="11"/>
    <n v="2023"/>
  </r>
  <r>
    <x v="1669"/>
    <d v="2023-03-03T00:00:00"/>
    <x v="1"/>
    <x v="3"/>
    <x v="9"/>
    <n v="2070"/>
    <n v="2"/>
    <n v="1552.5"/>
    <n v="517.5"/>
    <n v="0.25"/>
    <x v="11"/>
    <n v="2023"/>
  </r>
  <r>
    <x v="1670"/>
    <d v="2023-05-22T00:00:00"/>
    <x v="2"/>
    <x v="1"/>
    <x v="22"/>
    <n v="8687"/>
    <n v="3"/>
    <n v="5646.55"/>
    <n v="3040.45"/>
    <n v="0.35"/>
    <x v="4"/>
    <n v="2023"/>
  </r>
  <r>
    <x v="1671"/>
    <d v="2023-03-20T00:00:00"/>
    <x v="3"/>
    <x v="1"/>
    <x v="32"/>
    <n v="1925"/>
    <n v="8"/>
    <n v="1251.25"/>
    <n v="673.75"/>
    <n v="0.35"/>
    <x v="11"/>
    <n v="2023"/>
  </r>
  <r>
    <x v="1672"/>
    <d v="2023-06-23T00:00:00"/>
    <x v="0"/>
    <x v="1"/>
    <x v="39"/>
    <n v="4291"/>
    <n v="4"/>
    <n v="2789.15"/>
    <n v="1501.85"/>
    <n v="0.35"/>
    <x v="2"/>
    <n v="2023"/>
  </r>
  <r>
    <x v="1673"/>
    <d v="2023-10-28T00:00:00"/>
    <x v="1"/>
    <x v="1"/>
    <x v="45"/>
    <n v="8573"/>
    <n v="6"/>
    <n v="5572.45"/>
    <n v="3000.55"/>
    <n v="0.35000000000000003"/>
    <x v="0"/>
    <n v="2023"/>
  </r>
  <r>
    <x v="1674"/>
    <d v="2023-07-10T00:00:00"/>
    <x v="2"/>
    <x v="2"/>
    <x v="17"/>
    <n v="17184"/>
    <n v="8"/>
    <n v="12028.8"/>
    <n v="5155.2000000000007"/>
    <n v="0.30000000000000004"/>
    <x v="6"/>
    <n v="2023"/>
  </r>
  <r>
    <x v="1675"/>
    <d v="2023-05-07T00:00:00"/>
    <x v="3"/>
    <x v="3"/>
    <x v="49"/>
    <n v="13267"/>
    <n v="7"/>
    <n v="9950.25"/>
    <n v="3316.75"/>
    <n v="0.25"/>
    <x v="4"/>
    <n v="2023"/>
  </r>
  <r>
    <x v="1676"/>
    <d v="2023-04-08T00:00:00"/>
    <x v="0"/>
    <x v="0"/>
    <x v="41"/>
    <n v="11298"/>
    <n v="10"/>
    <n v="6778.8"/>
    <n v="4519.2"/>
    <n v="0.39999999999999997"/>
    <x v="1"/>
    <n v="2023"/>
  </r>
  <r>
    <x v="1677"/>
    <d v="2023-03-11T00:00:00"/>
    <x v="1"/>
    <x v="1"/>
    <x v="24"/>
    <n v="19659"/>
    <n v="7"/>
    <n v="12778.35"/>
    <n v="6880.65"/>
    <n v="0.35"/>
    <x v="11"/>
    <n v="2023"/>
  </r>
  <r>
    <x v="1678"/>
    <d v="2023-01-19T00:00:00"/>
    <x v="2"/>
    <x v="0"/>
    <x v="28"/>
    <n v="14847"/>
    <n v="10"/>
    <n v="8908.1999999999989"/>
    <n v="5938.8000000000011"/>
    <n v="0.40000000000000008"/>
    <x v="9"/>
    <n v="2023"/>
  </r>
  <r>
    <x v="1679"/>
    <d v="2023-08-14T00:00:00"/>
    <x v="3"/>
    <x v="0"/>
    <x v="40"/>
    <n v="4938"/>
    <n v="1"/>
    <n v="2962.7999999999997"/>
    <n v="1975.2000000000003"/>
    <n v="0.40000000000000008"/>
    <x v="5"/>
    <n v="2023"/>
  </r>
  <r>
    <x v="1680"/>
    <d v="2023-03-20T00:00:00"/>
    <x v="0"/>
    <x v="0"/>
    <x v="16"/>
    <n v="9301"/>
    <n v="7"/>
    <n v="5580.5999999999995"/>
    <n v="3720.4000000000005"/>
    <n v="0.40000000000000008"/>
    <x v="11"/>
    <n v="2023"/>
  </r>
  <r>
    <x v="1681"/>
    <d v="2023-03-21T00:00:00"/>
    <x v="1"/>
    <x v="3"/>
    <x v="9"/>
    <n v="7864"/>
    <n v="8"/>
    <n v="5898"/>
    <n v="1966"/>
    <n v="0.25"/>
    <x v="11"/>
    <n v="2023"/>
  </r>
  <r>
    <x v="1682"/>
    <d v="2023-01-18T00:00:00"/>
    <x v="2"/>
    <x v="0"/>
    <x v="1"/>
    <n v="1444"/>
    <n v="7"/>
    <n v="866.4"/>
    <n v="577.6"/>
    <n v="0.4"/>
    <x v="9"/>
    <n v="2023"/>
  </r>
  <r>
    <x v="1683"/>
    <d v="2023-11-12T00:00:00"/>
    <x v="3"/>
    <x v="1"/>
    <x v="42"/>
    <n v="3166"/>
    <n v="5"/>
    <n v="2057.9"/>
    <n v="1108.0999999999999"/>
    <n v="0.35"/>
    <x v="3"/>
    <n v="2023"/>
  </r>
  <r>
    <x v="1684"/>
    <d v="2023-05-28T00:00:00"/>
    <x v="0"/>
    <x v="3"/>
    <x v="14"/>
    <n v="3862"/>
    <n v="8"/>
    <n v="2896.5"/>
    <n v="965.5"/>
    <n v="0.25"/>
    <x v="4"/>
    <n v="2023"/>
  </r>
  <r>
    <x v="1685"/>
    <d v="2023-09-01T00:00:00"/>
    <x v="1"/>
    <x v="2"/>
    <x v="36"/>
    <n v="5147"/>
    <n v="9"/>
    <n v="3602.8999999999996"/>
    <n v="1544.1000000000004"/>
    <n v="0.30000000000000004"/>
    <x v="10"/>
    <n v="2023"/>
  </r>
  <r>
    <x v="1686"/>
    <d v="2023-11-06T00:00:00"/>
    <x v="2"/>
    <x v="2"/>
    <x v="15"/>
    <n v="1489"/>
    <n v="6"/>
    <n v="1042.3"/>
    <n v="446.70000000000005"/>
    <n v="0.30000000000000004"/>
    <x v="3"/>
    <n v="2023"/>
  </r>
  <r>
    <x v="1687"/>
    <d v="2023-02-28T00:00:00"/>
    <x v="3"/>
    <x v="0"/>
    <x v="21"/>
    <n v="18371"/>
    <n v="3"/>
    <n v="11022.6"/>
    <n v="7348.4"/>
    <n v="0.39999999999999997"/>
    <x v="8"/>
    <n v="2023"/>
  </r>
  <r>
    <x v="1688"/>
    <d v="2023-11-18T00:00:00"/>
    <x v="0"/>
    <x v="3"/>
    <x v="42"/>
    <n v="13494"/>
    <n v="5"/>
    <n v="10120.5"/>
    <n v="3373.5"/>
    <n v="0.25"/>
    <x v="3"/>
    <n v="2023"/>
  </r>
  <r>
    <x v="1689"/>
    <d v="2023-01-11T00:00:00"/>
    <x v="1"/>
    <x v="0"/>
    <x v="42"/>
    <n v="8265"/>
    <n v="3"/>
    <n v="4959"/>
    <n v="3306"/>
    <n v="0.4"/>
    <x v="9"/>
    <n v="2023"/>
  </r>
  <r>
    <x v="1690"/>
    <d v="2023-01-26T00:00:00"/>
    <x v="2"/>
    <x v="1"/>
    <x v="0"/>
    <n v="14836"/>
    <n v="6"/>
    <n v="9643.4"/>
    <n v="5192.6000000000004"/>
    <n v="0.35000000000000003"/>
    <x v="9"/>
    <n v="2023"/>
  </r>
  <r>
    <x v="1691"/>
    <d v="2023-04-12T00:00:00"/>
    <x v="3"/>
    <x v="0"/>
    <x v="21"/>
    <n v="10693"/>
    <n v="9"/>
    <n v="6415.8"/>
    <n v="4277.2"/>
    <n v="0.39999999999999997"/>
    <x v="1"/>
    <n v="2023"/>
  </r>
  <r>
    <x v="1692"/>
    <d v="2023-09-19T00:00:00"/>
    <x v="0"/>
    <x v="2"/>
    <x v="24"/>
    <n v="10490"/>
    <n v="5"/>
    <n v="7342.9999999999991"/>
    <n v="3147.0000000000009"/>
    <n v="0.3000000000000001"/>
    <x v="10"/>
    <n v="2023"/>
  </r>
  <r>
    <x v="1693"/>
    <d v="2023-01-08T00:00:00"/>
    <x v="1"/>
    <x v="2"/>
    <x v="47"/>
    <n v="6482"/>
    <n v="9"/>
    <n v="4537.3999999999996"/>
    <n v="1944.6000000000004"/>
    <n v="0.30000000000000004"/>
    <x v="9"/>
    <n v="2023"/>
  </r>
  <r>
    <x v="1694"/>
    <d v="2023-06-02T00:00:00"/>
    <x v="2"/>
    <x v="0"/>
    <x v="16"/>
    <n v="1739"/>
    <n v="7"/>
    <n v="1043.3999999999999"/>
    <n v="695.60000000000014"/>
    <n v="0.40000000000000008"/>
    <x v="2"/>
    <n v="2023"/>
  </r>
  <r>
    <x v="1695"/>
    <d v="2023-06-03T00:00:00"/>
    <x v="3"/>
    <x v="3"/>
    <x v="19"/>
    <n v="12570"/>
    <n v="4"/>
    <n v="9427.5"/>
    <n v="3142.5"/>
    <n v="0.25"/>
    <x v="2"/>
    <n v="2023"/>
  </r>
  <r>
    <x v="1696"/>
    <d v="2023-02-02T00:00:00"/>
    <x v="0"/>
    <x v="0"/>
    <x v="7"/>
    <n v="1477"/>
    <n v="10"/>
    <n v="886.19999999999993"/>
    <n v="590.80000000000007"/>
    <n v="0.4"/>
    <x v="8"/>
    <n v="2023"/>
  </r>
  <r>
    <x v="1697"/>
    <d v="2023-03-12T00:00:00"/>
    <x v="1"/>
    <x v="0"/>
    <x v="48"/>
    <n v="5327"/>
    <n v="5"/>
    <n v="3196.2"/>
    <n v="2130.8000000000002"/>
    <n v="0.4"/>
    <x v="11"/>
    <n v="2023"/>
  </r>
  <r>
    <x v="1698"/>
    <d v="2023-04-09T00:00:00"/>
    <x v="2"/>
    <x v="0"/>
    <x v="37"/>
    <n v="14317"/>
    <n v="1"/>
    <n v="8590.1999999999989"/>
    <n v="5726.8000000000011"/>
    <n v="0.40000000000000008"/>
    <x v="1"/>
    <n v="2023"/>
  </r>
  <r>
    <x v="1699"/>
    <d v="2023-02-01T00:00:00"/>
    <x v="3"/>
    <x v="3"/>
    <x v="5"/>
    <n v="3855"/>
    <n v="9"/>
    <n v="2891.25"/>
    <n v="963.75"/>
    <n v="0.25"/>
    <x v="8"/>
    <n v="2023"/>
  </r>
  <r>
    <x v="1700"/>
    <d v="2023-06-03T00:00:00"/>
    <x v="0"/>
    <x v="3"/>
    <x v="38"/>
    <n v="2826"/>
    <n v="5"/>
    <n v="2119.5"/>
    <n v="706.5"/>
    <n v="0.25"/>
    <x v="2"/>
    <n v="2023"/>
  </r>
  <r>
    <x v="1701"/>
    <d v="2023-10-11T00:00:00"/>
    <x v="1"/>
    <x v="2"/>
    <x v="26"/>
    <n v="8062"/>
    <n v="5"/>
    <n v="5643.4"/>
    <n v="2418.6000000000004"/>
    <n v="0.30000000000000004"/>
    <x v="0"/>
    <n v="2023"/>
  </r>
  <r>
    <x v="1702"/>
    <d v="2023-04-26T00:00:00"/>
    <x v="2"/>
    <x v="2"/>
    <x v="28"/>
    <n v="4828"/>
    <n v="2"/>
    <n v="3379.6"/>
    <n v="1448.4"/>
    <n v="0.30000000000000004"/>
    <x v="1"/>
    <n v="2023"/>
  </r>
  <r>
    <x v="1703"/>
    <d v="2023-05-06T00:00:00"/>
    <x v="3"/>
    <x v="1"/>
    <x v="42"/>
    <n v="5737"/>
    <n v="7"/>
    <n v="3729.05"/>
    <n v="2007.9499999999998"/>
    <n v="0.35"/>
    <x v="4"/>
    <n v="2023"/>
  </r>
  <r>
    <x v="1704"/>
    <d v="2023-11-14T00:00:00"/>
    <x v="0"/>
    <x v="1"/>
    <x v="18"/>
    <n v="7540"/>
    <n v="1"/>
    <n v="4901"/>
    <n v="2639"/>
    <n v="0.35"/>
    <x v="3"/>
    <n v="2023"/>
  </r>
  <r>
    <x v="1705"/>
    <d v="2023-09-16T00:00:00"/>
    <x v="1"/>
    <x v="1"/>
    <x v="34"/>
    <n v="2001"/>
    <n v="10"/>
    <n v="1300.6500000000001"/>
    <n v="700.34999999999991"/>
    <n v="0.35"/>
    <x v="10"/>
    <n v="2023"/>
  </r>
  <r>
    <x v="1706"/>
    <d v="2023-09-05T00:00:00"/>
    <x v="2"/>
    <x v="3"/>
    <x v="48"/>
    <n v="16497"/>
    <n v="6"/>
    <n v="12372.75"/>
    <n v="4124.25"/>
    <n v="0.25"/>
    <x v="10"/>
    <n v="2023"/>
  </r>
  <r>
    <x v="1707"/>
    <d v="2023-10-20T00:00:00"/>
    <x v="3"/>
    <x v="1"/>
    <x v="11"/>
    <n v="12015"/>
    <n v="9"/>
    <n v="7809.75"/>
    <n v="4205.25"/>
    <n v="0.35"/>
    <x v="0"/>
    <n v="2023"/>
  </r>
  <r>
    <x v="1708"/>
    <d v="2023-05-26T00:00:00"/>
    <x v="0"/>
    <x v="1"/>
    <x v="11"/>
    <n v="5889"/>
    <n v="3"/>
    <n v="3827.85"/>
    <n v="2061.15"/>
    <n v="0.35000000000000003"/>
    <x v="4"/>
    <n v="2023"/>
  </r>
  <r>
    <x v="1709"/>
    <d v="2023-09-20T00:00:00"/>
    <x v="1"/>
    <x v="3"/>
    <x v="0"/>
    <n v="18002"/>
    <n v="9"/>
    <n v="13501.5"/>
    <n v="4500.5"/>
    <n v="0.25"/>
    <x v="10"/>
    <n v="2023"/>
  </r>
  <r>
    <x v="1710"/>
    <d v="2023-01-02T00:00:00"/>
    <x v="2"/>
    <x v="3"/>
    <x v="16"/>
    <n v="9188"/>
    <n v="1"/>
    <n v="6891"/>
    <n v="2297"/>
    <n v="0.25"/>
    <x v="9"/>
    <n v="2023"/>
  </r>
  <r>
    <x v="1711"/>
    <d v="2023-12-19T00:00:00"/>
    <x v="3"/>
    <x v="2"/>
    <x v="7"/>
    <n v="7285"/>
    <n v="9"/>
    <n v="5099.5"/>
    <n v="2185.5"/>
    <n v="0.3"/>
    <x v="7"/>
    <n v="2023"/>
  </r>
  <r>
    <x v="1712"/>
    <d v="2023-11-09T00:00:00"/>
    <x v="0"/>
    <x v="1"/>
    <x v="4"/>
    <n v="7177"/>
    <n v="3"/>
    <n v="4665.05"/>
    <n v="2511.9499999999998"/>
    <n v="0.35"/>
    <x v="3"/>
    <n v="2023"/>
  </r>
  <r>
    <x v="1713"/>
    <d v="2023-03-14T00:00:00"/>
    <x v="1"/>
    <x v="1"/>
    <x v="10"/>
    <n v="7554"/>
    <n v="10"/>
    <n v="4910.1000000000004"/>
    <n v="2643.8999999999996"/>
    <n v="0.35"/>
    <x v="11"/>
    <n v="2023"/>
  </r>
  <r>
    <x v="1714"/>
    <d v="2023-12-18T00:00:00"/>
    <x v="2"/>
    <x v="0"/>
    <x v="23"/>
    <n v="17936"/>
    <n v="7"/>
    <n v="10761.6"/>
    <n v="7174.4"/>
    <n v="0.39999999999999997"/>
    <x v="7"/>
    <n v="2023"/>
  </r>
  <r>
    <x v="1715"/>
    <d v="2023-10-16T00:00:00"/>
    <x v="3"/>
    <x v="2"/>
    <x v="2"/>
    <n v="19507"/>
    <n v="8"/>
    <n v="13654.9"/>
    <n v="5852.1"/>
    <n v="0.30000000000000004"/>
    <x v="0"/>
    <n v="2023"/>
  </r>
  <r>
    <x v="1716"/>
    <d v="2023-03-02T00:00:00"/>
    <x v="0"/>
    <x v="1"/>
    <x v="36"/>
    <n v="15745"/>
    <n v="3"/>
    <n v="10234.25"/>
    <n v="5510.75"/>
    <n v="0.35"/>
    <x v="11"/>
    <n v="2023"/>
  </r>
  <r>
    <x v="1717"/>
    <d v="2023-02-15T00:00:00"/>
    <x v="1"/>
    <x v="3"/>
    <x v="1"/>
    <n v="17693"/>
    <n v="9"/>
    <n v="13269.75"/>
    <n v="4423.25"/>
    <n v="0.25"/>
    <x v="8"/>
    <n v="2023"/>
  </r>
  <r>
    <x v="1718"/>
    <d v="2023-08-21T00:00:00"/>
    <x v="2"/>
    <x v="1"/>
    <x v="37"/>
    <n v="5714"/>
    <n v="4"/>
    <n v="3714.1"/>
    <n v="1999.9"/>
    <n v="0.35000000000000003"/>
    <x v="5"/>
    <n v="2023"/>
  </r>
  <r>
    <x v="1719"/>
    <d v="2023-03-13T00:00:00"/>
    <x v="3"/>
    <x v="0"/>
    <x v="42"/>
    <n v="12902"/>
    <n v="9"/>
    <n v="7741.2"/>
    <n v="5160.8"/>
    <n v="0.4"/>
    <x v="11"/>
    <n v="2023"/>
  </r>
  <r>
    <x v="1720"/>
    <d v="2023-04-21T00:00:00"/>
    <x v="0"/>
    <x v="3"/>
    <x v="26"/>
    <n v="12932"/>
    <n v="5"/>
    <n v="9699"/>
    <n v="3233"/>
    <n v="0.25"/>
    <x v="1"/>
    <n v="2023"/>
  </r>
  <r>
    <x v="1721"/>
    <d v="2023-03-14T00:00:00"/>
    <x v="1"/>
    <x v="3"/>
    <x v="18"/>
    <n v="3997"/>
    <n v="8"/>
    <n v="2997.75"/>
    <n v="999.25"/>
    <n v="0.25"/>
    <x v="11"/>
    <n v="2023"/>
  </r>
  <r>
    <x v="1722"/>
    <d v="2023-12-15T00:00:00"/>
    <x v="2"/>
    <x v="2"/>
    <x v="32"/>
    <n v="18048"/>
    <n v="10"/>
    <n v="12633.599999999999"/>
    <n v="5414.4000000000015"/>
    <n v="0.3000000000000001"/>
    <x v="7"/>
    <n v="2023"/>
  </r>
  <r>
    <x v="1723"/>
    <d v="2023-12-27T00:00:00"/>
    <x v="3"/>
    <x v="3"/>
    <x v="31"/>
    <n v="8690"/>
    <n v="9"/>
    <n v="6517.5"/>
    <n v="2172.5"/>
    <n v="0.25"/>
    <x v="7"/>
    <n v="2023"/>
  </r>
  <r>
    <x v="1724"/>
    <d v="2023-12-18T00:00:00"/>
    <x v="0"/>
    <x v="1"/>
    <x v="29"/>
    <n v="14740"/>
    <n v="4"/>
    <n v="9581"/>
    <n v="5159"/>
    <n v="0.35"/>
    <x v="7"/>
    <n v="2023"/>
  </r>
  <r>
    <x v="1725"/>
    <d v="2023-07-13T00:00:00"/>
    <x v="1"/>
    <x v="1"/>
    <x v="31"/>
    <n v="640"/>
    <n v="1"/>
    <n v="416"/>
    <n v="224"/>
    <n v="0.35"/>
    <x v="6"/>
    <n v="2023"/>
  </r>
  <r>
    <x v="1726"/>
    <d v="2023-08-03T00:00:00"/>
    <x v="2"/>
    <x v="0"/>
    <x v="42"/>
    <n v="6955"/>
    <n v="2"/>
    <n v="4173"/>
    <n v="2782"/>
    <n v="0.4"/>
    <x v="5"/>
    <n v="2023"/>
  </r>
  <r>
    <x v="1727"/>
    <d v="2023-09-19T00:00:00"/>
    <x v="3"/>
    <x v="2"/>
    <x v="3"/>
    <n v="3680"/>
    <n v="7"/>
    <n v="2576"/>
    <n v="1104"/>
    <n v="0.3"/>
    <x v="10"/>
    <n v="2023"/>
  </r>
  <r>
    <x v="1728"/>
    <d v="2023-06-11T00:00:00"/>
    <x v="0"/>
    <x v="1"/>
    <x v="10"/>
    <n v="2319"/>
    <n v="1"/>
    <n v="1507.3500000000001"/>
    <n v="811.64999999999986"/>
    <n v="0.34999999999999992"/>
    <x v="2"/>
    <n v="2023"/>
  </r>
  <r>
    <x v="1729"/>
    <d v="2023-12-01T00:00:00"/>
    <x v="1"/>
    <x v="2"/>
    <x v="20"/>
    <n v="11578"/>
    <n v="6"/>
    <n v="8104.5999999999995"/>
    <n v="3473.4000000000005"/>
    <n v="0.30000000000000004"/>
    <x v="7"/>
    <n v="2023"/>
  </r>
  <r>
    <x v="1730"/>
    <d v="2023-05-18T00:00:00"/>
    <x v="2"/>
    <x v="1"/>
    <x v="25"/>
    <n v="4309"/>
    <n v="6"/>
    <n v="2800.85"/>
    <n v="1508.15"/>
    <n v="0.35000000000000003"/>
    <x v="4"/>
    <n v="2023"/>
  </r>
  <r>
    <x v="1731"/>
    <d v="2023-12-05T00:00:00"/>
    <x v="3"/>
    <x v="0"/>
    <x v="33"/>
    <n v="5916"/>
    <n v="6"/>
    <n v="3549.6"/>
    <n v="2366.4"/>
    <n v="0.4"/>
    <x v="7"/>
    <n v="2023"/>
  </r>
  <r>
    <x v="1732"/>
    <d v="2023-05-17T00:00:00"/>
    <x v="0"/>
    <x v="2"/>
    <x v="7"/>
    <n v="17957"/>
    <n v="1"/>
    <n v="12569.9"/>
    <n v="5387.1"/>
    <n v="0.30000000000000004"/>
    <x v="4"/>
    <n v="2023"/>
  </r>
  <r>
    <x v="1733"/>
    <d v="2023-04-22T00:00:00"/>
    <x v="1"/>
    <x v="1"/>
    <x v="39"/>
    <n v="3061"/>
    <n v="8"/>
    <n v="1989.65"/>
    <n v="1071.3499999999999"/>
    <n v="0.35"/>
    <x v="1"/>
    <n v="2023"/>
  </r>
  <r>
    <x v="1734"/>
    <d v="2023-06-17T00:00:00"/>
    <x v="2"/>
    <x v="1"/>
    <x v="39"/>
    <n v="13262"/>
    <n v="5"/>
    <n v="8620.3000000000011"/>
    <n v="4641.6999999999989"/>
    <n v="0.34999999999999992"/>
    <x v="2"/>
    <n v="2023"/>
  </r>
  <r>
    <x v="1735"/>
    <d v="2023-09-13T00:00:00"/>
    <x v="3"/>
    <x v="3"/>
    <x v="11"/>
    <n v="4513"/>
    <n v="6"/>
    <n v="3384.75"/>
    <n v="1128.25"/>
    <n v="0.25"/>
    <x v="10"/>
    <n v="2023"/>
  </r>
  <r>
    <x v="1736"/>
    <d v="2023-12-12T00:00:00"/>
    <x v="0"/>
    <x v="1"/>
    <x v="10"/>
    <n v="18804"/>
    <n v="9"/>
    <n v="12222.6"/>
    <n v="6581.4"/>
    <n v="0.35"/>
    <x v="7"/>
    <n v="2023"/>
  </r>
  <r>
    <x v="1737"/>
    <d v="2023-11-11T00:00:00"/>
    <x v="1"/>
    <x v="0"/>
    <x v="25"/>
    <n v="3750"/>
    <n v="8"/>
    <n v="2250"/>
    <n v="1500"/>
    <n v="0.4"/>
    <x v="3"/>
    <n v="2023"/>
  </r>
  <r>
    <x v="1738"/>
    <d v="2023-11-24T00:00:00"/>
    <x v="2"/>
    <x v="0"/>
    <x v="25"/>
    <n v="7971"/>
    <n v="6"/>
    <n v="4782.5999999999995"/>
    <n v="3188.4000000000005"/>
    <n v="0.40000000000000008"/>
    <x v="3"/>
    <n v="2023"/>
  </r>
  <r>
    <x v="1739"/>
    <d v="2023-04-20T00:00:00"/>
    <x v="3"/>
    <x v="1"/>
    <x v="15"/>
    <n v="9117"/>
    <n v="5"/>
    <n v="5926.05"/>
    <n v="3190.95"/>
    <n v="0.35"/>
    <x v="1"/>
    <n v="2023"/>
  </r>
  <r>
    <x v="1740"/>
    <d v="2023-06-27T00:00:00"/>
    <x v="0"/>
    <x v="2"/>
    <x v="21"/>
    <n v="2377"/>
    <n v="4"/>
    <n v="1663.8999999999999"/>
    <n v="713.10000000000014"/>
    <n v="0.30000000000000004"/>
    <x v="2"/>
    <n v="2023"/>
  </r>
  <r>
    <x v="1741"/>
    <d v="2023-09-27T00:00:00"/>
    <x v="1"/>
    <x v="1"/>
    <x v="4"/>
    <n v="11666"/>
    <n v="8"/>
    <n v="7582.9000000000005"/>
    <n v="4083.0999999999995"/>
    <n v="0.35"/>
    <x v="10"/>
    <n v="2023"/>
  </r>
  <r>
    <x v="1742"/>
    <d v="2023-06-28T00:00:00"/>
    <x v="2"/>
    <x v="3"/>
    <x v="46"/>
    <n v="18295"/>
    <n v="2"/>
    <n v="13721.25"/>
    <n v="4573.75"/>
    <n v="0.25"/>
    <x v="2"/>
    <n v="2023"/>
  </r>
  <r>
    <x v="1743"/>
    <d v="2023-12-04T00:00:00"/>
    <x v="3"/>
    <x v="0"/>
    <x v="2"/>
    <n v="695"/>
    <n v="9"/>
    <n v="417"/>
    <n v="278"/>
    <n v="0.4"/>
    <x v="7"/>
    <n v="2023"/>
  </r>
  <r>
    <x v="1744"/>
    <d v="2023-05-17T00:00:00"/>
    <x v="0"/>
    <x v="2"/>
    <x v="13"/>
    <n v="1742"/>
    <n v="9"/>
    <n v="1219.3999999999999"/>
    <n v="522.60000000000014"/>
    <n v="0.3000000000000001"/>
    <x v="4"/>
    <n v="2023"/>
  </r>
  <r>
    <x v="1745"/>
    <d v="2023-04-10T00:00:00"/>
    <x v="1"/>
    <x v="2"/>
    <x v="3"/>
    <n v="2510"/>
    <n v="7"/>
    <n v="1757"/>
    <n v="753"/>
    <n v="0.3"/>
    <x v="1"/>
    <n v="2023"/>
  </r>
  <r>
    <x v="1746"/>
    <d v="2023-10-10T00:00:00"/>
    <x v="2"/>
    <x v="1"/>
    <x v="11"/>
    <n v="12860"/>
    <n v="2"/>
    <n v="8359"/>
    <n v="4501"/>
    <n v="0.35"/>
    <x v="0"/>
    <n v="2023"/>
  </r>
  <r>
    <x v="1747"/>
    <d v="2023-06-28T00:00:00"/>
    <x v="3"/>
    <x v="1"/>
    <x v="28"/>
    <n v="14516"/>
    <n v="9"/>
    <n v="9435.4"/>
    <n v="5080.6000000000004"/>
    <n v="0.35000000000000003"/>
    <x v="2"/>
    <n v="2023"/>
  </r>
  <r>
    <x v="1748"/>
    <d v="2023-12-18T00:00:00"/>
    <x v="0"/>
    <x v="3"/>
    <x v="0"/>
    <n v="11630"/>
    <n v="2"/>
    <n v="8722.5"/>
    <n v="2907.5"/>
    <n v="0.25"/>
    <x v="7"/>
    <n v="2023"/>
  </r>
  <r>
    <x v="1749"/>
    <d v="2023-05-17T00:00:00"/>
    <x v="1"/>
    <x v="1"/>
    <x v="0"/>
    <n v="13562"/>
    <n v="5"/>
    <n v="8815.3000000000011"/>
    <n v="4746.6999999999989"/>
    <n v="0.34999999999999992"/>
    <x v="4"/>
    <n v="2023"/>
  </r>
  <r>
    <x v="1750"/>
    <d v="2023-02-28T00:00:00"/>
    <x v="2"/>
    <x v="3"/>
    <x v="31"/>
    <n v="8754"/>
    <n v="4"/>
    <n v="6565.5"/>
    <n v="2188.5"/>
    <n v="0.25"/>
    <x v="8"/>
    <n v="2023"/>
  </r>
  <r>
    <x v="1751"/>
    <d v="2023-12-21T00:00:00"/>
    <x v="3"/>
    <x v="2"/>
    <x v="42"/>
    <n v="10836"/>
    <n v="4"/>
    <n v="7585.2"/>
    <n v="3250.8"/>
    <n v="0.30000000000000004"/>
    <x v="7"/>
    <n v="2023"/>
  </r>
  <r>
    <x v="1752"/>
    <d v="2023-12-24T00:00:00"/>
    <x v="0"/>
    <x v="3"/>
    <x v="13"/>
    <n v="7768"/>
    <n v="4"/>
    <n v="5826"/>
    <n v="1942"/>
    <n v="0.25"/>
    <x v="7"/>
    <n v="2023"/>
  </r>
  <r>
    <x v="1753"/>
    <d v="2023-02-12T00:00:00"/>
    <x v="1"/>
    <x v="0"/>
    <x v="42"/>
    <n v="13438"/>
    <n v="5"/>
    <n v="8062.7999999999993"/>
    <n v="5375.2000000000007"/>
    <n v="0.40000000000000008"/>
    <x v="8"/>
    <n v="2023"/>
  </r>
  <r>
    <x v="1754"/>
    <d v="2023-01-19T00:00:00"/>
    <x v="2"/>
    <x v="2"/>
    <x v="1"/>
    <n v="2660"/>
    <n v="2"/>
    <n v="1861.9999999999998"/>
    <n v="798.00000000000023"/>
    <n v="0.3000000000000001"/>
    <x v="9"/>
    <n v="2023"/>
  </r>
  <r>
    <x v="1755"/>
    <d v="2023-07-04T00:00:00"/>
    <x v="3"/>
    <x v="1"/>
    <x v="36"/>
    <n v="18384"/>
    <n v="4"/>
    <n v="11949.6"/>
    <n v="6434.4"/>
    <n v="0.35"/>
    <x v="6"/>
    <n v="2023"/>
  </r>
  <r>
    <x v="1756"/>
    <d v="2023-08-18T00:00:00"/>
    <x v="0"/>
    <x v="3"/>
    <x v="38"/>
    <n v="16885"/>
    <n v="6"/>
    <n v="12663.75"/>
    <n v="4221.25"/>
    <n v="0.25"/>
    <x v="5"/>
    <n v="2023"/>
  </r>
  <r>
    <x v="1757"/>
    <d v="2023-08-20T00:00:00"/>
    <x v="1"/>
    <x v="0"/>
    <x v="4"/>
    <n v="13299"/>
    <n v="2"/>
    <n v="7979.4"/>
    <n v="5319.6"/>
    <n v="0.4"/>
    <x v="5"/>
    <n v="2023"/>
  </r>
  <r>
    <x v="1758"/>
    <d v="2023-05-08T00:00:00"/>
    <x v="2"/>
    <x v="0"/>
    <x v="44"/>
    <n v="15344"/>
    <n v="7"/>
    <n v="9206.4"/>
    <n v="6137.6"/>
    <n v="0.4"/>
    <x v="4"/>
    <n v="2023"/>
  </r>
  <r>
    <x v="1759"/>
    <d v="2023-04-12T00:00:00"/>
    <x v="3"/>
    <x v="0"/>
    <x v="32"/>
    <n v="8259"/>
    <n v="5"/>
    <n v="4955.3999999999996"/>
    <n v="3303.6000000000004"/>
    <n v="0.4"/>
    <x v="1"/>
    <n v="2023"/>
  </r>
  <r>
    <x v="1760"/>
    <d v="2023-06-21T00:00:00"/>
    <x v="0"/>
    <x v="3"/>
    <x v="22"/>
    <n v="7820"/>
    <n v="3"/>
    <n v="5865"/>
    <n v="1955"/>
    <n v="0.25"/>
    <x v="2"/>
    <n v="2023"/>
  </r>
  <r>
    <x v="1761"/>
    <d v="2023-06-01T00:00:00"/>
    <x v="1"/>
    <x v="0"/>
    <x v="18"/>
    <n v="2731"/>
    <n v="3"/>
    <n v="1638.6"/>
    <n v="1092.4000000000001"/>
    <n v="0.4"/>
    <x v="2"/>
    <n v="2023"/>
  </r>
  <r>
    <x v="1762"/>
    <d v="2023-11-27T00:00:00"/>
    <x v="2"/>
    <x v="2"/>
    <x v="48"/>
    <n v="3620"/>
    <n v="2"/>
    <n v="2534"/>
    <n v="1086"/>
    <n v="0.3"/>
    <x v="3"/>
    <n v="2023"/>
  </r>
  <r>
    <x v="1763"/>
    <d v="2023-02-28T00:00:00"/>
    <x v="3"/>
    <x v="3"/>
    <x v="39"/>
    <n v="14461"/>
    <n v="8"/>
    <n v="10845.75"/>
    <n v="3615.25"/>
    <n v="0.25"/>
    <x v="8"/>
    <n v="2023"/>
  </r>
  <r>
    <x v="1764"/>
    <d v="2023-10-22T00:00:00"/>
    <x v="0"/>
    <x v="0"/>
    <x v="40"/>
    <n v="5098"/>
    <n v="2"/>
    <n v="3058.7999999999997"/>
    <n v="2039.2000000000003"/>
    <n v="0.40000000000000008"/>
    <x v="0"/>
    <n v="2023"/>
  </r>
  <r>
    <x v="1765"/>
    <d v="2023-08-05T00:00:00"/>
    <x v="1"/>
    <x v="3"/>
    <x v="44"/>
    <n v="19971"/>
    <n v="1"/>
    <n v="14978.25"/>
    <n v="4992.75"/>
    <n v="0.25"/>
    <x v="5"/>
    <n v="2023"/>
  </r>
  <r>
    <x v="1766"/>
    <d v="2023-08-16T00:00:00"/>
    <x v="2"/>
    <x v="2"/>
    <x v="42"/>
    <n v="6065"/>
    <n v="2"/>
    <n v="4245.5"/>
    <n v="1819.5"/>
    <n v="0.3"/>
    <x v="5"/>
    <n v="2023"/>
  </r>
  <r>
    <x v="1767"/>
    <d v="2023-11-01T00:00:00"/>
    <x v="3"/>
    <x v="2"/>
    <x v="47"/>
    <n v="7420"/>
    <n v="7"/>
    <n v="5194"/>
    <n v="2226"/>
    <n v="0.3"/>
    <x v="3"/>
    <n v="2023"/>
  </r>
  <r>
    <x v="1768"/>
    <d v="2023-11-03T00:00:00"/>
    <x v="0"/>
    <x v="2"/>
    <x v="26"/>
    <n v="9901"/>
    <n v="10"/>
    <n v="6930.7"/>
    <n v="2970.3"/>
    <n v="0.30000000000000004"/>
    <x v="3"/>
    <n v="2023"/>
  </r>
  <r>
    <x v="1769"/>
    <d v="2023-07-14T00:00:00"/>
    <x v="1"/>
    <x v="1"/>
    <x v="32"/>
    <n v="5515"/>
    <n v="1"/>
    <n v="3584.75"/>
    <n v="1930.25"/>
    <n v="0.35"/>
    <x v="6"/>
    <n v="2023"/>
  </r>
  <r>
    <x v="1770"/>
    <d v="2023-01-26T00:00:00"/>
    <x v="2"/>
    <x v="0"/>
    <x v="27"/>
    <n v="7725"/>
    <n v="8"/>
    <n v="4635"/>
    <n v="3090"/>
    <n v="0.4"/>
    <x v="9"/>
    <n v="2023"/>
  </r>
  <r>
    <x v="1771"/>
    <d v="2023-05-14T00:00:00"/>
    <x v="3"/>
    <x v="2"/>
    <x v="17"/>
    <n v="3740"/>
    <n v="7"/>
    <n v="2618"/>
    <n v="1122"/>
    <n v="0.3"/>
    <x v="4"/>
    <n v="2023"/>
  </r>
  <r>
    <x v="1772"/>
    <d v="2023-04-17T00:00:00"/>
    <x v="0"/>
    <x v="2"/>
    <x v="11"/>
    <n v="18929"/>
    <n v="9"/>
    <n v="13250.3"/>
    <n v="5678.7000000000007"/>
    <n v="0.30000000000000004"/>
    <x v="1"/>
    <n v="2023"/>
  </r>
  <r>
    <x v="1773"/>
    <d v="2023-06-01T00:00:00"/>
    <x v="1"/>
    <x v="0"/>
    <x v="48"/>
    <n v="3605"/>
    <n v="7"/>
    <n v="2163"/>
    <n v="1442"/>
    <n v="0.4"/>
    <x v="2"/>
    <n v="2023"/>
  </r>
  <r>
    <x v="1774"/>
    <d v="2023-09-15T00:00:00"/>
    <x v="2"/>
    <x v="1"/>
    <x v="16"/>
    <n v="13970"/>
    <n v="4"/>
    <n v="9080.5"/>
    <n v="4889.5"/>
    <n v="0.35"/>
    <x v="10"/>
    <n v="2023"/>
  </r>
  <r>
    <x v="1775"/>
    <d v="2023-08-19T00:00:00"/>
    <x v="3"/>
    <x v="2"/>
    <x v="1"/>
    <n v="15661"/>
    <n v="9"/>
    <n v="10962.699999999999"/>
    <n v="4698.3000000000011"/>
    <n v="0.30000000000000004"/>
    <x v="5"/>
    <n v="2023"/>
  </r>
  <r>
    <x v="1776"/>
    <d v="2023-07-07T00:00:00"/>
    <x v="0"/>
    <x v="0"/>
    <x v="13"/>
    <n v="571"/>
    <n v="8"/>
    <n v="342.59999999999997"/>
    <n v="228.40000000000003"/>
    <n v="0.40000000000000008"/>
    <x v="6"/>
    <n v="2023"/>
  </r>
  <r>
    <x v="1777"/>
    <d v="2023-05-17T00:00:00"/>
    <x v="1"/>
    <x v="3"/>
    <x v="47"/>
    <n v="915"/>
    <n v="2"/>
    <n v="686.25"/>
    <n v="228.75"/>
    <n v="0.25"/>
    <x v="4"/>
    <n v="2023"/>
  </r>
  <r>
    <x v="1778"/>
    <d v="2023-03-13T00:00:00"/>
    <x v="2"/>
    <x v="1"/>
    <x v="15"/>
    <n v="9792"/>
    <n v="8"/>
    <n v="6364.8"/>
    <n v="3427.2"/>
    <n v="0.35"/>
    <x v="11"/>
    <n v="2023"/>
  </r>
  <r>
    <x v="1779"/>
    <d v="2023-08-11T00:00:00"/>
    <x v="3"/>
    <x v="3"/>
    <x v="34"/>
    <n v="5087"/>
    <n v="2"/>
    <n v="3815.25"/>
    <n v="1271.75"/>
    <n v="0.25"/>
    <x v="5"/>
    <n v="2023"/>
  </r>
  <r>
    <x v="1780"/>
    <d v="2023-11-15T00:00:00"/>
    <x v="0"/>
    <x v="3"/>
    <x v="12"/>
    <n v="2009"/>
    <n v="6"/>
    <n v="1506.75"/>
    <n v="502.25"/>
    <n v="0.25"/>
    <x v="3"/>
    <n v="2023"/>
  </r>
  <r>
    <x v="1781"/>
    <d v="2023-04-27T00:00:00"/>
    <x v="1"/>
    <x v="3"/>
    <x v="5"/>
    <n v="17634"/>
    <n v="5"/>
    <n v="13225.5"/>
    <n v="4408.5"/>
    <n v="0.25"/>
    <x v="1"/>
    <n v="2023"/>
  </r>
  <r>
    <x v="1782"/>
    <d v="2023-06-12T00:00:00"/>
    <x v="2"/>
    <x v="1"/>
    <x v="45"/>
    <n v="7356"/>
    <n v="5"/>
    <n v="4781.4000000000005"/>
    <n v="2574.5999999999995"/>
    <n v="0.34999999999999992"/>
    <x v="2"/>
    <n v="2023"/>
  </r>
  <r>
    <x v="1783"/>
    <d v="2023-07-04T00:00:00"/>
    <x v="3"/>
    <x v="3"/>
    <x v="9"/>
    <n v="1717"/>
    <n v="1"/>
    <n v="1287.75"/>
    <n v="429.25"/>
    <n v="0.25"/>
    <x v="6"/>
    <n v="2023"/>
  </r>
  <r>
    <x v="1784"/>
    <d v="2023-06-23T00:00:00"/>
    <x v="0"/>
    <x v="3"/>
    <x v="16"/>
    <n v="12436"/>
    <n v="10"/>
    <n v="9327"/>
    <n v="3109"/>
    <n v="0.25"/>
    <x v="2"/>
    <n v="2023"/>
  </r>
  <r>
    <x v="1785"/>
    <d v="2023-02-23T00:00:00"/>
    <x v="1"/>
    <x v="3"/>
    <x v="10"/>
    <n v="11654"/>
    <n v="4"/>
    <n v="8740.5"/>
    <n v="2913.5"/>
    <n v="0.25"/>
    <x v="8"/>
    <n v="2023"/>
  </r>
  <r>
    <x v="1786"/>
    <d v="2023-01-26T00:00:00"/>
    <x v="2"/>
    <x v="1"/>
    <x v="45"/>
    <n v="10641"/>
    <n v="10"/>
    <n v="6916.6500000000005"/>
    <n v="3724.3499999999995"/>
    <n v="0.34999999999999992"/>
    <x v="9"/>
    <n v="2023"/>
  </r>
  <r>
    <x v="1787"/>
    <d v="2023-01-20T00:00:00"/>
    <x v="3"/>
    <x v="0"/>
    <x v="27"/>
    <n v="13925"/>
    <n v="8"/>
    <n v="8355"/>
    <n v="5570"/>
    <n v="0.4"/>
    <x v="9"/>
    <n v="2023"/>
  </r>
  <r>
    <x v="1788"/>
    <d v="2023-08-08T00:00:00"/>
    <x v="0"/>
    <x v="2"/>
    <x v="12"/>
    <n v="2980"/>
    <n v="2"/>
    <n v="2086"/>
    <n v="894"/>
    <n v="0.3"/>
    <x v="5"/>
    <n v="2023"/>
  </r>
  <r>
    <x v="1789"/>
    <d v="2023-09-03T00:00:00"/>
    <x v="1"/>
    <x v="2"/>
    <x v="5"/>
    <n v="13699"/>
    <n v="7"/>
    <n v="9589.2999999999993"/>
    <n v="4109.7000000000007"/>
    <n v="0.30000000000000004"/>
    <x v="10"/>
    <n v="2023"/>
  </r>
  <r>
    <x v="1790"/>
    <d v="2023-03-17T00:00:00"/>
    <x v="2"/>
    <x v="0"/>
    <x v="21"/>
    <n v="19543"/>
    <n v="4"/>
    <n v="11725.8"/>
    <n v="7817.2000000000007"/>
    <n v="0.4"/>
    <x v="11"/>
    <n v="2023"/>
  </r>
  <r>
    <x v="1791"/>
    <d v="2023-07-13T00:00:00"/>
    <x v="3"/>
    <x v="2"/>
    <x v="23"/>
    <n v="2193"/>
    <n v="3"/>
    <n v="1535.1"/>
    <n v="657.90000000000009"/>
    <n v="0.30000000000000004"/>
    <x v="6"/>
    <n v="2023"/>
  </r>
  <r>
    <x v="1792"/>
    <d v="2023-11-04T00:00:00"/>
    <x v="0"/>
    <x v="2"/>
    <x v="24"/>
    <n v="19666"/>
    <n v="3"/>
    <n v="13766.199999999999"/>
    <n v="5899.8000000000011"/>
    <n v="0.30000000000000004"/>
    <x v="3"/>
    <n v="2023"/>
  </r>
  <r>
    <x v="1793"/>
    <d v="2023-05-20T00:00:00"/>
    <x v="1"/>
    <x v="1"/>
    <x v="46"/>
    <n v="8621"/>
    <n v="8"/>
    <n v="5603.6500000000005"/>
    <n v="3017.3499999999995"/>
    <n v="0.34999999999999992"/>
    <x v="4"/>
    <n v="2023"/>
  </r>
  <r>
    <x v="1794"/>
    <d v="2023-01-05T00:00:00"/>
    <x v="2"/>
    <x v="0"/>
    <x v="22"/>
    <n v="9179"/>
    <n v="4"/>
    <n v="5507.4"/>
    <n v="3671.6000000000004"/>
    <n v="0.4"/>
    <x v="9"/>
    <n v="2023"/>
  </r>
  <r>
    <x v="1795"/>
    <d v="2023-09-16T00:00:00"/>
    <x v="3"/>
    <x v="2"/>
    <x v="49"/>
    <n v="13469"/>
    <n v="6"/>
    <n v="9428.2999999999993"/>
    <n v="4040.7000000000007"/>
    <n v="0.30000000000000004"/>
    <x v="10"/>
    <n v="2023"/>
  </r>
  <r>
    <x v="1796"/>
    <d v="2023-02-25T00:00:00"/>
    <x v="0"/>
    <x v="3"/>
    <x v="40"/>
    <n v="7470"/>
    <n v="6"/>
    <n v="5602.5"/>
    <n v="1867.5"/>
    <n v="0.25"/>
    <x v="8"/>
    <n v="2023"/>
  </r>
  <r>
    <x v="1797"/>
    <d v="2023-10-28T00:00:00"/>
    <x v="1"/>
    <x v="2"/>
    <x v="48"/>
    <n v="7094"/>
    <n v="8"/>
    <n v="4965.7999999999993"/>
    <n v="2128.2000000000007"/>
    <n v="0.3000000000000001"/>
    <x v="0"/>
    <n v="2023"/>
  </r>
  <r>
    <x v="1798"/>
    <d v="2023-08-10T00:00:00"/>
    <x v="2"/>
    <x v="1"/>
    <x v="37"/>
    <n v="5407"/>
    <n v="6"/>
    <n v="3514.55"/>
    <n v="1892.4499999999998"/>
    <n v="0.35"/>
    <x v="5"/>
    <n v="2023"/>
  </r>
  <r>
    <x v="1799"/>
    <d v="2023-05-02T00:00:00"/>
    <x v="3"/>
    <x v="3"/>
    <x v="37"/>
    <n v="15662"/>
    <n v="7"/>
    <n v="11746.5"/>
    <n v="3915.5"/>
    <n v="0.25"/>
    <x v="4"/>
    <n v="2023"/>
  </r>
  <r>
    <x v="1800"/>
    <d v="2023-09-15T00:00:00"/>
    <x v="0"/>
    <x v="1"/>
    <x v="19"/>
    <n v="4682"/>
    <n v="5"/>
    <n v="3043.3"/>
    <n v="1638.6999999999998"/>
    <n v="0.35"/>
    <x v="10"/>
    <n v="2023"/>
  </r>
  <r>
    <x v="1801"/>
    <d v="2023-02-20T00:00:00"/>
    <x v="1"/>
    <x v="3"/>
    <x v="39"/>
    <n v="7810"/>
    <n v="9"/>
    <n v="5857.5"/>
    <n v="1952.5"/>
    <n v="0.25"/>
    <x v="8"/>
    <n v="2023"/>
  </r>
  <r>
    <x v="1802"/>
    <d v="2023-02-07T00:00:00"/>
    <x v="2"/>
    <x v="1"/>
    <x v="35"/>
    <n v="19571"/>
    <n v="10"/>
    <n v="12721.15"/>
    <n v="6849.85"/>
    <n v="0.35000000000000003"/>
    <x v="8"/>
    <n v="2023"/>
  </r>
  <r>
    <x v="1803"/>
    <d v="2023-10-03T00:00:00"/>
    <x v="3"/>
    <x v="3"/>
    <x v="39"/>
    <n v="19043"/>
    <n v="5"/>
    <n v="14282.25"/>
    <n v="4760.75"/>
    <n v="0.25"/>
    <x v="0"/>
    <n v="2023"/>
  </r>
  <r>
    <x v="1804"/>
    <d v="2023-12-23T00:00:00"/>
    <x v="0"/>
    <x v="1"/>
    <x v="22"/>
    <n v="11937"/>
    <n v="6"/>
    <n v="7759.05"/>
    <n v="4177.95"/>
    <n v="0.35"/>
    <x v="7"/>
    <n v="2023"/>
  </r>
  <r>
    <x v="1805"/>
    <d v="2023-01-16T00:00:00"/>
    <x v="1"/>
    <x v="2"/>
    <x v="45"/>
    <n v="17740"/>
    <n v="7"/>
    <n v="12418"/>
    <n v="5322"/>
    <n v="0.3"/>
    <x v="9"/>
    <n v="2023"/>
  </r>
  <r>
    <x v="1806"/>
    <d v="2023-10-26T00:00:00"/>
    <x v="2"/>
    <x v="2"/>
    <x v="18"/>
    <n v="17361"/>
    <n v="2"/>
    <n v="12152.699999999999"/>
    <n v="5208.3000000000011"/>
    <n v="0.30000000000000004"/>
    <x v="0"/>
    <n v="2023"/>
  </r>
  <r>
    <x v="1807"/>
    <d v="2023-08-08T00:00:00"/>
    <x v="3"/>
    <x v="3"/>
    <x v="33"/>
    <n v="10468"/>
    <n v="2"/>
    <n v="7851"/>
    <n v="2617"/>
    <n v="0.25"/>
    <x v="5"/>
    <n v="2023"/>
  </r>
  <r>
    <x v="1808"/>
    <d v="2023-08-28T00:00:00"/>
    <x v="0"/>
    <x v="2"/>
    <x v="3"/>
    <n v="11100"/>
    <n v="10"/>
    <n v="7769.9999999999991"/>
    <n v="3330.0000000000009"/>
    <n v="0.3000000000000001"/>
    <x v="5"/>
    <n v="2023"/>
  </r>
  <r>
    <x v="1809"/>
    <d v="2023-04-19T00:00:00"/>
    <x v="1"/>
    <x v="3"/>
    <x v="30"/>
    <n v="1375"/>
    <n v="5"/>
    <n v="1031.25"/>
    <n v="343.75"/>
    <n v="0.25"/>
    <x v="1"/>
    <n v="2023"/>
  </r>
  <r>
    <x v="1810"/>
    <d v="2023-11-26T00:00:00"/>
    <x v="2"/>
    <x v="1"/>
    <x v="25"/>
    <n v="1701"/>
    <n v="10"/>
    <n v="1105.6500000000001"/>
    <n v="595.34999999999991"/>
    <n v="0.34999999999999992"/>
    <x v="3"/>
    <n v="2023"/>
  </r>
  <r>
    <x v="1811"/>
    <d v="2023-04-28T00:00:00"/>
    <x v="3"/>
    <x v="0"/>
    <x v="42"/>
    <n v="15044"/>
    <n v="10"/>
    <n v="9026.4"/>
    <n v="6017.6"/>
    <n v="0.4"/>
    <x v="1"/>
    <n v="2023"/>
  </r>
  <r>
    <x v="1812"/>
    <d v="2023-09-17T00:00:00"/>
    <x v="0"/>
    <x v="2"/>
    <x v="31"/>
    <n v="16029"/>
    <n v="10"/>
    <n v="11220.3"/>
    <n v="4808.7000000000007"/>
    <n v="0.30000000000000004"/>
    <x v="10"/>
    <n v="2023"/>
  </r>
  <r>
    <x v="1813"/>
    <d v="2023-04-12T00:00:00"/>
    <x v="1"/>
    <x v="3"/>
    <x v="27"/>
    <n v="15370"/>
    <n v="5"/>
    <n v="11527.5"/>
    <n v="3842.5"/>
    <n v="0.25"/>
    <x v="1"/>
    <n v="2023"/>
  </r>
  <r>
    <x v="1814"/>
    <d v="2023-11-15T00:00:00"/>
    <x v="2"/>
    <x v="3"/>
    <x v="38"/>
    <n v="13844"/>
    <n v="2"/>
    <n v="10383"/>
    <n v="3461"/>
    <n v="0.25"/>
    <x v="3"/>
    <n v="2023"/>
  </r>
  <r>
    <x v="1815"/>
    <d v="2023-07-07T00:00:00"/>
    <x v="3"/>
    <x v="0"/>
    <x v="24"/>
    <n v="1035"/>
    <n v="3"/>
    <n v="621"/>
    <n v="414"/>
    <n v="0.4"/>
    <x v="6"/>
    <n v="2023"/>
  </r>
  <r>
    <x v="1816"/>
    <d v="2023-04-12T00:00:00"/>
    <x v="0"/>
    <x v="3"/>
    <x v="1"/>
    <n v="3275"/>
    <n v="4"/>
    <n v="2456.25"/>
    <n v="818.75"/>
    <n v="0.25"/>
    <x v="1"/>
    <n v="2023"/>
  </r>
  <r>
    <x v="1817"/>
    <d v="2023-10-19T00:00:00"/>
    <x v="1"/>
    <x v="0"/>
    <x v="25"/>
    <n v="12431"/>
    <n v="1"/>
    <n v="7458.5999999999995"/>
    <n v="4972.4000000000005"/>
    <n v="0.4"/>
    <x v="0"/>
    <n v="2023"/>
  </r>
  <r>
    <x v="1818"/>
    <d v="2023-07-08T00:00:00"/>
    <x v="2"/>
    <x v="2"/>
    <x v="13"/>
    <n v="11229"/>
    <n v="9"/>
    <n v="7860.2999999999993"/>
    <n v="3368.7000000000007"/>
    <n v="0.30000000000000004"/>
    <x v="6"/>
    <n v="2023"/>
  </r>
  <r>
    <x v="1819"/>
    <d v="2023-11-02T00:00:00"/>
    <x v="3"/>
    <x v="2"/>
    <x v="26"/>
    <n v="10655"/>
    <n v="10"/>
    <n v="7458.4999999999991"/>
    <n v="3196.5000000000009"/>
    <n v="0.3000000000000001"/>
    <x v="3"/>
    <n v="2023"/>
  </r>
  <r>
    <x v="1820"/>
    <d v="2023-01-05T00:00:00"/>
    <x v="0"/>
    <x v="2"/>
    <x v="21"/>
    <n v="14130"/>
    <n v="7"/>
    <n v="9891"/>
    <n v="4239"/>
    <n v="0.3"/>
    <x v="9"/>
    <n v="2023"/>
  </r>
  <r>
    <x v="1821"/>
    <d v="2023-04-16T00:00:00"/>
    <x v="1"/>
    <x v="0"/>
    <x v="42"/>
    <n v="17861"/>
    <n v="4"/>
    <n v="10716.6"/>
    <n v="7144.4"/>
    <n v="0.39999999999999997"/>
    <x v="1"/>
    <n v="2023"/>
  </r>
  <r>
    <x v="1822"/>
    <d v="2023-04-25T00:00:00"/>
    <x v="2"/>
    <x v="0"/>
    <x v="46"/>
    <n v="578"/>
    <n v="10"/>
    <n v="346.8"/>
    <n v="231.2"/>
    <n v="0.39999999999999997"/>
    <x v="1"/>
    <n v="2023"/>
  </r>
  <r>
    <x v="1823"/>
    <d v="2023-05-09T00:00:00"/>
    <x v="3"/>
    <x v="2"/>
    <x v="6"/>
    <n v="10360"/>
    <n v="5"/>
    <n v="7251.9999999999991"/>
    <n v="3108.0000000000009"/>
    <n v="0.3000000000000001"/>
    <x v="4"/>
    <n v="2023"/>
  </r>
  <r>
    <x v="1824"/>
    <d v="2023-06-13T00:00:00"/>
    <x v="0"/>
    <x v="3"/>
    <x v="42"/>
    <n v="17260"/>
    <n v="9"/>
    <n v="12945"/>
    <n v="4315"/>
    <n v="0.25"/>
    <x v="2"/>
    <n v="2023"/>
  </r>
  <r>
    <x v="1825"/>
    <d v="2023-12-22T00:00:00"/>
    <x v="1"/>
    <x v="2"/>
    <x v="4"/>
    <n v="15138"/>
    <n v="7"/>
    <n v="10596.599999999999"/>
    <n v="4541.4000000000015"/>
    <n v="0.3000000000000001"/>
    <x v="7"/>
    <n v="2023"/>
  </r>
  <r>
    <x v="1826"/>
    <d v="2023-06-19T00:00:00"/>
    <x v="2"/>
    <x v="1"/>
    <x v="17"/>
    <n v="14008"/>
    <n v="1"/>
    <n v="9105.2000000000007"/>
    <n v="4902.7999999999993"/>
    <n v="0.34999999999999992"/>
    <x v="2"/>
    <n v="2023"/>
  </r>
  <r>
    <x v="1827"/>
    <d v="2023-09-18T00:00:00"/>
    <x v="3"/>
    <x v="0"/>
    <x v="14"/>
    <n v="18518"/>
    <n v="1"/>
    <n v="11110.8"/>
    <n v="7407.2000000000007"/>
    <n v="0.4"/>
    <x v="10"/>
    <n v="2023"/>
  </r>
  <r>
    <x v="1828"/>
    <d v="2023-09-18T00:00:00"/>
    <x v="0"/>
    <x v="1"/>
    <x v="32"/>
    <n v="10265"/>
    <n v="3"/>
    <n v="6672.25"/>
    <n v="3592.75"/>
    <n v="0.35"/>
    <x v="10"/>
    <n v="2023"/>
  </r>
  <r>
    <x v="1829"/>
    <d v="2023-03-08T00:00:00"/>
    <x v="1"/>
    <x v="0"/>
    <x v="26"/>
    <n v="9801"/>
    <n v="3"/>
    <n v="5880.5999999999995"/>
    <n v="3920.4000000000005"/>
    <n v="0.40000000000000008"/>
    <x v="11"/>
    <n v="2023"/>
  </r>
  <r>
    <x v="1830"/>
    <d v="2023-03-26T00:00:00"/>
    <x v="2"/>
    <x v="3"/>
    <x v="2"/>
    <n v="19314"/>
    <n v="4"/>
    <n v="14485.5"/>
    <n v="4828.5"/>
    <n v="0.25"/>
    <x v="11"/>
    <n v="2023"/>
  </r>
  <r>
    <x v="1831"/>
    <d v="2023-09-15T00:00:00"/>
    <x v="3"/>
    <x v="0"/>
    <x v="42"/>
    <n v="4271"/>
    <n v="4"/>
    <n v="2562.6"/>
    <n v="1708.4"/>
    <n v="0.4"/>
    <x v="10"/>
    <n v="2023"/>
  </r>
  <r>
    <x v="1832"/>
    <d v="2023-01-24T00:00:00"/>
    <x v="0"/>
    <x v="2"/>
    <x v="48"/>
    <n v="18096"/>
    <n v="4"/>
    <n v="12667.199999999999"/>
    <n v="5428.8000000000011"/>
    <n v="0.30000000000000004"/>
    <x v="9"/>
    <n v="2023"/>
  </r>
  <r>
    <x v="1833"/>
    <d v="2023-12-26T00:00:00"/>
    <x v="1"/>
    <x v="0"/>
    <x v="28"/>
    <n v="12467"/>
    <n v="3"/>
    <n v="7480.2"/>
    <n v="4986.8"/>
    <n v="0.4"/>
    <x v="7"/>
    <n v="2023"/>
  </r>
  <r>
    <x v="1834"/>
    <d v="2023-04-25T00:00:00"/>
    <x v="2"/>
    <x v="1"/>
    <x v="34"/>
    <n v="951"/>
    <n v="10"/>
    <n v="618.15"/>
    <n v="332.85"/>
    <n v="0.35000000000000003"/>
    <x v="1"/>
    <n v="2023"/>
  </r>
  <r>
    <x v="1835"/>
    <d v="2023-11-10T00:00:00"/>
    <x v="3"/>
    <x v="3"/>
    <x v="17"/>
    <n v="13219"/>
    <n v="6"/>
    <n v="9914.25"/>
    <n v="3304.75"/>
    <n v="0.25"/>
    <x v="3"/>
    <n v="2023"/>
  </r>
  <r>
    <x v="1836"/>
    <d v="2023-04-18T00:00:00"/>
    <x v="0"/>
    <x v="1"/>
    <x v="38"/>
    <n v="3406"/>
    <n v="7"/>
    <n v="2213.9"/>
    <n v="1192.0999999999999"/>
    <n v="0.35"/>
    <x v="1"/>
    <n v="2023"/>
  </r>
  <r>
    <x v="1837"/>
    <d v="2023-05-21T00:00:00"/>
    <x v="1"/>
    <x v="1"/>
    <x v="12"/>
    <n v="9091"/>
    <n v="7"/>
    <n v="5909.1500000000005"/>
    <n v="3181.8499999999995"/>
    <n v="0.34999999999999992"/>
    <x v="4"/>
    <n v="2023"/>
  </r>
  <r>
    <x v="1838"/>
    <d v="2023-04-05T00:00:00"/>
    <x v="2"/>
    <x v="0"/>
    <x v="4"/>
    <n v="10792"/>
    <n v="1"/>
    <n v="6475.2"/>
    <n v="4316.8"/>
    <n v="0.4"/>
    <x v="1"/>
    <n v="2023"/>
  </r>
  <r>
    <x v="1839"/>
    <d v="2023-09-22T00:00:00"/>
    <x v="3"/>
    <x v="0"/>
    <x v="30"/>
    <n v="7973"/>
    <n v="2"/>
    <n v="4783.8"/>
    <n v="3189.2"/>
    <n v="0.39999999999999997"/>
    <x v="10"/>
    <n v="2023"/>
  </r>
  <r>
    <x v="1840"/>
    <d v="2023-05-14T00:00:00"/>
    <x v="0"/>
    <x v="3"/>
    <x v="49"/>
    <n v="19058"/>
    <n v="7"/>
    <n v="14293.5"/>
    <n v="4764.5"/>
    <n v="0.25"/>
    <x v="4"/>
    <n v="2023"/>
  </r>
  <r>
    <x v="1841"/>
    <d v="2023-05-08T00:00:00"/>
    <x v="1"/>
    <x v="0"/>
    <x v="48"/>
    <n v="17885"/>
    <n v="4"/>
    <n v="10731"/>
    <n v="7154"/>
    <n v="0.4"/>
    <x v="4"/>
    <n v="2023"/>
  </r>
  <r>
    <x v="1842"/>
    <d v="2023-12-24T00:00:00"/>
    <x v="2"/>
    <x v="2"/>
    <x v="10"/>
    <n v="15235"/>
    <n v="8"/>
    <n v="10664.5"/>
    <n v="4570.5"/>
    <n v="0.3"/>
    <x v="7"/>
    <n v="2023"/>
  </r>
  <r>
    <x v="1843"/>
    <d v="2023-04-01T00:00:00"/>
    <x v="3"/>
    <x v="0"/>
    <x v="19"/>
    <n v="7724"/>
    <n v="6"/>
    <n v="4634.3999999999996"/>
    <n v="3089.6000000000004"/>
    <n v="0.4"/>
    <x v="1"/>
    <n v="2023"/>
  </r>
  <r>
    <x v="1844"/>
    <d v="2023-03-18T00:00:00"/>
    <x v="0"/>
    <x v="1"/>
    <x v="43"/>
    <n v="7943"/>
    <n v="1"/>
    <n v="5162.95"/>
    <n v="2780.05"/>
    <n v="0.35000000000000003"/>
    <x v="11"/>
    <n v="2023"/>
  </r>
  <r>
    <x v="1845"/>
    <d v="2023-08-27T00:00:00"/>
    <x v="1"/>
    <x v="2"/>
    <x v="24"/>
    <n v="15439"/>
    <n v="10"/>
    <n v="10807.3"/>
    <n v="4631.7000000000007"/>
    <n v="0.30000000000000004"/>
    <x v="5"/>
    <n v="2023"/>
  </r>
  <r>
    <x v="1846"/>
    <d v="2023-10-03T00:00:00"/>
    <x v="2"/>
    <x v="2"/>
    <x v="47"/>
    <n v="1439"/>
    <n v="7"/>
    <n v="1007.3"/>
    <n v="431.70000000000005"/>
    <n v="0.30000000000000004"/>
    <x v="0"/>
    <n v="2023"/>
  </r>
  <r>
    <x v="1847"/>
    <d v="2023-08-01T00:00:00"/>
    <x v="3"/>
    <x v="2"/>
    <x v="29"/>
    <n v="10809"/>
    <n v="5"/>
    <n v="7566.2999999999993"/>
    <n v="3242.7000000000007"/>
    <n v="0.30000000000000004"/>
    <x v="5"/>
    <n v="2023"/>
  </r>
  <r>
    <x v="1848"/>
    <d v="2023-08-12T00:00:00"/>
    <x v="0"/>
    <x v="3"/>
    <x v="47"/>
    <n v="7977"/>
    <n v="8"/>
    <n v="5982.75"/>
    <n v="1994.25"/>
    <n v="0.25"/>
    <x v="5"/>
    <n v="2023"/>
  </r>
  <r>
    <x v="1849"/>
    <d v="2023-06-10T00:00:00"/>
    <x v="1"/>
    <x v="1"/>
    <x v="38"/>
    <n v="9280"/>
    <n v="6"/>
    <n v="6032"/>
    <n v="3248"/>
    <n v="0.35"/>
    <x v="2"/>
    <n v="2023"/>
  </r>
  <r>
    <x v="1850"/>
    <d v="2023-12-22T00:00:00"/>
    <x v="2"/>
    <x v="1"/>
    <x v="36"/>
    <n v="6934"/>
    <n v="10"/>
    <n v="4507.1000000000004"/>
    <n v="2426.8999999999996"/>
    <n v="0.34999999999999992"/>
    <x v="7"/>
    <n v="2023"/>
  </r>
  <r>
    <x v="1851"/>
    <d v="2023-09-20T00:00:00"/>
    <x v="3"/>
    <x v="2"/>
    <x v="10"/>
    <n v="9531"/>
    <n v="9"/>
    <n v="6671.7"/>
    <n v="2859.3"/>
    <n v="0.30000000000000004"/>
    <x v="10"/>
    <n v="2023"/>
  </r>
  <r>
    <x v="1852"/>
    <d v="2023-01-23T00:00:00"/>
    <x v="0"/>
    <x v="1"/>
    <x v="28"/>
    <n v="19616"/>
    <n v="7"/>
    <n v="12750.4"/>
    <n v="6865.6"/>
    <n v="0.35000000000000003"/>
    <x v="9"/>
    <n v="2023"/>
  </r>
  <r>
    <x v="1853"/>
    <d v="2023-09-18T00:00:00"/>
    <x v="1"/>
    <x v="3"/>
    <x v="46"/>
    <n v="17086"/>
    <n v="3"/>
    <n v="12814.5"/>
    <n v="4271.5"/>
    <n v="0.25"/>
    <x v="10"/>
    <n v="2023"/>
  </r>
  <r>
    <x v="1854"/>
    <d v="2023-02-27T00:00:00"/>
    <x v="2"/>
    <x v="1"/>
    <x v="18"/>
    <n v="12772"/>
    <n v="4"/>
    <n v="8301.8000000000011"/>
    <n v="4470.1999999999989"/>
    <n v="0.34999999999999992"/>
    <x v="8"/>
    <n v="2023"/>
  </r>
  <r>
    <x v="1855"/>
    <d v="2023-04-06T00:00:00"/>
    <x v="3"/>
    <x v="2"/>
    <x v="29"/>
    <n v="4714"/>
    <n v="3"/>
    <n v="3299.7999999999997"/>
    <n v="1414.2000000000003"/>
    <n v="0.30000000000000004"/>
    <x v="1"/>
    <n v="2023"/>
  </r>
  <r>
    <x v="1856"/>
    <d v="2023-02-07T00:00:00"/>
    <x v="0"/>
    <x v="1"/>
    <x v="40"/>
    <n v="2194"/>
    <n v="4"/>
    <n v="1426.1000000000001"/>
    <n v="767.89999999999986"/>
    <n v="0.34999999999999992"/>
    <x v="8"/>
    <n v="2023"/>
  </r>
  <r>
    <x v="1857"/>
    <d v="2023-11-28T00:00:00"/>
    <x v="1"/>
    <x v="1"/>
    <x v="19"/>
    <n v="19406"/>
    <n v="3"/>
    <n v="12613.9"/>
    <n v="6792.1"/>
    <n v="0.35000000000000003"/>
    <x v="3"/>
    <n v="2023"/>
  </r>
  <r>
    <x v="1858"/>
    <d v="2023-12-20T00:00:00"/>
    <x v="2"/>
    <x v="2"/>
    <x v="18"/>
    <n v="3366"/>
    <n v="6"/>
    <n v="2356.1999999999998"/>
    <n v="1009.8000000000002"/>
    <n v="0.30000000000000004"/>
    <x v="7"/>
    <n v="2023"/>
  </r>
  <r>
    <x v="1859"/>
    <d v="2023-08-06T00:00:00"/>
    <x v="3"/>
    <x v="0"/>
    <x v="8"/>
    <n v="1336"/>
    <n v="7"/>
    <n v="801.6"/>
    <n v="534.4"/>
    <n v="0.39999999999999997"/>
    <x v="5"/>
    <n v="2023"/>
  </r>
  <r>
    <x v="1860"/>
    <d v="2023-09-15T00:00:00"/>
    <x v="0"/>
    <x v="2"/>
    <x v="37"/>
    <n v="6036"/>
    <n v="6"/>
    <n v="4225.2"/>
    <n v="1810.8000000000002"/>
    <n v="0.30000000000000004"/>
    <x v="10"/>
    <n v="2023"/>
  </r>
  <r>
    <x v="1861"/>
    <d v="2023-04-28T00:00:00"/>
    <x v="1"/>
    <x v="2"/>
    <x v="30"/>
    <n v="1693"/>
    <n v="2"/>
    <n v="1185.0999999999999"/>
    <n v="507.90000000000009"/>
    <n v="0.30000000000000004"/>
    <x v="1"/>
    <n v="2023"/>
  </r>
  <r>
    <x v="1862"/>
    <d v="2023-09-21T00:00:00"/>
    <x v="2"/>
    <x v="3"/>
    <x v="13"/>
    <n v="15407"/>
    <n v="9"/>
    <n v="11555.25"/>
    <n v="3851.75"/>
    <n v="0.25"/>
    <x v="10"/>
    <n v="2023"/>
  </r>
  <r>
    <x v="1863"/>
    <d v="2023-02-10T00:00:00"/>
    <x v="3"/>
    <x v="2"/>
    <x v="16"/>
    <n v="15736"/>
    <n v="2"/>
    <n v="11015.199999999999"/>
    <n v="4720.8000000000011"/>
    <n v="0.30000000000000004"/>
    <x v="8"/>
    <n v="2023"/>
  </r>
  <r>
    <x v="1864"/>
    <d v="2023-09-24T00:00:00"/>
    <x v="0"/>
    <x v="1"/>
    <x v="48"/>
    <n v="17690"/>
    <n v="2"/>
    <n v="11498.5"/>
    <n v="6191.5"/>
    <n v="0.35"/>
    <x v="10"/>
    <n v="2023"/>
  </r>
  <r>
    <x v="1865"/>
    <d v="2023-09-28T00:00:00"/>
    <x v="1"/>
    <x v="0"/>
    <x v="49"/>
    <n v="1234"/>
    <n v="9"/>
    <n v="740.4"/>
    <n v="493.6"/>
    <n v="0.4"/>
    <x v="10"/>
    <n v="2023"/>
  </r>
  <r>
    <x v="1866"/>
    <d v="2023-03-18T00:00:00"/>
    <x v="2"/>
    <x v="2"/>
    <x v="39"/>
    <n v="16020"/>
    <n v="8"/>
    <n v="11214"/>
    <n v="4806"/>
    <n v="0.3"/>
    <x v="11"/>
    <n v="2023"/>
  </r>
  <r>
    <x v="1867"/>
    <d v="2023-12-25T00:00:00"/>
    <x v="3"/>
    <x v="2"/>
    <x v="18"/>
    <n v="13774"/>
    <n v="4"/>
    <n v="9641.7999999999993"/>
    <n v="4132.2000000000007"/>
    <n v="0.30000000000000004"/>
    <x v="7"/>
    <n v="2023"/>
  </r>
  <r>
    <x v="1868"/>
    <d v="2023-10-05T00:00:00"/>
    <x v="0"/>
    <x v="3"/>
    <x v="27"/>
    <n v="12324"/>
    <n v="10"/>
    <n v="9243"/>
    <n v="3081"/>
    <n v="0.25"/>
    <x v="0"/>
    <n v="2023"/>
  </r>
  <r>
    <x v="1869"/>
    <d v="2023-10-05T00:00:00"/>
    <x v="1"/>
    <x v="1"/>
    <x v="45"/>
    <n v="10608"/>
    <n v="1"/>
    <n v="6895.2"/>
    <n v="3712.8"/>
    <n v="0.35000000000000003"/>
    <x v="0"/>
    <n v="2023"/>
  </r>
  <r>
    <x v="1870"/>
    <d v="2023-04-07T00:00:00"/>
    <x v="2"/>
    <x v="3"/>
    <x v="47"/>
    <n v="12468"/>
    <n v="1"/>
    <n v="9351"/>
    <n v="3117"/>
    <n v="0.25"/>
    <x v="1"/>
    <n v="2023"/>
  </r>
  <r>
    <x v="1871"/>
    <d v="2023-04-02T00:00:00"/>
    <x v="3"/>
    <x v="3"/>
    <x v="21"/>
    <n v="15992"/>
    <n v="1"/>
    <n v="11994"/>
    <n v="3998"/>
    <n v="0.25"/>
    <x v="1"/>
    <n v="2023"/>
  </r>
  <r>
    <x v="1872"/>
    <d v="2023-12-27T00:00:00"/>
    <x v="0"/>
    <x v="3"/>
    <x v="12"/>
    <n v="16944"/>
    <n v="2"/>
    <n v="12708"/>
    <n v="4236"/>
    <n v="0.25"/>
    <x v="7"/>
    <n v="2023"/>
  </r>
  <r>
    <x v="1873"/>
    <d v="2023-09-10T00:00:00"/>
    <x v="1"/>
    <x v="0"/>
    <x v="43"/>
    <n v="15579"/>
    <n v="2"/>
    <n v="9347.4"/>
    <n v="6231.6"/>
    <n v="0.4"/>
    <x v="10"/>
    <n v="2023"/>
  </r>
  <r>
    <x v="1874"/>
    <d v="2023-06-25T00:00:00"/>
    <x v="2"/>
    <x v="2"/>
    <x v="23"/>
    <n v="17180"/>
    <n v="10"/>
    <n v="12026"/>
    <n v="5154"/>
    <n v="0.3"/>
    <x v="2"/>
    <n v="2023"/>
  </r>
  <r>
    <x v="1875"/>
    <d v="2023-09-01T00:00:00"/>
    <x v="3"/>
    <x v="2"/>
    <x v="20"/>
    <n v="3097"/>
    <n v="9"/>
    <n v="2167.8999999999996"/>
    <n v="929.10000000000036"/>
    <n v="0.3000000000000001"/>
    <x v="10"/>
    <n v="2023"/>
  </r>
  <r>
    <x v="1876"/>
    <d v="2023-12-10T00:00:00"/>
    <x v="0"/>
    <x v="3"/>
    <x v="13"/>
    <n v="4422"/>
    <n v="8"/>
    <n v="3316.5"/>
    <n v="1105.5"/>
    <n v="0.25"/>
    <x v="7"/>
    <n v="2023"/>
  </r>
  <r>
    <x v="1877"/>
    <d v="2023-10-09T00:00:00"/>
    <x v="1"/>
    <x v="3"/>
    <x v="44"/>
    <n v="12505"/>
    <n v="10"/>
    <n v="9378.75"/>
    <n v="3126.25"/>
    <n v="0.25"/>
    <x v="0"/>
    <n v="2023"/>
  </r>
  <r>
    <x v="1878"/>
    <d v="2023-01-26T00:00:00"/>
    <x v="2"/>
    <x v="0"/>
    <x v="47"/>
    <n v="7678"/>
    <n v="2"/>
    <n v="4606.8"/>
    <n v="3071.2"/>
    <n v="0.39999999999999997"/>
    <x v="9"/>
    <n v="2023"/>
  </r>
  <r>
    <x v="1879"/>
    <d v="2023-11-21T00:00:00"/>
    <x v="3"/>
    <x v="2"/>
    <x v="20"/>
    <n v="12841"/>
    <n v="4"/>
    <n v="8988.6999999999989"/>
    <n v="3852.3000000000011"/>
    <n v="0.3000000000000001"/>
    <x v="3"/>
    <n v="2023"/>
  </r>
  <r>
    <x v="1880"/>
    <d v="2023-08-14T00:00:00"/>
    <x v="0"/>
    <x v="0"/>
    <x v="3"/>
    <n v="570"/>
    <n v="10"/>
    <n v="342"/>
    <n v="228"/>
    <n v="0.4"/>
    <x v="5"/>
    <n v="2023"/>
  </r>
  <r>
    <x v="1881"/>
    <d v="2023-02-18T00:00:00"/>
    <x v="1"/>
    <x v="2"/>
    <x v="31"/>
    <n v="18181"/>
    <n v="10"/>
    <n v="12726.699999999999"/>
    <n v="5454.3000000000011"/>
    <n v="0.30000000000000004"/>
    <x v="8"/>
    <n v="2023"/>
  </r>
  <r>
    <x v="1882"/>
    <d v="2023-06-20T00:00:00"/>
    <x v="2"/>
    <x v="2"/>
    <x v="4"/>
    <n v="16608"/>
    <n v="1"/>
    <n v="11625.599999999999"/>
    <n v="4982.4000000000015"/>
    <n v="0.3000000000000001"/>
    <x v="2"/>
    <n v="2023"/>
  </r>
  <r>
    <x v="1883"/>
    <d v="2023-07-01T00:00:00"/>
    <x v="3"/>
    <x v="1"/>
    <x v="8"/>
    <n v="19772"/>
    <n v="3"/>
    <n v="12851.800000000001"/>
    <n v="6920.1999999999989"/>
    <n v="0.34999999999999992"/>
    <x v="6"/>
    <n v="2023"/>
  </r>
  <r>
    <x v="1884"/>
    <d v="2023-09-09T00:00:00"/>
    <x v="0"/>
    <x v="3"/>
    <x v="26"/>
    <n v="9489"/>
    <n v="10"/>
    <n v="7116.75"/>
    <n v="2372.25"/>
    <n v="0.25"/>
    <x v="10"/>
    <n v="2023"/>
  </r>
  <r>
    <x v="1885"/>
    <d v="2023-05-07T00:00:00"/>
    <x v="1"/>
    <x v="1"/>
    <x v="37"/>
    <n v="19577"/>
    <n v="8"/>
    <n v="12725.050000000001"/>
    <n v="6851.9499999999989"/>
    <n v="0.34999999999999992"/>
    <x v="4"/>
    <n v="2023"/>
  </r>
  <r>
    <x v="1886"/>
    <d v="2023-01-01T00:00:00"/>
    <x v="2"/>
    <x v="3"/>
    <x v="32"/>
    <n v="1000"/>
    <n v="5"/>
    <n v="750"/>
    <n v="250"/>
    <n v="0.25"/>
    <x v="9"/>
    <n v="2023"/>
  </r>
  <r>
    <x v="1887"/>
    <d v="2023-06-11T00:00:00"/>
    <x v="3"/>
    <x v="2"/>
    <x v="16"/>
    <n v="17048"/>
    <n v="10"/>
    <n v="11933.599999999999"/>
    <n v="5114.4000000000015"/>
    <n v="0.3000000000000001"/>
    <x v="2"/>
    <n v="2023"/>
  </r>
  <r>
    <x v="1888"/>
    <d v="2023-12-24T00:00:00"/>
    <x v="0"/>
    <x v="1"/>
    <x v="7"/>
    <n v="5892"/>
    <n v="7"/>
    <n v="3829.8"/>
    <n v="2062.1999999999998"/>
    <n v="0.35"/>
    <x v="7"/>
    <n v="2023"/>
  </r>
  <r>
    <x v="1889"/>
    <d v="2023-11-22T00:00:00"/>
    <x v="1"/>
    <x v="2"/>
    <x v="45"/>
    <n v="759"/>
    <n v="10"/>
    <n v="531.29999999999995"/>
    <n v="227.70000000000005"/>
    <n v="0.30000000000000004"/>
    <x v="3"/>
    <n v="2023"/>
  </r>
  <r>
    <x v="1890"/>
    <d v="2023-09-23T00:00:00"/>
    <x v="2"/>
    <x v="0"/>
    <x v="30"/>
    <n v="4687"/>
    <n v="2"/>
    <n v="2812.2"/>
    <n v="1874.8000000000002"/>
    <n v="0.4"/>
    <x v="10"/>
    <n v="2023"/>
  </r>
  <r>
    <x v="1891"/>
    <d v="2023-09-03T00:00:00"/>
    <x v="3"/>
    <x v="0"/>
    <x v="8"/>
    <n v="11425"/>
    <n v="5"/>
    <n v="6855"/>
    <n v="4570"/>
    <n v="0.4"/>
    <x v="10"/>
    <n v="2023"/>
  </r>
  <r>
    <x v="1892"/>
    <d v="2023-04-15T00:00:00"/>
    <x v="0"/>
    <x v="0"/>
    <x v="48"/>
    <n v="11575"/>
    <n v="8"/>
    <n v="6945"/>
    <n v="4630"/>
    <n v="0.4"/>
    <x v="1"/>
    <n v="2023"/>
  </r>
  <r>
    <x v="1893"/>
    <d v="2023-09-16T00:00:00"/>
    <x v="1"/>
    <x v="0"/>
    <x v="24"/>
    <n v="19447"/>
    <n v="6"/>
    <n v="11668.199999999999"/>
    <n v="7778.8000000000011"/>
    <n v="0.40000000000000008"/>
    <x v="10"/>
    <n v="2023"/>
  </r>
  <r>
    <x v="1894"/>
    <d v="2023-04-01T00:00:00"/>
    <x v="2"/>
    <x v="3"/>
    <x v="31"/>
    <n v="18535"/>
    <n v="5"/>
    <n v="13901.25"/>
    <n v="4633.75"/>
    <n v="0.25"/>
    <x v="1"/>
    <n v="2023"/>
  </r>
  <r>
    <x v="1895"/>
    <d v="2023-07-04T00:00:00"/>
    <x v="3"/>
    <x v="2"/>
    <x v="11"/>
    <n v="18039"/>
    <n v="2"/>
    <n v="12627.3"/>
    <n v="5411.7000000000007"/>
    <n v="0.30000000000000004"/>
    <x v="6"/>
    <n v="2023"/>
  </r>
  <r>
    <x v="1896"/>
    <d v="2023-07-08T00:00:00"/>
    <x v="0"/>
    <x v="3"/>
    <x v="45"/>
    <n v="12063"/>
    <n v="10"/>
    <n v="9047.25"/>
    <n v="3015.75"/>
    <n v="0.25"/>
    <x v="6"/>
    <n v="2023"/>
  </r>
  <r>
    <x v="1897"/>
    <d v="2023-09-19T00:00:00"/>
    <x v="1"/>
    <x v="0"/>
    <x v="0"/>
    <n v="7864"/>
    <n v="10"/>
    <n v="4718.3999999999996"/>
    <n v="3145.6000000000004"/>
    <n v="0.4"/>
    <x v="10"/>
    <n v="2023"/>
  </r>
  <r>
    <x v="1898"/>
    <d v="2023-03-14T00:00:00"/>
    <x v="2"/>
    <x v="2"/>
    <x v="4"/>
    <n v="14370"/>
    <n v="9"/>
    <n v="10059"/>
    <n v="4311"/>
    <n v="0.3"/>
    <x v="11"/>
    <n v="2023"/>
  </r>
  <r>
    <x v="1899"/>
    <d v="2023-12-05T00:00:00"/>
    <x v="3"/>
    <x v="1"/>
    <x v="17"/>
    <n v="18015"/>
    <n v="6"/>
    <n v="11709.75"/>
    <n v="6305.25"/>
    <n v="0.35"/>
    <x v="7"/>
    <n v="2023"/>
  </r>
  <r>
    <x v="1900"/>
    <d v="2023-10-17T00:00:00"/>
    <x v="0"/>
    <x v="0"/>
    <x v="24"/>
    <n v="3065"/>
    <n v="4"/>
    <n v="1839"/>
    <n v="1226"/>
    <n v="0.4"/>
    <x v="0"/>
    <n v="2023"/>
  </r>
  <r>
    <x v="1901"/>
    <d v="2023-01-17T00:00:00"/>
    <x v="1"/>
    <x v="1"/>
    <x v="0"/>
    <n v="6704"/>
    <n v="2"/>
    <n v="4357.6000000000004"/>
    <n v="2346.3999999999996"/>
    <n v="0.34999999999999992"/>
    <x v="9"/>
    <n v="2023"/>
  </r>
  <r>
    <x v="1902"/>
    <d v="2023-02-20T00:00:00"/>
    <x v="2"/>
    <x v="3"/>
    <x v="33"/>
    <n v="5183"/>
    <n v="3"/>
    <n v="3887.25"/>
    <n v="1295.75"/>
    <n v="0.25"/>
    <x v="8"/>
    <n v="2023"/>
  </r>
  <r>
    <x v="1903"/>
    <d v="2023-11-12T00:00:00"/>
    <x v="3"/>
    <x v="2"/>
    <x v="37"/>
    <n v="1328"/>
    <n v="6"/>
    <n v="929.59999999999991"/>
    <n v="398.40000000000009"/>
    <n v="0.30000000000000004"/>
    <x v="3"/>
    <n v="2023"/>
  </r>
  <r>
    <x v="1904"/>
    <d v="2023-10-06T00:00:00"/>
    <x v="0"/>
    <x v="3"/>
    <x v="22"/>
    <n v="15383"/>
    <n v="3"/>
    <n v="11537.25"/>
    <n v="3845.75"/>
    <n v="0.25"/>
    <x v="0"/>
    <n v="2023"/>
  </r>
  <r>
    <x v="1905"/>
    <d v="2023-01-27T00:00:00"/>
    <x v="1"/>
    <x v="3"/>
    <x v="38"/>
    <n v="19407"/>
    <n v="10"/>
    <n v="14555.25"/>
    <n v="4851.75"/>
    <n v="0.25"/>
    <x v="9"/>
    <n v="2023"/>
  </r>
  <r>
    <x v="1906"/>
    <d v="2023-05-14T00:00:00"/>
    <x v="2"/>
    <x v="0"/>
    <x v="18"/>
    <n v="17825"/>
    <n v="6"/>
    <n v="10695"/>
    <n v="7130"/>
    <n v="0.4"/>
    <x v="4"/>
    <n v="2023"/>
  </r>
  <r>
    <x v="1907"/>
    <d v="2023-09-01T00:00:00"/>
    <x v="3"/>
    <x v="0"/>
    <x v="47"/>
    <n v="19779"/>
    <n v="5"/>
    <n v="11867.4"/>
    <n v="7911.6"/>
    <n v="0.4"/>
    <x v="10"/>
    <n v="2023"/>
  </r>
  <r>
    <x v="1908"/>
    <d v="2023-07-13T00:00:00"/>
    <x v="0"/>
    <x v="2"/>
    <x v="31"/>
    <n v="13128"/>
    <n v="4"/>
    <n v="9189.5999999999985"/>
    <n v="3938.4000000000015"/>
    <n v="0.3000000000000001"/>
    <x v="6"/>
    <n v="2023"/>
  </r>
  <r>
    <x v="1909"/>
    <d v="2023-04-11T00:00:00"/>
    <x v="1"/>
    <x v="0"/>
    <x v="9"/>
    <n v="14823"/>
    <n v="1"/>
    <n v="8893.7999999999993"/>
    <n v="5929.2000000000007"/>
    <n v="0.4"/>
    <x v="1"/>
    <n v="2023"/>
  </r>
  <r>
    <x v="1910"/>
    <d v="2023-09-22T00:00:00"/>
    <x v="2"/>
    <x v="2"/>
    <x v="14"/>
    <n v="2748"/>
    <n v="1"/>
    <n v="1923.6"/>
    <n v="824.40000000000009"/>
    <n v="0.30000000000000004"/>
    <x v="10"/>
    <n v="2023"/>
  </r>
  <r>
    <x v="1911"/>
    <d v="2023-08-05T00:00:00"/>
    <x v="3"/>
    <x v="3"/>
    <x v="29"/>
    <n v="17420"/>
    <n v="7"/>
    <n v="13065"/>
    <n v="4355"/>
    <n v="0.25"/>
    <x v="5"/>
    <n v="2023"/>
  </r>
  <r>
    <x v="1912"/>
    <d v="2023-01-03T00:00:00"/>
    <x v="0"/>
    <x v="0"/>
    <x v="25"/>
    <n v="2356"/>
    <n v="4"/>
    <n v="1413.6"/>
    <n v="942.40000000000009"/>
    <n v="0.4"/>
    <x v="9"/>
    <n v="2023"/>
  </r>
  <r>
    <x v="1913"/>
    <d v="2023-08-16T00:00:00"/>
    <x v="1"/>
    <x v="2"/>
    <x v="49"/>
    <n v="17673"/>
    <n v="10"/>
    <n v="12371.099999999999"/>
    <n v="5301.9000000000015"/>
    <n v="0.3000000000000001"/>
    <x v="5"/>
    <n v="2023"/>
  </r>
  <r>
    <x v="1914"/>
    <d v="2023-09-18T00:00:00"/>
    <x v="2"/>
    <x v="2"/>
    <x v="15"/>
    <n v="19766"/>
    <n v="10"/>
    <n v="13836.199999999999"/>
    <n v="5929.8000000000011"/>
    <n v="0.30000000000000004"/>
    <x v="10"/>
    <n v="2023"/>
  </r>
  <r>
    <x v="1915"/>
    <d v="2023-10-10T00:00:00"/>
    <x v="3"/>
    <x v="3"/>
    <x v="36"/>
    <n v="7203"/>
    <n v="2"/>
    <n v="5402.25"/>
    <n v="1800.75"/>
    <n v="0.25"/>
    <x v="0"/>
    <n v="2023"/>
  </r>
  <r>
    <x v="1916"/>
    <d v="2023-08-12T00:00:00"/>
    <x v="0"/>
    <x v="2"/>
    <x v="4"/>
    <n v="17066"/>
    <n v="10"/>
    <n v="11946.199999999999"/>
    <n v="5119.8000000000011"/>
    <n v="0.30000000000000004"/>
    <x v="5"/>
    <n v="2023"/>
  </r>
  <r>
    <x v="1917"/>
    <d v="2023-09-16T00:00:00"/>
    <x v="1"/>
    <x v="2"/>
    <x v="48"/>
    <n v="16921"/>
    <n v="2"/>
    <n v="11844.699999999999"/>
    <n v="5076.3000000000011"/>
    <n v="0.30000000000000004"/>
    <x v="10"/>
    <n v="2023"/>
  </r>
  <r>
    <x v="1918"/>
    <d v="2023-01-09T00:00:00"/>
    <x v="2"/>
    <x v="1"/>
    <x v="40"/>
    <n v="1445"/>
    <n v="7"/>
    <n v="939.25"/>
    <n v="505.75"/>
    <n v="0.35"/>
    <x v="9"/>
    <n v="2023"/>
  </r>
  <r>
    <x v="1919"/>
    <d v="2023-05-23T00:00:00"/>
    <x v="3"/>
    <x v="2"/>
    <x v="25"/>
    <n v="19758"/>
    <n v="6"/>
    <n v="13830.599999999999"/>
    <n v="5927.4000000000015"/>
    <n v="0.3000000000000001"/>
    <x v="4"/>
    <n v="2023"/>
  </r>
  <r>
    <x v="1920"/>
    <d v="2023-04-06T00:00:00"/>
    <x v="0"/>
    <x v="3"/>
    <x v="29"/>
    <n v="14526"/>
    <n v="5"/>
    <n v="10894.5"/>
    <n v="3631.5"/>
    <n v="0.25"/>
    <x v="1"/>
    <n v="2023"/>
  </r>
  <r>
    <x v="1921"/>
    <d v="2023-11-06T00:00:00"/>
    <x v="1"/>
    <x v="1"/>
    <x v="35"/>
    <n v="529"/>
    <n v="8"/>
    <n v="343.85"/>
    <n v="185.14999999999998"/>
    <n v="0.35"/>
    <x v="3"/>
    <n v="2023"/>
  </r>
  <r>
    <x v="1922"/>
    <d v="2023-02-25T00:00:00"/>
    <x v="2"/>
    <x v="1"/>
    <x v="8"/>
    <n v="6149"/>
    <n v="6"/>
    <n v="3996.8500000000004"/>
    <n v="2152.1499999999996"/>
    <n v="0.34999999999999992"/>
    <x v="8"/>
    <n v="2023"/>
  </r>
  <r>
    <x v="1923"/>
    <d v="2023-04-08T00:00:00"/>
    <x v="3"/>
    <x v="1"/>
    <x v="31"/>
    <n v="15056"/>
    <n v="6"/>
    <n v="9786.4"/>
    <n v="5269.6"/>
    <n v="0.35000000000000003"/>
    <x v="1"/>
    <n v="2023"/>
  </r>
  <r>
    <x v="1924"/>
    <d v="2023-12-15T00:00:00"/>
    <x v="0"/>
    <x v="2"/>
    <x v="31"/>
    <n v="12142"/>
    <n v="9"/>
    <n v="8499.4"/>
    <n v="3642.6000000000004"/>
    <n v="0.30000000000000004"/>
    <x v="7"/>
    <n v="2023"/>
  </r>
  <r>
    <x v="1925"/>
    <d v="2023-02-12T00:00:00"/>
    <x v="1"/>
    <x v="0"/>
    <x v="23"/>
    <n v="13817"/>
    <n v="4"/>
    <n v="8290.1999999999989"/>
    <n v="5526.8000000000011"/>
    <n v="0.40000000000000008"/>
    <x v="8"/>
    <n v="2023"/>
  </r>
  <r>
    <x v="1926"/>
    <d v="2023-11-14T00:00:00"/>
    <x v="2"/>
    <x v="1"/>
    <x v="10"/>
    <n v="18221"/>
    <n v="7"/>
    <n v="11843.65"/>
    <n v="6377.35"/>
    <n v="0.35000000000000003"/>
    <x v="3"/>
    <n v="2023"/>
  </r>
  <r>
    <x v="1927"/>
    <d v="2023-02-05T00:00:00"/>
    <x v="3"/>
    <x v="0"/>
    <x v="11"/>
    <n v="2740"/>
    <n v="8"/>
    <n v="1644"/>
    <n v="1096"/>
    <n v="0.4"/>
    <x v="8"/>
    <n v="2023"/>
  </r>
  <r>
    <x v="1928"/>
    <d v="2023-04-23T00:00:00"/>
    <x v="0"/>
    <x v="0"/>
    <x v="19"/>
    <n v="15846"/>
    <n v="10"/>
    <n v="9507.6"/>
    <n v="6338.4"/>
    <n v="0.39999999999999997"/>
    <x v="1"/>
    <n v="2023"/>
  </r>
  <r>
    <x v="1929"/>
    <d v="2023-03-03T00:00:00"/>
    <x v="1"/>
    <x v="1"/>
    <x v="7"/>
    <n v="14121"/>
    <n v="10"/>
    <n v="9178.65"/>
    <n v="4942.3500000000004"/>
    <n v="0.35000000000000003"/>
    <x v="11"/>
    <n v="2023"/>
  </r>
  <r>
    <x v="1930"/>
    <d v="2023-03-11T00:00:00"/>
    <x v="2"/>
    <x v="0"/>
    <x v="32"/>
    <n v="17109"/>
    <n v="3"/>
    <n v="10265.4"/>
    <n v="6843.6"/>
    <n v="0.4"/>
    <x v="11"/>
    <n v="2023"/>
  </r>
  <r>
    <x v="1931"/>
    <d v="2023-04-17T00:00:00"/>
    <x v="3"/>
    <x v="0"/>
    <x v="0"/>
    <n v="13096"/>
    <n v="1"/>
    <n v="7857.5999999999995"/>
    <n v="5238.4000000000005"/>
    <n v="0.4"/>
    <x v="1"/>
    <n v="2023"/>
  </r>
  <r>
    <x v="1932"/>
    <d v="2023-03-20T00:00:00"/>
    <x v="0"/>
    <x v="0"/>
    <x v="29"/>
    <n v="16059"/>
    <n v="2"/>
    <n v="9635.4"/>
    <n v="6423.6"/>
    <n v="0.4"/>
    <x v="11"/>
    <n v="2023"/>
  </r>
  <r>
    <x v="1933"/>
    <d v="2023-11-17T00:00:00"/>
    <x v="1"/>
    <x v="3"/>
    <x v="4"/>
    <n v="771"/>
    <n v="6"/>
    <n v="578.25"/>
    <n v="192.75"/>
    <n v="0.25"/>
    <x v="3"/>
    <n v="2023"/>
  </r>
  <r>
    <x v="1934"/>
    <d v="2023-12-19T00:00:00"/>
    <x v="2"/>
    <x v="3"/>
    <x v="16"/>
    <n v="14801"/>
    <n v="4"/>
    <n v="11100.75"/>
    <n v="3700.25"/>
    <n v="0.25"/>
    <x v="7"/>
    <n v="2023"/>
  </r>
  <r>
    <x v="1935"/>
    <d v="2023-07-24T00:00:00"/>
    <x v="3"/>
    <x v="0"/>
    <x v="18"/>
    <n v="18372"/>
    <n v="5"/>
    <n v="11023.199999999999"/>
    <n v="7348.8000000000011"/>
    <n v="0.40000000000000008"/>
    <x v="6"/>
    <n v="2023"/>
  </r>
  <r>
    <x v="1936"/>
    <d v="2023-07-10T00:00:00"/>
    <x v="0"/>
    <x v="0"/>
    <x v="29"/>
    <n v="4554"/>
    <n v="2"/>
    <n v="2732.4"/>
    <n v="1821.6"/>
    <n v="0.39999999999999997"/>
    <x v="6"/>
    <n v="2023"/>
  </r>
  <r>
    <x v="1937"/>
    <d v="2023-08-10T00:00:00"/>
    <x v="1"/>
    <x v="3"/>
    <x v="20"/>
    <n v="1358"/>
    <n v="5"/>
    <n v="1018.5"/>
    <n v="339.5"/>
    <n v="0.25"/>
    <x v="5"/>
    <n v="2023"/>
  </r>
  <r>
    <x v="1938"/>
    <d v="2023-10-12T00:00:00"/>
    <x v="2"/>
    <x v="0"/>
    <x v="45"/>
    <n v="15088"/>
    <n v="5"/>
    <n v="9052.7999999999993"/>
    <n v="6035.2000000000007"/>
    <n v="0.4"/>
    <x v="0"/>
    <n v="2023"/>
  </r>
  <r>
    <x v="1939"/>
    <d v="2023-09-07T00:00:00"/>
    <x v="3"/>
    <x v="0"/>
    <x v="22"/>
    <n v="13759"/>
    <n v="1"/>
    <n v="8255.4"/>
    <n v="5503.6"/>
    <n v="0.4"/>
    <x v="10"/>
    <n v="2023"/>
  </r>
  <r>
    <x v="1940"/>
    <d v="2023-10-01T00:00:00"/>
    <x v="0"/>
    <x v="2"/>
    <x v="41"/>
    <n v="8456"/>
    <n v="9"/>
    <n v="5919.2"/>
    <n v="2536.8000000000002"/>
    <n v="0.30000000000000004"/>
    <x v="0"/>
    <n v="2023"/>
  </r>
  <r>
    <x v="1941"/>
    <d v="2023-04-21T00:00:00"/>
    <x v="1"/>
    <x v="3"/>
    <x v="2"/>
    <n v="18719"/>
    <n v="5"/>
    <n v="14039.25"/>
    <n v="4679.75"/>
    <n v="0.25"/>
    <x v="1"/>
    <n v="2023"/>
  </r>
  <r>
    <x v="1942"/>
    <d v="2023-02-15T00:00:00"/>
    <x v="2"/>
    <x v="3"/>
    <x v="24"/>
    <n v="6317"/>
    <n v="8"/>
    <n v="4737.75"/>
    <n v="1579.25"/>
    <n v="0.25"/>
    <x v="8"/>
    <n v="2023"/>
  </r>
  <r>
    <x v="1943"/>
    <d v="2023-03-18T00:00:00"/>
    <x v="3"/>
    <x v="3"/>
    <x v="32"/>
    <n v="4009"/>
    <n v="7"/>
    <n v="3006.75"/>
    <n v="1002.25"/>
    <n v="0.25"/>
    <x v="11"/>
    <n v="2023"/>
  </r>
  <r>
    <x v="1944"/>
    <d v="2023-01-17T00:00:00"/>
    <x v="0"/>
    <x v="1"/>
    <x v="20"/>
    <n v="15703"/>
    <n v="9"/>
    <n v="10206.950000000001"/>
    <n v="5496.0499999999993"/>
    <n v="0.35"/>
    <x v="9"/>
    <n v="2023"/>
  </r>
  <r>
    <x v="1945"/>
    <d v="2023-03-15T00:00:00"/>
    <x v="1"/>
    <x v="2"/>
    <x v="25"/>
    <n v="10762"/>
    <n v="4"/>
    <n v="7533.4"/>
    <n v="3228.6000000000004"/>
    <n v="0.30000000000000004"/>
    <x v="11"/>
    <n v="2023"/>
  </r>
  <r>
    <x v="1946"/>
    <d v="2023-06-10T00:00:00"/>
    <x v="2"/>
    <x v="2"/>
    <x v="17"/>
    <n v="10150"/>
    <n v="5"/>
    <n v="7105"/>
    <n v="3045"/>
    <n v="0.3"/>
    <x v="2"/>
    <n v="2023"/>
  </r>
  <r>
    <x v="1947"/>
    <d v="2023-08-06T00:00:00"/>
    <x v="3"/>
    <x v="2"/>
    <x v="34"/>
    <n v="503"/>
    <n v="9"/>
    <n v="352.09999999999997"/>
    <n v="150.90000000000003"/>
    <n v="0.30000000000000004"/>
    <x v="5"/>
    <n v="2023"/>
  </r>
  <r>
    <x v="1948"/>
    <d v="2023-06-25T00:00:00"/>
    <x v="0"/>
    <x v="1"/>
    <x v="40"/>
    <n v="19189"/>
    <n v="4"/>
    <n v="12472.85"/>
    <n v="6716.15"/>
    <n v="0.35"/>
    <x v="2"/>
    <n v="2023"/>
  </r>
  <r>
    <x v="1949"/>
    <d v="2023-04-04T00:00:00"/>
    <x v="1"/>
    <x v="0"/>
    <x v="6"/>
    <n v="15780"/>
    <n v="10"/>
    <n v="9468"/>
    <n v="6312"/>
    <n v="0.4"/>
    <x v="1"/>
    <n v="2023"/>
  </r>
  <r>
    <x v="1950"/>
    <d v="2023-07-02T00:00:00"/>
    <x v="2"/>
    <x v="3"/>
    <x v="25"/>
    <n v="7722"/>
    <n v="1"/>
    <n v="5791.5"/>
    <n v="1930.5"/>
    <n v="0.25"/>
    <x v="6"/>
    <n v="2023"/>
  </r>
  <r>
    <x v="1951"/>
    <d v="2023-04-28T00:00:00"/>
    <x v="3"/>
    <x v="0"/>
    <x v="5"/>
    <n v="7129"/>
    <n v="7"/>
    <n v="4277.3999999999996"/>
    <n v="2851.6000000000004"/>
    <n v="0.40000000000000008"/>
    <x v="1"/>
    <n v="2023"/>
  </r>
  <r>
    <x v="1952"/>
    <d v="2023-07-02T00:00:00"/>
    <x v="0"/>
    <x v="1"/>
    <x v="6"/>
    <n v="18279"/>
    <n v="3"/>
    <n v="11881.35"/>
    <n v="6397.65"/>
    <n v="0.35"/>
    <x v="6"/>
    <n v="2023"/>
  </r>
  <r>
    <x v="1953"/>
    <d v="2023-10-24T00:00:00"/>
    <x v="1"/>
    <x v="3"/>
    <x v="28"/>
    <n v="15559"/>
    <n v="7"/>
    <n v="11669.25"/>
    <n v="3889.75"/>
    <n v="0.25"/>
    <x v="0"/>
    <n v="2023"/>
  </r>
  <r>
    <x v="1954"/>
    <d v="2023-05-04T00:00:00"/>
    <x v="2"/>
    <x v="3"/>
    <x v="38"/>
    <n v="9411"/>
    <n v="5"/>
    <n v="7058.25"/>
    <n v="2352.75"/>
    <n v="0.25"/>
    <x v="4"/>
    <n v="2023"/>
  </r>
  <r>
    <x v="1955"/>
    <d v="2023-04-22T00:00:00"/>
    <x v="3"/>
    <x v="2"/>
    <x v="42"/>
    <n v="4055"/>
    <n v="2"/>
    <n v="2838.5"/>
    <n v="1216.5"/>
    <n v="0.3"/>
    <x v="1"/>
    <n v="2023"/>
  </r>
  <r>
    <x v="1956"/>
    <d v="2023-08-11T00:00:00"/>
    <x v="0"/>
    <x v="0"/>
    <x v="8"/>
    <n v="9192"/>
    <n v="1"/>
    <n v="5515.2"/>
    <n v="3676.8"/>
    <n v="0.4"/>
    <x v="5"/>
    <n v="2023"/>
  </r>
  <r>
    <x v="1957"/>
    <d v="2023-11-23T00:00:00"/>
    <x v="1"/>
    <x v="3"/>
    <x v="24"/>
    <n v="18180"/>
    <n v="6"/>
    <n v="13635"/>
    <n v="4545"/>
    <n v="0.25"/>
    <x v="3"/>
    <n v="2023"/>
  </r>
  <r>
    <x v="1958"/>
    <d v="2023-02-10T00:00:00"/>
    <x v="2"/>
    <x v="1"/>
    <x v="44"/>
    <n v="7837"/>
    <n v="3"/>
    <n v="5094.05"/>
    <n v="2742.95"/>
    <n v="0.35"/>
    <x v="8"/>
    <n v="2023"/>
  </r>
  <r>
    <x v="1959"/>
    <d v="2023-01-02T00:00:00"/>
    <x v="3"/>
    <x v="2"/>
    <x v="9"/>
    <n v="3946"/>
    <n v="5"/>
    <n v="2762.2"/>
    <n v="1183.8000000000002"/>
    <n v="0.30000000000000004"/>
    <x v="9"/>
    <n v="2023"/>
  </r>
  <r>
    <x v="1960"/>
    <d v="2023-02-15T00:00:00"/>
    <x v="0"/>
    <x v="0"/>
    <x v="36"/>
    <n v="5784"/>
    <n v="2"/>
    <n v="3470.4"/>
    <n v="2313.6"/>
    <n v="0.39999999999999997"/>
    <x v="8"/>
    <n v="2023"/>
  </r>
  <r>
    <x v="1961"/>
    <d v="2023-02-09T00:00:00"/>
    <x v="1"/>
    <x v="3"/>
    <x v="46"/>
    <n v="12984"/>
    <n v="9"/>
    <n v="9738"/>
    <n v="3246"/>
    <n v="0.25"/>
    <x v="8"/>
    <n v="2023"/>
  </r>
  <r>
    <x v="1962"/>
    <d v="2023-03-23T00:00:00"/>
    <x v="2"/>
    <x v="1"/>
    <x v="48"/>
    <n v="2337"/>
    <n v="7"/>
    <n v="1519.05"/>
    <n v="817.95"/>
    <n v="0.35000000000000003"/>
    <x v="11"/>
    <n v="2023"/>
  </r>
  <r>
    <x v="1963"/>
    <d v="2023-06-25T00:00:00"/>
    <x v="3"/>
    <x v="2"/>
    <x v="20"/>
    <n v="542"/>
    <n v="10"/>
    <n v="379.4"/>
    <n v="162.60000000000002"/>
    <n v="0.30000000000000004"/>
    <x v="2"/>
    <n v="2023"/>
  </r>
  <r>
    <x v="1964"/>
    <d v="2023-11-14T00:00:00"/>
    <x v="0"/>
    <x v="2"/>
    <x v="37"/>
    <n v="2946"/>
    <n v="6"/>
    <n v="2062.1999999999998"/>
    <n v="883.80000000000018"/>
    <n v="0.30000000000000004"/>
    <x v="3"/>
    <n v="2023"/>
  </r>
  <r>
    <x v="1965"/>
    <d v="2023-09-18T00:00:00"/>
    <x v="1"/>
    <x v="3"/>
    <x v="39"/>
    <n v="3317"/>
    <n v="1"/>
    <n v="2487.75"/>
    <n v="829.25"/>
    <n v="0.25"/>
    <x v="10"/>
    <n v="2023"/>
  </r>
  <r>
    <x v="1966"/>
    <d v="2023-01-15T00:00:00"/>
    <x v="2"/>
    <x v="0"/>
    <x v="8"/>
    <n v="8299"/>
    <n v="8"/>
    <n v="4979.3999999999996"/>
    <n v="3319.6000000000004"/>
    <n v="0.4"/>
    <x v="9"/>
    <n v="2023"/>
  </r>
  <r>
    <x v="1967"/>
    <d v="2023-12-06T00:00:00"/>
    <x v="3"/>
    <x v="0"/>
    <x v="0"/>
    <n v="13697"/>
    <n v="5"/>
    <n v="8218.1999999999989"/>
    <n v="5478.8000000000011"/>
    <n v="0.40000000000000008"/>
    <x v="7"/>
    <n v="2023"/>
  </r>
  <r>
    <x v="1968"/>
    <d v="2023-12-16T00:00:00"/>
    <x v="0"/>
    <x v="3"/>
    <x v="12"/>
    <n v="1174"/>
    <n v="5"/>
    <n v="880.5"/>
    <n v="293.5"/>
    <n v="0.25"/>
    <x v="7"/>
    <n v="2023"/>
  </r>
  <r>
    <x v="1969"/>
    <d v="2023-01-24T00:00:00"/>
    <x v="1"/>
    <x v="3"/>
    <x v="18"/>
    <n v="4711"/>
    <n v="1"/>
    <n v="3533.25"/>
    <n v="1177.75"/>
    <n v="0.25"/>
    <x v="9"/>
    <n v="2023"/>
  </r>
  <r>
    <x v="1970"/>
    <d v="2023-01-07T00:00:00"/>
    <x v="2"/>
    <x v="0"/>
    <x v="3"/>
    <n v="14144"/>
    <n v="4"/>
    <n v="8486.4"/>
    <n v="5657.6"/>
    <n v="0.4"/>
    <x v="9"/>
    <n v="2023"/>
  </r>
  <r>
    <x v="1971"/>
    <d v="2023-06-10T00:00:00"/>
    <x v="3"/>
    <x v="2"/>
    <x v="45"/>
    <n v="15975"/>
    <n v="10"/>
    <n v="11182.5"/>
    <n v="4792.5"/>
    <n v="0.3"/>
    <x v="2"/>
    <n v="2023"/>
  </r>
  <r>
    <x v="1972"/>
    <d v="2023-04-27T00:00:00"/>
    <x v="0"/>
    <x v="0"/>
    <x v="11"/>
    <n v="5765"/>
    <n v="4"/>
    <n v="3459"/>
    <n v="2306"/>
    <n v="0.4"/>
    <x v="1"/>
    <n v="2023"/>
  </r>
  <r>
    <x v="1973"/>
    <d v="2023-10-02T00:00:00"/>
    <x v="1"/>
    <x v="1"/>
    <x v="22"/>
    <n v="7806"/>
    <n v="2"/>
    <n v="5073.9000000000005"/>
    <n v="2732.0999999999995"/>
    <n v="0.34999999999999992"/>
    <x v="0"/>
    <n v="2023"/>
  </r>
  <r>
    <x v="1974"/>
    <d v="2023-03-23T00:00:00"/>
    <x v="2"/>
    <x v="1"/>
    <x v="45"/>
    <n v="13305"/>
    <n v="6"/>
    <n v="8648.25"/>
    <n v="4656.75"/>
    <n v="0.35"/>
    <x v="11"/>
    <n v="2023"/>
  </r>
  <r>
    <x v="1975"/>
    <d v="2023-05-13T00:00:00"/>
    <x v="3"/>
    <x v="1"/>
    <x v="8"/>
    <n v="12310"/>
    <n v="4"/>
    <n v="8001.5"/>
    <n v="4308.5"/>
    <n v="0.35"/>
    <x v="4"/>
    <n v="2023"/>
  </r>
  <r>
    <x v="1976"/>
    <d v="2023-10-27T00:00:00"/>
    <x v="0"/>
    <x v="2"/>
    <x v="22"/>
    <n v="9878"/>
    <n v="5"/>
    <n v="6914.5999999999995"/>
    <n v="2963.4000000000005"/>
    <n v="0.30000000000000004"/>
    <x v="0"/>
    <n v="2023"/>
  </r>
  <r>
    <x v="1977"/>
    <d v="2023-01-01T00:00:00"/>
    <x v="1"/>
    <x v="3"/>
    <x v="19"/>
    <n v="14678"/>
    <n v="8"/>
    <n v="11008.5"/>
    <n v="3669.5"/>
    <n v="0.25"/>
    <x v="9"/>
    <n v="2023"/>
  </r>
  <r>
    <x v="1978"/>
    <d v="2023-07-12T00:00:00"/>
    <x v="2"/>
    <x v="3"/>
    <x v="45"/>
    <n v="15178"/>
    <n v="7"/>
    <n v="11383.5"/>
    <n v="3794.5"/>
    <n v="0.25"/>
    <x v="6"/>
    <n v="2023"/>
  </r>
  <r>
    <x v="1979"/>
    <d v="2023-10-24T00:00:00"/>
    <x v="3"/>
    <x v="0"/>
    <x v="42"/>
    <n v="3049"/>
    <n v="3"/>
    <n v="1829.3999999999999"/>
    <n v="1219.6000000000001"/>
    <n v="0.4"/>
    <x v="0"/>
    <n v="2023"/>
  </r>
  <r>
    <x v="1980"/>
    <d v="2023-09-15T00:00:00"/>
    <x v="0"/>
    <x v="2"/>
    <x v="1"/>
    <n v="19085"/>
    <n v="10"/>
    <n v="13359.5"/>
    <n v="5725.5"/>
    <n v="0.3"/>
    <x v="10"/>
    <n v="2023"/>
  </r>
  <r>
    <x v="1981"/>
    <d v="2023-07-10T00:00:00"/>
    <x v="1"/>
    <x v="0"/>
    <x v="40"/>
    <n v="2477"/>
    <n v="2"/>
    <n v="1486.2"/>
    <n v="990.8"/>
    <n v="0.39999999999999997"/>
    <x v="6"/>
    <n v="2023"/>
  </r>
  <r>
    <x v="1982"/>
    <d v="2023-08-05T00:00:00"/>
    <x v="2"/>
    <x v="0"/>
    <x v="28"/>
    <n v="16510"/>
    <n v="5"/>
    <n v="9906"/>
    <n v="6604"/>
    <n v="0.4"/>
    <x v="5"/>
    <n v="2023"/>
  </r>
  <r>
    <x v="1983"/>
    <d v="2023-02-03T00:00:00"/>
    <x v="3"/>
    <x v="2"/>
    <x v="37"/>
    <n v="10955"/>
    <n v="2"/>
    <n v="7668.4999999999991"/>
    <n v="3286.5000000000009"/>
    <n v="0.3000000000000001"/>
    <x v="8"/>
    <n v="2023"/>
  </r>
  <r>
    <x v="1984"/>
    <d v="2023-05-25T00:00:00"/>
    <x v="0"/>
    <x v="1"/>
    <x v="30"/>
    <n v="18563"/>
    <n v="9"/>
    <n v="12065.95"/>
    <n v="6497.0499999999993"/>
    <n v="0.35"/>
    <x v="4"/>
    <n v="2023"/>
  </r>
  <r>
    <x v="1985"/>
    <d v="2023-05-14T00:00:00"/>
    <x v="1"/>
    <x v="2"/>
    <x v="34"/>
    <n v="7563"/>
    <n v="5"/>
    <n v="5294.0999999999995"/>
    <n v="2268.9000000000005"/>
    <n v="0.30000000000000004"/>
    <x v="4"/>
    <n v="2023"/>
  </r>
  <r>
    <x v="1986"/>
    <d v="2023-12-09T00:00:00"/>
    <x v="2"/>
    <x v="1"/>
    <x v="36"/>
    <n v="9143"/>
    <n v="2"/>
    <n v="5942.95"/>
    <n v="3200.05"/>
    <n v="0.35000000000000003"/>
    <x v="7"/>
    <n v="2023"/>
  </r>
  <r>
    <x v="1987"/>
    <d v="2023-07-12T00:00:00"/>
    <x v="3"/>
    <x v="3"/>
    <x v="27"/>
    <n v="14546"/>
    <n v="10"/>
    <n v="10909.5"/>
    <n v="3636.5"/>
    <n v="0.25"/>
    <x v="6"/>
    <n v="2023"/>
  </r>
  <r>
    <x v="1988"/>
    <d v="2023-03-15T00:00:00"/>
    <x v="0"/>
    <x v="1"/>
    <x v="7"/>
    <n v="2957"/>
    <n v="4"/>
    <n v="1922.05"/>
    <n v="1034.95"/>
    <n v="0.35000000000000003"/>
    <x v="11"/>
    <n v="2023"/>
  </r>
  <r>
    <x v="1989"/>
    <d v="2023-06-17T00:00:00"/>
    <x v="1"/>
    <x v="1"/>
    <x v="2"/>
    <n v="19514"/>
    <n v="2"/>
    <n v="12684.1"/>
    <n v="6829.9"/>
    <n v="0.35"/>
    <x v="2"/>
    <n v="2023"/>
  </r>
  <r>
    <x v="1990"/>
    <d v="2023-05-11T00:00:00"/>
    <x v="2"/>
    <x v="3"/>
    <x v="2"/>
    <n v="16209"/>
    <n v="3"/>
    <n v="12156.75"/>
    <n v="4052.25"/>
    <n v="0.25"/>
    <x v="4"/>
    <n v="2023"/>
  </r>
  <r>
    <x v="1991"/>
    <d v="2023-04-03T00:00:00"/>
    <x v="3"/>
    <x v="1"/>
    <x v="29"/>
    <n v="19996"/>
    <n v="4"/>
    <n v="12997.4"/>
    <n v="6998.6"/>
    <n v="0.35000000000000003"/>
    <x v="1"/>
    <n v="2023"/>
  </r>
  <r>
    <x v="1992"/>
    <d v="2023-11-03T00:00:00"/>
    <x v="0"/>
    <x v="2"/>
    <x v="2"/>
    <n v="8106"/>
    <n v="1"/>
    <n v="5674.2"/>
    <n v="2431.8000000000002"/>
    <n v="0.30000000000000004"/>
    <x v="3"/>
    <n v="2023"/>
  </r>
  <r>
    <x v="1993"/>
    <d v="2023-08-02T00:00:00"/>
    <x v="1"/>
    <x v="0"/>
    <x v="19"/>
    <n v="17060"/>
    <n v="5"/>
    <n v="10236"/>
    <n v="6824"/>
    <n v="0.4"/>
    <x v="5"/>
    <n v="2023"/>
  </r>
  <r>
    <x v="1994"/>
    <d v="2023-10-13T00:00:00"/>
    <x v="2"/>
    <x v="2"/>
    <x v="10"/>
    <n v="16308"/>
    <n v="2"/>
    <n v="11415.599999999999"/>
    <n v="4892.4000000000015"/>
    <n v="0.3000000000000001"/>
    <x v="0"/>
    <n v="2023"/>
  </r>
  <r>
    <x v="1995"/>
    <d v="2023-11-09T00:00:00"/>
    <x v="3"/>
    <x v="2"/>
    <x v="9"/>
    <n v="14401"/>
    <n v="5"/>
    <n v="10080.699999999999"/>
    <n v="4320.3000000000011"/>
    <n v="0.3000000000000001"/>
    <x v="3"/>
    <n v="2023"/>
  </r>
  <r>
    <x v="1996"/>
    <d v="2023-02-10T00:00:00"/>
    <x v="0"/>
    <x v="2"/>
    <x v="37"/>
    <n v="18164"/>
    <n v="2"/>
    <n v="12714.8"/>
    <n v="5449.2000000000007"/>
    <n v="0.30000000000000004"/>
    <x v="8"/>
    <n v="2023"/>
  </r>
  <r>
    <x v="1997"/>
    <d v="2023-09-26T00:00:00"/>
    <x v="1"/>
    <x v="3"/>
    <x v="17"/>
    <n v="18790"/>
    <n v="1"/>
    <n v="14092.5"/>
    <n v="4697.5"/>
    <n v="0.25"/>
    <x v="10"/>
    <n v="2023"/>
  </r>
  <r>
    <x v="1998"/>
    <d v="2023-12-10T00:00:00"/>
    <x v="2"/>
    <x v="0"/>
    <x v="49"/>
    <n v="16727"/>
    <n v="8"/>
    <n v="10036.199999999999"/>
    <n v="6690.8000000000011"/>
    <n v="0.40000000000000008"/>
    <x v="7"/>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B18" firstHeaderRow="1" firstDataRow="1" firstDataCol="1"/>
  <pivotFields count="12">
    <pivotField showAll="0"/>
    <pivotField numFmtId="14" showAll="0"/>
    <pivotField showAll="0">
      <items count="5">
        <item x="2"/>
        <item x="0"/>
        <item x="1"/>
        <item x="3"/>
        <item t="default"/>
      </items>
    </pivotField>
    <pivotField showAll="0">
      <items count="5">
        <item x="1"/>
        <item x="0"/>
        <item x="3"/>
        <item x="2"/>
        <item t="default"/>
      </items>
    </pivotField>
    <pivotField showAll="0"/>
    <pivotField dataField="1" showAll="0"/>
    <pivotField showAll="0"/>
    <pivotField showAll="0"/>
    <pivotField showAll="0"/>
    <pivotField numFmtId="9" showAll="0"/>
    <pivotField axis="axisRow" showAll="0">
      <items count="13">
        <item x="9"/>
        <item x="8"/>
        <item x="11"/>
        <item x="1"/>
        <item x="4"/>
        <item x="2"/>
        <item x="6"/>
        <item x="5"/>
        <item x="10"/>
        <item x="0"/>
        <item x="3"/>
        <item x="7"/>
        <item t="default"/>
      </items>
    </pivotField>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ales" fld="5" baseField="0" baseItem="0"/>
  </dataFields>
  <formats count="3">
    <format dxfId="2">
      <pivotArea collapsedLevelsAreSubtotals="1" fieldPosition="0">
        <references count="1">
          <reference field="10" count="0"/>
        </references>
      </pivotArea>
    </format>
    <format dxfId="1">
      <pivotArea collapsedLevelsAreSubtotals="1" fieldPosition="0">
        <references count="1">
          <reference field="10" count="0"/>
        </references>
      </pivotArea>
    </format>
    <format dxfId="0">
      <pivotArea collapsedLevelsAreSubtotals="1" fieldPosition="0">
        <references count="1">
          <reference field="10" count="0"/>
        </references>
      </pivotArea>
    </format>
  </format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5"/>
          </reference>
        </references>
      </pivotArea>
    </chartFormat>
    <chartFormat chart="0" format="7">
      <pivotArea type="data" outline="0" fieldPosition="0">
        <references count="2">
          <reference field="4294967294" count="1" selected="0">
            <x v="0"/>
          </reference>
          <reference field="10" count="1" selected="0">
            <x v="6"/>
          </reference>
        </references>
      </pivotArea>
    </chartFormat>
    <chartFormat chart="0" format="8">
      <pivotArea type="data" outline="0" fieldPosition="0">
        <references count="2">
          <reference field="4294967294" count="1" selected="0">
            <x v="0"/>
          </reference>
          <reference field="10" count="1" selected="0">
            <x v="7"/>
          </reference>
        </references>
      </pivotArea>
    </chartFormat>
    <chartFormat chart="0" format="9">
      <pivotArea type="data" outline="0" fieldPosition="0">
        <references count="2">
          <reference field="4294967294" count="1" selected="0">
            <x v="0"/>
          </reference>
          <reference field="10" count="1" selected="0">
            <x v="8"/>
          </reference>
        </references>
      </pivotArea>
    </chartFormat>
    <chartFormat chart="0" format="10">
      <pivotArea type="data" outline="0" fieldPosition="0">
        <references count="2">
          <reference field="4294967294" count="1" selected="0">
            <x v="0"/>
          </reference>
          <reference field="10" count="1" selected="0">
            <x v="9"/>
          </reference>
        </references>
      </pivotArea>
    </chartFormat>
    <chartFormat chart="0" format="11">
      <pivotArea type="data" outline="0" fieldPosition="0">
        <references count="2">
          <reference field="4294967294" count="1" selected="0">
            <x v="0"/>
          </reference>
          <reference field="10" count="1" selected="0">
            <x v="11"/>
          </reference>
        </references>
      </pivotArea>
    </chartFormat>
    <chartFormat chart="0" format="12">
      <pivotArea type="data" outline="0" fieldPosition="0">
        <references count="2">
          <reference field="4294967294" count="1" selected="0">
            <x v="0"/>
          </reference>
          <reference field="10" count="1" selected="0">
            <x v="10"/>
          </reference>
        </references>
      </pivotArea>
    </chartFormat>
    <chartFormat chart="2" format="26"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10" count="1" selected="0">
            <x v="0"/>
          </reference>
        </references>
      </pivotArea>
    </chartFormat>
    <chartFormat chart="2" format="28">
      <pivotArea type="data" outline="0" fieldPosition="0">
        <references count="2">
          <reference field="4294967294" count="1" selected="0">
            <x v="0"/>
          </reference>
          <reference field="10" count="1" selected="0">
            <x v="1"/>
          </reference>
        </references>
      </pivotArea>
    </chartFormat>
    <chartFormat chart="2" format="29">
      <pivotArea type="data" outline="0" fieldPosition="0">
        <references count="2">
          <reference field="4294967294" count="1" selected="0">
            <x v="0"/>
          </reference>
          <reference field="10" count="1" selected="0">
            <x v="2"/>
          </reference>
        </references>
      </pivotArea>
    </chartFormat>
    <chartFormat chart="2" format="30">
      <pivotArea type="data" outline="0" fieldPosition="0">
        <references count="2">
          <reference field="4294967294" count="1" selected="0">
            <x v="0"/>
          </reference>
          <reference field="10" count="1" selected="0">
            <x v="3"/>
          </reference>
        </references>
      </pivotArea>
    </chartFormat>
    <chartFormat chart="2" format="31">
      <pivotArea type="data" outline="0" fieldPosition="0">
        <references count="2">
          <reference field="4294967294" count="1" selected="0">
            <x v="0"/>
          </reference>
          <reference field="10" count="1" selected="0">
            <x v="4"/>
          </reference>
        </references>
      </pivotArea>
    </chartFormat>
    <chartFormat chart="2" format="32">
      <pivotArea type="data" outline="0" fieldPosition="0">
        <references count="2">
          <reference field="4294967294" count="1" selected="0">
            <x v="0"/>
          </reference>
          <reference field="10" count="1" selected="0">
            <x v="5"/>
          </reference>
        </references>
      </pivotArea>
    </chartFormat>
    <chartFormat chart="2" format="33">
      <pivotArea type="data" outline="0" fieldPosition="0">
        <references count="2">
          <reference field="4294967294" count="1" selected="0">
            <x v="0"/>
          </reference>
          <reference field="10" count="1" selected="0">
            <x v="6"/>
          </reference>
        </references>
      </pivotArea>
    </chartFormat>
    <chartFormat chart="2" format="34">
      <pivotArea type="data" outline="0" fieldPosition="0">
        <references count="2">
          <reference field="4294967294" count="1" selected="0">
            <x v="0"/>
          </reference>
          <reference field="10" count="1" selected="0">
            <x v="7"/>
          </reference>
        </references>
      </pivotArea>
    </chartFormat>
    <chartFormat chart="2" format="35">
      <pivotArea type="data" outline="0" fieldPosition="0">
        <references count="2">
          <reference field="4294967294" count="1" selected="0">
            <x v="0"/>
          </reference>
          <reference field="10" count="1" selected="0">
            <x v="8"/>
          </reference>
        </references>
      </pivotArea>
    </chartFormat>
    <chartFormat chart="2" format="36">
      <pivotArea type="data" outline="0" fieldPosition="0">
        <references count="2">
          <reference field="4294967294" count="1" selected="0">
            <x v="0"/>
          </reference>
          <reference field="10" count="1" selected="0">
            <x v="9"/>
          </reference>
        </references>
      </pivotArea>
    </chartFormat>
    <chartFormat chart="2" format="37">
      <pivotArea type="data" outline="0" fieldPosition="0">
        <references count="2">
          <reference field="4294967294" count="1" selected="0">
            <x v="0"/>
          </reference>
          <reference field="10" count="1" selected="0">
            <x v="10"/>
          </reference>
        </references>
      </pivotArea>
    </chartFormat>
    <chartFormat chart="2" format="38">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3:T2003" firstHeaderRow="1" firstDataRow="1" firstDataCol="1"/>
  <pivotFields count="12">
    <pivotField axis="axisRow" dataField="1"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numFmtId="14" showAll="0"/>
    <pivotField showAll="0">
      <items count="5">
        <item x="2"/>
        <item x="0"/>
        <item x="1"/>
        <item x="3"/>
        <item t="default"/>
      </items>
    </pivotField>
    <pivotField showAll="0">
      <items count="5">
        <item x="1"/>
        <item x="0"/>
        <item x="3"/>
        <item x="2"/>
        <item t="default"/>
      </items>
    </pivotField>
    <pivotField showAll="0"/>
    <pivotField showAll="0"/>
    <pivotField showAll="0"/>
    <pivotField showAll="0"/>
    <pivotField showAll="0"/>
    <pivotField numFmtId="9" showAll="0"/>
    <pivotField showAll="0">
      <items count="13">
        <item x="9"/>
        <item x="8"/>
        <item x="11"/>
        <item x="1"/>
        <item x="4"/>
        <item x="2"/>
        <item x="6"/>
        <item x="5"/>
        <item x="10"/>
        <item x="0"/>
        <item x="3"/>
        <item x="7"/>
        <item t="default"/>
      </items>
    </pivotField>
    <pivotField showAll="0"/>
  </pivotFields>
  <rowFields count="1">
    <field x="0"/>
  </rowFields>
  <rowItems count="2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t="grand">
      <x/>
    </i>
  </rowItems>
  <colItems count="1">
    <i/>
  </colItems>
  <dataFields count="1">
    <dataField name="Count of Order_ID" fld="0" subtotal="count" baseField="0" baseItem="0"/>
  </dataFields>
  <formats count="3">
    <format dxfId="5">
      <pivotArea grandRow="1" outline="0" collapsedLevelsAreSubtotals="1" fieldPosition="0"/>
    </format>
    <format dxfId="4">
      <pivotArea grandRow="1" outline="0" collapsedLevelsAreSubtotals="1" fieldPosition="0"/>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40:K46" firstHeaderRow="1" firstDataRow="1" firstDataCol="1"/>
  <pivotFields count="12">
    <pivotField showAll="0"/>
    <pivotField numFmtId="14" showAll="0"/>
    <pivotField showAll="0">
      <items count="5">
        <item x="2"/>
        <item x="0"/>
        <item x="1"/>
        <item x="3"/>
        <item t="default"/>
      </items>
    </pivotField>
    <pivotField showAll="0">
      <items count="5">
        <item x="1"/>
        <item x="0"/>
        <item x="3"/>
        <item x="2"/>
        <item t="default"/>
      </items>
    </pivotField>
    <pivotField axis="axisRow" showAll="0" measureFilter="1" sortType="descending">
      <items count="51">
        <item x="35"/>
        <item x="5"/>
        <item x="39"/>
        <item x="42"/>
        <item x="15"/>
        <item x="41"/>
        <item x="17"/>
        <item x="14"/>
        <item x="2"/>
        <item x="21"/>
        <item x="44"/>
        <item x="31"/>
        <item x="37"/>
        <item x="7"/>
        <item x="24"/>
        <item x="33"/>
        <item x="36"/>
        <item x="19"/>
        <item x="49"/>
        <item x="4"/>
        <item x="47"/>
        <item x="25"/>
        <item x="30"/>
        <item x="46"/>
        <item x="23"/>
        <item x="45"/>
        <item x="22"/>
        <item x="29"/>
        <item x="0"/>
        <item x="34"/>
        <item x="43"/>
        <item x="11"/>
        <item x="26"/>
        <item x="9"/>
        <item x="38"/>
        <item x="1"/>
        <item x="12"/>
        <item x="27"/>
        <item x="13"/>
        <item x="18"/>
        <item x="8"/>
        <item x="10"/>
        <item x="20"/>
        <item x="6"/>
        <item x="28"/>
        <item x="3"/>
        <item x="32"/>
        <item x="40"/>
        <item x="16"/>
        <item x="4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9" showAll="0"/>
    <pivotField showAll="0">
      <items count="13">
        <item x="9"/>
        <item x="8"/>
        <item x="11"/>
        <item x="1"/>
        <item x="4"/>
        <item x="2"/>
        <item x="6"/>
        <item x="5"/>
        <item x="10"/>
        <item x="0"/>
        <item x="3"/>
        <item x="7"/>
        <item t="default"/>
      </items>
    </pivotField>
    <pivotField showAll="0"/>
  </pivotFields>
  <rowFields count="1">
    <field x="4"/>
  </rowFields>
  <rowItems count="6">
    <i>
      <x v="3"/>
    </i>
    <i>
      <x v="48"/>
    </i>
    <i>
      <x v="44"/>
    </i>
    <i>
      <x v="33"/>
    </i>
    <i>
      <x v="25"/>
    </i>
    <i t="grand">
      <x/>
    </i>
  </rowItems>
  <colItems count="1">
    <i/>
  </colItems>
  <dataFields count="1">
    <dataField name="Sum of Sales" fld="5" baseField="0" baseItem="0"/>
  </dataFields>
  <formats count="6">
    <format dxfId="11">
      <pivotArea collapsedLevelsAreSubtotals="1" fieldPosition="0">
        <references count="1">
          <reference field="4" count="5">
            <x v="3"/>
            <x v="25"/>
            <x v="33"/>
            <x v="44"/>
            <x v="48"/>
          </reference>
        </references>
      </pivotArea>
    </format>
    <format dxfId="10">
      <pivotArea collapsedLevelsAreSubtotals="1" fieldPosition="0">
        <references count="1">
          <reference field="4" count="5">
            <x v="3"/>
            <x v="25"/>
            <x v="33"/>
            <x v="44"/>
            <x v="48"/>
          </reference>
        </references>
      </pivotArea>
    </format>
    <format dxfId="9">
      <pivotArea collapsedLevelsAreSubtotals="1" fieldPosition="0">
        <references count="1">
          <reference field="4" count="5">
            <x v="3"/>
            <x v="25"/>
            <x v="33"/>
            <x v="44"/>
            <x v="48"/>
          </reference>
        </references>
      </pivotArea>
    </format>
    <format dxfId="8">
      <pivotArea grandRow="1" outline="0" collapsedLevelsAreSubtotals="1" fieldPosition="0"/>
    </format>
    <format dxfId="7">
      <pivotArea grandRow="1" outline="0" collapsedLevelsAreSubtotals="1" fieldPosition="0"/>
    </format>
    <format dxfId="6">
      <pivotArea grandRow="1"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B46" firstHeaderRow="1" firstDataRow="1" firstDataCol="1"/>
  <pivotFields count="12">
    <pivotField showAll="0"/>
    <pivotField numFmtId="14" showAll="0"/>
    <pivotField showAll="0">
      <items count="5">
        <item x="2"/>
        <item x="0"/>
        <item x="1"/>
        <item x="3"/>
        <item t="default"/>
      </items>
    </pivotField>
    <pivotField axis="axisRow" showAll="0">
      <items count="5">
        <item x="1"/>
        <item x="0"/>
        <item x="3"/>
        <item x="2"/>
        <item t="default"/>
      </items>
    </pivotField>
    <pivotField showAll="0"/>
    <pivotField showAll="0"/>
    <pivotField showAll="0"/>
    <pivotField showAll="0"/>
    <pivotField dataField="1" showAll="0"/>
    <pivotField numFmtId="9" showAll="0"/>
    <pivotField showAll="0">
      <items count="13">
        <item x="9"/>
        <item x="8"/>
        <item x="11"/>
        <item x="1"/>
        <item x="4"/>
        <item x="2"/>
        <item x="6"/>
        <item x="5"/>
        <item x="10"/>
        <item x="0"/>
        <item x="3"/>
        <item x="7"/>
        <item t="default"/>
      </items>
    </pivotField>
    <pivotField showAll="0"/>
  </pivotFields>
  <rowFields count="1">
    <field x="3"/>
  </rowFields>
  <rowItems count="5">
    <i>
      <x/>
    </i>
    <i>
      <x v="1"/>
    </i>
    <i>
      <x v="2"/>
    </i>
    <i>
      <x v="3"/>
    </i>
    <i t="grand">
      <x/>
    </i>
  </rowItems>
  <colItems count="1">
    <i/>
  </colItems>
  <dataFields count="1">
    <dataField name="Sum of Profit" fld="8" baseField="0" baseItem="0"/>
  </dataFields>
  <formats count="9">
    <format dxfId="20">
      <pivotArea collapsedLevelsAreSubtotals="1" fieldPosition="0">
        <references count="1">
          <reference field="3" count="0"/>
        </references>
      </pivotArea>
    </format>
    <format dxfId="19">
      <pivotArea collapsedLevelsAreSubtotals="1" fieldPosition="0">
        <references count="1">
          <reference field="3" count="0"/>
        </references>
      </pivotArea>
    </format>
    <format dxfId="18">
      <pivotArea grandRow="1" outline="0" collapsedLevelsAreSubtotals="1" fieldPosition="0"/>
    </format>
    <format dxfId="17">
      <pivotArea collapsedLevelsAreSubtotals="1" fieldPosition="0">
        <references count="1">
          <reference field="3" count="0"/>
        </references>
      </pivotArea>
    </format>
    <format dxfId="16">
      <pivotArea collapsedLevelsAreSubtotals="1" fieldPosition="0">
        <references count="1">
          <reference field="3" count="0"/>
        </references>
      </pivotArea>
    </format>
    <format dxfId="15">
      <pivotArea collapsedLevelsAreSubtotals="1" fieldPosition="0">
        <references count="1">
          <reference field="3" count="0"/>
        </references>
      </pivotArea>
    </format>
    <format dxfId="14">
      <pivotArea grandRow="1" outline="0" collapsedLevelsAreSubtotals="1" fieldPosition="0"/>
    </format>
    <format dxfId="13">
      <pivotArea grandRow="1" outline="0" collapsedLevelsAreSubtotals="1" fieldPosition="0"/>
    </format>
    <format dxfId="1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5:L10" firstHeaderRow="0" firstDataRow="1" firstDataCol="1"/>
  <pivotFields count="12">
    <pivotField showAll="0"/>
    <pivotField numFmtId="14" showAll="0"/>
    <pivotField axis="axisRow" showAll="0">
      <items count="5">
        <item x="2"/>
        <item x="0"/>
        <item x="1"/>
        <item x="3"/>
        <item t="default"/>
      </items>
    </pivotField>
    <pivotField showAll="0">
      <items count="5">
        <item x="1"/>
        <item x="0"/>
        <item x="3"/>
        <item x="2"/>
        <item t="default"/>
      </items>
    </pivotField>
    <pivotField showAll="0"/>
    <pivotField dataField="1" showAll="0"/>
    <pivotField showAll="0"/>
    <pivotField showAll="0"/>
    <pivotField dataField="1" showAll="0"/>
    <pivotField numFmtId="9" showAll="0"/>
    <pivotField showAll="0">
      <items count="13">
        <item x="9"/>
        <item x="8"/>
        <item x="11"/>
        <item x="1"/>
        <item x="4"/>
        <item x="2"/>
        <item x="6"/>
        <item x="5"/>
        <item x="10"/>
        <item x="0"/>
        <item x="3"/>
        <item x="7"/>
        <item t="default"/>
      </items>
    </pivotField>
    <pivotField showAll="0"/>
  </pivotFields>
  <rowFields count="1">
    <field x="2"/>
  </rowFields>
  <rowItems count="5">
    <i>
      <x/>
    </i>
    <i>
      <x v="1"/>
    </i>
    <i>
      <x v="2"/>
    </i>
    <i>
      <x v="3"/>
    </i>
    <i t="grand">
      <x/>
    </i>
  </rowItems>
  <colFields count="1">
    <field x="-2"/>
  </colFields>
  <colItems count="2">
    <i>
      <x/>
    </i>
    <i i="1">
      <x v="1"/>
    </i>
  </colItems>
  <dataFields count="2">
    <dataField name="Sum of Sales" fld="5" baseField="0" baseItem="0"/>
    <dataField name="Sum of Profit" fld="8" baseField="0" baseItem="0"/>
  </dataFields>
  <formats count="22">
    <format dxfId="42">
      <pivotArea collapsedLevelsAreSubtotals="1" fieldPosition="0">
        <references count="2">
          <reference field="4294967294" count="1" selected="0">
            <x v="1"/>
          </reference>
          <reference field="2" count="0"/>
        </references>
      </pivotArea>
    </format>
    <format dxfId="41">
      <pivotArea collapsedLevelsAreSubtotals="1" fieldPosition="0">
        <references count="2">
          <reference field="4294967294" count="1" selected="0">
            <x v="1"/>
          </reference>
          <reference field="2" count="0"/>
        </references>
      </pivotArea>
    </format>
    <format dxfId="40">
      <pivotArea field="2" grandRow="1" outline="0" collapsedLevelsAreSubtotals="1" axis="axisRow" fieldPosition="0">
        <references count="1">
          <reference field="4294967294" count="1" selected="0">
            <x v="1"/>
          </reference>
        </references>
      </pivotArea>
    </format>
    <format dxfId="39">
      <pivotArea field="2" grandRow="1" outline="0" collapsedLevelsAreSubtotals="1" axis="axisRow" fieldPosition="0">
        <references count="1">
          <reference field="4294967294" count="1" selected="0">
            <x v="1"/>
          </reference>
        </references>
      </pivotArea>
    </format>
    <format dxfId="38">
      <pivotArea collapsedLevelsAreSubtotals="1" fieldPosition="0">
        <references count="2">
          <reference field="4294967294" count="1" selected="0">
            <x v="1"/>
          </reference>
          <reference field="2" count="0"/>
        </references>
      </pivotArea>
    </format>
    <format dxfId="37">
      <pivotArea collapsedLevelsAreSubtotals="1" fieldPosition="0">
        <references count="2">
          <reference field="4294967294" count="1" selected="0">
            <x v="1"/>
          </reference>
          <reference field="2" count="0"/>
        </references>
      </pivotArea>
    </format>
    <format dxfId="36">
      <pivotArea collapsedLevelsAreSubtotals="1" fieldPosition="0">
        <references count="2">
          <reference field="4294967294" count="1" selected="0">
            <x v="1"/>
          </reference>
          <reference field="2" count="0"/>
        </references>
      </pivotArea>
    </format>
    <format dxfId="35">
      <pivotArea collapsedLevelsAreSubtotals="1" fieldPosition="0">
        <references count="2">
          <reference field="4294967294" count="1" selected="0">
            <x v="0"/>
          </reference>
          <reference field="2" count="0"/>
        </references>
      </pivotArea>
    </format>
    <format dxfId="34">
      <pivotArea collapsedLevelsAreSubtotals="1" fieldPosition="0">
        <references count="2">
          <reference field="4294967294" count="1" selected="0">
            <x v="0"/>
          </reference>
          <reference field="2" count="0"/>
        </references>
      </pivotArea>
    </format>
    <format dxfId="33">
      <pivotArea collapsedLevelsAreSubtotals="1" fieldPosition="0">
        <references count="2">
          <reference field="4294967294" count="1" selected="0">
            <x v="0"/>
          </reference>
          <reference field="2" count="0"/>
        </references>
      </pivotArea>
    </format>
    <format dxfId="32">
      <pivotArea collapsedLevelsAreSubtotals="1" fieldPosition="0">
        <references count="2">
          <reference field="4294967294" count="1" selected="0">
            <x v="0"/>
          </reference>
          <reference field="2" count="0"/>
        </references>
      </pivotArea>
    </format>
    <format dxfId="31">
      <pivotArea collapsedLevelsAreSubtotals="1" fieldPosition="0">
        <references count="2">
          <reference field="4294967294" count="1" selected="0">
            <x v="0"/>
          </reference>
          <reference field="2" count="0"/>
        </references>
      </pivotArea>
    </format>
    <format dxfId="30">
      <pivotArea collapsedLevelsAreSubtotals="1" fieldPosition="0">
        <references count="2">
          <reference field="4294967294" count="1" selected="0">
            <x v="0"/>
          </reference>
          <reference field="2" count="0"/>
        </references>
      </pivotArea>
    </format>
    <format dxfId="29">
      <pivotArea collapsedLevelsAreSubtotals="1" fieldPosition="0">
        <references count="2">
          <reference field="4294967294" count="1" selected="0">
            <x v="0"/>
          </reference>
          <reference field="2" count="0"/>
        </references>
      </pivotArea>
    </format>
    <format dxfId="28">
      <pivotArea field="2" grandRow="1" outline="0" collapsedLevelsAreSubtotals="1" axis="axisRow" fieldPosition="0">
        <references count="1">
          <reference field="4294967294" count="1" selected="0">
            <x v="1"/>
          </reference>
        </references>
      </pivotArea>
    </format>
    <format dxfId="27">
      <pivotArea field="2" grandRow="1" outline="0" collapsedLevelsAreSubtotals="1" axis="axisRow" fieldPosition="0">
        <references count="1">
          <reference field="4294967294" count="1" selected="0">
            <x v="1"/>
          </reference>
        </references>
      </pivotArea>
    </format>
    <format dxfId="26">
      <pivotArea field="2" grandRow="1" outline="0" collapsedLevelsAreSubtotals="1" axis="axisRow" fieldPosition="0">
        <references count="1">
          <reference field="4294967294" count="1" selected="0">
            <x v="1"/>
          </reference>
        </references>
      </pivotArea>
    </format>
    <format dxfId="25">
      <pivotArea field="2" grandRow="1" outline="0" collapsedLevelsAreSubtotals="1" axis="axisRow" fieldPosition="0">
        <references count="1">
          <reference field="4294967294" count="1" selected="0">
            <x v="1"/>
          </reference>
        </references>
      </pivotArea>
    </format>
    <format dxfId="24">
      <pivotArea field="2" grandRow="1" outline="0" collapsedLevelsAreSubtotals="1" axis="axisRow" fieldPosition="0">
        <references count="1">
          <reference field="4294967294" count="1" selected="0">
            <x v="1"/>
          </reference>
        </references>
      </pivotArea>
    </format>
    <format dxfId="23">
      <pivotArea field="2" grandRow="1" outline="0" collapsedLevelsAreSubtotals="1" axis="axisRow" fieldPosition="0">
        <references count="1">
          <reference field="4294967294" count="1" selected="0">
            <x v="0"/>
          </reference>
        </references>
      </pivotArea>
    </format>
    <format dxfId="22">
      <pivotArea field="2" grandRow="1" outline="0" collapsedLevelsAreSubtotals="1" axis="axisRow" fieldPosition="0">
        <references count="1">
          <reference field="4294967294" count="1" selected="0">
            <x v="0"/>
          </reference>
        </references>
      </pivotArea>
    </format>
    <format dxfId="21">
      <pivotArea field="2"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1"/>
    <pivotTable tabId="2" name="PivotTable3"/>
    <pivotTable tabId="2" name="PivotTable6"/>
    <pivotTable tabId="2" name="PivotTable7"/>
    <pivotTable tabId="2" name="PivotTable9"/>
  </pivotTables>
  <data>
    <tabular pivotCacheId="1">
      <items count="12">
        <i x="9" s="1"/>
        <i x="8" s="1"/>
        <i x="11" s="1"/>
        <i x="1" s="1"/>
        <i x="4" s="1"/>
        <i x="2" s="1"/>
        <i x="6" s="1"/>
        <i x="5" s="1"/>
        <i x="10" s="1"/>
        <i x="0"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3"/>
    <pivotTable tabId="2" name="PivotTable6"/>
    <pivotTable tabId="2" name="PivotTable7"/>
    <pivotTable tabId="2" name="PivotTable9"/>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3"/>
    <pivotTable tabId="2" name="PivotTable6"/>
    <pivotTable tabId="2" name="PivotTable7"/>
    <pivotTable tabId="2" name="PivotTable9"/>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tartItem="4" rowHeight="234950"/>
  <slicer name="Month 1" cache="Slicer_Month" caption="Month" rowHeight="234950"/>
  <slicer name="Category" cache="Slicer_Category" caption="Category" rowHeight="234950"/>
  <slicer name="Region" cache="Slicer_Region" caption="Region" rowHeight="234950"/>
</slicers>
</file>

<file path=xl/tables/table1.xml><?xml version="1.0" encoding="utf-8"?>
<table xmlns="http://schemas.openxmlformats.org/spreadsheetml/2006/main" id="1" name="Table1" displayName="Table1" ref="A1:L2000" totalsRowShown="0">
  <autoFilter ref="A1:L2000"/>
  <tableColumns count="12">
    <tableColumn id="1" name="Order_ID">
      <calculatedColumnFormula>ROW()-1</calculatedColumnFormula>
    </tableColumn>
    <tableColumn id="2" name="Order_Date" dataDxfId="49">
      <calculatedColumnFormula>DATE(2023, RANDBETWEEN(1,12), RANDBETWEEN(1,28))</calculatedColumnFormula>
    </tableColumn>
    <tableColumn id="3" name="Region"/>
    <tableColumn id="4" name="Category">
      <calculatedColumnFormula>CHOOSE(RANDBETWEEN(1,4),"Electronics","Furniture","Clothing","Office Supplies")</calculatedColumnFormula>
    </tableColumn>
    <tableColumn id="14" name="Product"/>
    <tableColumn id="13" name="Sales" dataDxfId="48" dataCellStyle="Comma"/>
    <tableColumn id="7" name="Quantity">
      <calculatedColumnFormula>RANDBETWEEN(1,10)</calculatedColumnFormula>
    </tableColumn>
    <tableColumn id="8" name="Cost" dataDxfId="47" dataCellStyle="Comma">
      <calculatedColumnFormula>IF(Table1[[#This Row],[Category]]="Electronics",Table1[[#This Row],[Sales]]*0.6,
IF(Table1[[#This Row],[Category]]="Furniture",Table1[[#This Row],[Sales]]*0.75,
IF(Table1[[#This Row],[Category]]="Clothing",Table1[[#This Row],[Sales]]*0.65,
Table1[[#This Row],[Sales]]*0.7)))</calculatedColumnFormula>
    </tableColumn>
    <tableColumn id="9" name="Profit" dataDxfId="46" dataCellStyle="Comma">
      <calculatedColumnFormula>Table1[[#This Row],[Sales]]-H2</calculatedColumnFormula>
    </tableColumn>
    <tableColumn id="10" name="Profit Margin %" dataDxfId="45" dataCellStyle="Percent">
      <calculatedColumnFormula>Table1[[#This Row],[Profit]]/Table1[[#This Row],[Sales]]</calculatedColumnFormula>
    </tableColumn>
    <tableColumn id="11" name="Month" dataDxfId="44">
      <calculatedColumnFormula>TEXT(Table1[[#This Row],[Order_Date]],"mmm")</calculatedColumnFormula>
    </tableColumn>
    <tableColumn id="12" name="Year" dataDxfId="43">
      <calculatedColumnFormula>YEAR(Table1[[#This Row],[Order_Date]])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0"/>
  <sheetViews>
    <sheetView zoomScaleNormal="100" workbookViewId="0">
      <selection activeCell="D32" sqref="D32"/>
    </sheetView>
  </sheetViews>
  <sheetFormatPr defaultRowHeight="14.4" x14ac:dyDescent="0.3"/>
  <cols>
    <col min="1" max="1" width="10.6640625" bestFit="1" customWidth="1"/>
    <col min="2" max="2" width="12.77734375" bestFit="1" customWidth="1"/>
    <col min="3" max="3" width="9" bestFit="1" customWidth="1"/>
    <col min="4" max="4" width="13.109375" bestFit="1" customWidth="1"/>
    <col min="5" max="5" width="13.109375" customWidth="1"/>
    <col min="6" max="6" width="11.109375" style="11" bestFit="1" customWidth="1"/>
    <col min="7" max="7" width="10.5546875" bestFit="1" customWidth="1"/>
    <col min="8" max="8" width="10.109375" bestFit="1" customWidth="1"/>
    <col min="9" max="9" width="9.109375" bestFit="1" customWidth="1"/>
    <col min="10" max="10" width="15.88671875" style="2" customWidth="1"/>
    <col min="11" max="11" width="9" bestFit="1" customWidth="1"/>
  </cols>
  <sheetData>
    <row r="1" spans="1:12" x14ac:dyDescent="0.3">
      <c r="A1" t="s">
        <v>0</v>
      </c>
      <c r="B1" t="s">
        <v>1</v>
      </c>
      <c r="C1" t="s">
        <v>2</v>
      </c>
      <c r="D1" t="s">
        <v>3</v>
      </c>
      <c r="E1" t="s">
        <v>4</v>
      </c>
      <c r="F1" s="11" t="s">
        <v>5</v>
      </c>
      <c r="G1" t="s">
        <v>6</v>
      </c>
      <c r="H1" t="s">
        <v>11</v>
      </c>
      <c r="I1" t="s">
        <v>12</v>
      </c>
      <c r="J1" s="2" t="s">
        <v>15</v>
      </c>
      <c r="K1" t="s">
        <v>13</v>
      </c>
      <c r="L1" t="s">
        <v>14</v>
      </c>
    </row>
    <row r="2" spans="1:12" ht="16.2" customHeight="1" x14ac:dyDescent="0.3">
      <c r="A2">
        <f>ROW()-1</f>
        <v>1</v>
      </c>
      <c r="B2" s="1">
        <f ca="1">DATE(2023, RANDBETWEEN(1,12), RANDBETWEEN(1,28))</f>
        <v>45282</v>
      </c>
      <c r="C2" t="s">
        <v>7</v>
      </c>
      <c r="D2" t="str">
        <f ca="1">CHOOSE(RANDBETWEEN(1,4),"Electronics","Furniture","Clothing","Office Supplies")</f>
        <v>Office Supplies</v>
      </c>
      <c r="E2" t="s">
        <v>73</v>
      </c>
      <c r="F2" s="11">
        <v>10167</v>
      </c>
      <c r="G2">
        <f ca="1">RANDBETWEEN(1,10)</f>
        <v>4</v>
      </c>
      <c r="H2" s="11">
        <f ca="1">IF(Table1[[#This Row],[Category]]="Electronics",Table1[[#This Row],[Sales]]*0.6,
IF(Table1[[#This Row],[Category]]="Furniture",Table1[[#This Row],[Sales]]*0.75,
IF(Table1[[#This Row],[Category]]="Clothing",Table1[[#This Row],[Sales]]*0.65,
Table1[[#This Row],[Sales]]*0.7)))</f>
        <v>7116.9</v>
      </c>
      <c r="I2" s="11">
        <f ca="1">Table1[[#This Row],[Sales]]-H2</f>
        <v>3050.1000000000004</v>
      </c>
      <c r="J2" s="2">
        <f ca="1">Table1[[#This Row],[Profit]]/Table1[[#This Row],[Sales]]</f>
        <v>0.30000000000000004</v>
      </c>
      <c r="K2" s="3" t="str">
        <f ca="1">TEXT(Table1[[#This Row],[Order_Date]],"mmm")</f>
        <v>Dec</v>
      </c>
      <c r="L2">
        <f ca="1">YEAR(Table1[[#This Row],[Order_Date]])</f>
        <v>2023</v>
      </c>
    </row>
    <row r="3" spans="1:12" x14ac:dyDescent="0.3">
      <c r="A3">
        <f t="shared" ref="A3:A66" si="0">ROW()-1</f>
        <v>2</v>
      </c>
      <c r="B3" s="1">
        <f t="shared" ref="B3:B66" ca="1" si="1">DATE(2023, RANDBETWEEN(1,12), RANDBETWEEN(1,28))</f>
        <v>44949</v>
      </c>
      <c r="C3" t="s">
        <v>8</v>
      </c>
      <c r="D3" t="str">
        <f t="shared" ref="D3:D66" ca="1" si="2">CHOOSE(RANDBETWEEN(1,4),"Electronics","Furniture","Clothing","Office Supplies")</f>
        <v>Electronics</v>
      </c>
      <c r="E3" t="s">
        <v>58</v>
      </c>
      <c r="F3" s="11">
        <v>8797</v>
      </c>
      <c r="G3">
        <f t="shared" ref="G3:G66" ca="1" si="3">RANDBETWEEN(1,10)</f>
        <v>5</v>
      </c>
      <c r="H3" s="11">
        <f ca="1">IF(Table1[[#This Row],[Category]]="Electronics",Table1[[#This Row],[Sales]]*0.6,
IF(Table1[[#This Row],[Category]]="Furniture",Table1[[#This Row],[Sales]]*0.75,
IF(Table1[[#This Row],[Category]]="Clothing",Table1[[#This Row],[Sales]]*0.65,
Table1[[#This Row],[Sales]]*0.7)))</f>
        <v>5278.2</v>
      </c>
      <c r="I3" s="11">
        <f ca="1">Table1[[#This Row],[Sales]]-H3</f>
        <v>3518.8</v>
      </c>
      <c r="J3" s="2">
        <f ca="1">Table1[[#This Row],[Profit]]/Table1[[#This Row],[Sales]]</f>
        <v>0.4</v>
      </c>
      <c r="K3" t="str">
        <f ca="1">TEXT(Table1[[#This Row],[Order_Date]],"mmm")</f>
        <v>Jan</v>
      </c>
      <c r="L3">
        <f ca="1">YEAR(Table1[[#This Row],[Order_Date]])</f>
        <v>2023</v>
      </c>
    </row>
    <row r="4" spans="1:12" x14ac:dyDescent="0.3">
      <c r="A4">
        <f t="shared" si="0"/>
        <v>3</v>
      </c>
      <c r="B4" s="1">
        <f t="shared" ca="1" si="1"/>
        <v>45120</v>
      </c>
      <c r="C4" t="s">
        <v>9</v>
      </c>
      <c r="D4" t="str">
        <f t="shared" ca="1" si="2"/>
        <v>Furniture</v>
      </c>
      <c r="E4" t="s">
        <v>79</v>
      </c>
      <c r="F4" s="11">
        <v>12067</v>
      </c>
      <c r="G4">
        <f t="shared" ca="1" si="3"/>
        <v>10</v>
      </c>
      <c r="H4" s="11">
        <f ca="1">IF(Table1[[#This Row],[Category]]="Electronics",Table1[[#This Row],[Sales]]*0.6,
IF(Table1[[#This Row],[Category]]="Furniture",Table1[[#This Row],[Sales]]*0.75,
IF(Table1[[#This Row],[Category]]="Clothing",Table1[[#This Row],[Sales]]*0.65,
Table1[[#This Row],[Sales]]*0.7)))</f>
        <v>9050.25</v>
      </c>
      <c r="I4" s="11">
        <f ca="1">Table1[[#This Row],[Sales]]-H4</f>
        <v>3016.75</v>
      </c>
      <c r="J4" s="2">
        <f ca="1">Table1[[#This Row],[Profit]]/Table1[[#This Row],[Sales]]</f>
        <v>0.25</v>
      </c>
      <c r="K4" t="str">
        <f ca="1">TEXT(Table1[[#This Row],[Order_Date]],"mmm")</f>
        <v>Jul</v>
      </c>
      <c r="L4">
        <f ca="1">YEAR(Table1[[#This Row],[Order_Date]])</f>
        <v>2023</v>
      </c>
    </row>
    <row r="5" spans="1:12" x14ac:dyDescent="0.3">
      <c r="A5">
        <f t="shared" si="0"/>
        <v>4</v>
      </c>
      <c r="B5" s="1">
        <f t="shared" ca="1" si="1"/>
        <v>45062</v>
      </c>
      <c r="C5" t="s">
        <v>10</v>
      </c>
      <c r="D5" t="str">
        <f t="shared" ca="1" si="2"/>
        <v>Office Supplies</v>
      </c>
      <c r="E5" t="s">
        <v>67</v>
      </c>
      <c r="F5" s="11">
        <v>2630</v>
      </c>
      <c r="G5">
        <f t="shared" ca="1" si="3"/>
        <v>3</v>
      </c>
      <c r="H5" s="11">
        <f ca="1">IF(Table1[[#This Row],[Category]]="Electronics",Table1[[#This Row],[Sales]]*0.6,
IF(Table1[[#This Row],[Category]]="Furniture",Table1[[#This Row],[Sales]]*0.75,
IF(Table1[[#This Row],[Category]]="Clothing",Table1[[#This Row],[Sales]]*0.65,
Table1[[#This Row],[Sales]]*0.7)))</f>
        <v>1840.9999999999998</v>
      </c>
      <c r="I5" s="11">
        <f ca="1">Table1[[#This Row],[Sales]]-H5</f>
        <v>789.00000000000023</v>
      </c>
      <c r="J5" s="2">
        <f ca="1">Table1[[#This Row],[Profit]]/Table1[[#This Row],[Sales]]</f>
        <v>0.3000000000000001</v>
      </c>
      <c r="K5" t="str">
        <f ca="1">TEXT(Table1[[#This Row],[Order_Date]],"mmm")</f>
        <v>May</v>
      </c>
      <c r="L5">
        <f ca="1">YEAR(Table1[[#This Row],[Order_Date]])</f>
        <v>2023</v>
      </c>
    </row>
    <row r="6" spans="1:12" x14ac:dyDescent="0.3">
      <c r="A6">
        <f t="shared" si="0"/>
        <v>5</v>
      </c>
      <c r="B6" s="1">
        <f t="shared" ca="1" si="1"/>
        <v>45115</v>
      </c>
      <c r="C6" t="s">
        <v>7</v>
      </c>
      <c r="D6" t="str">
        <f t="shared" ca="1" si="2"/>
        <v>Furniture</v>
      </c>
      <c r="E6" t="s">
        <v>60</v>
      </c>
      <c r="F6" s="11">
        <v>1651</v>
      </c>
      <c r="G6">
        <f t="shared" ca="1" si="3"/>
        <v>7</v>
      </c>
      <c r="H6" s="11">
        <f ca="1">IF(Table1[[#This Row],[Category]]="Electronics",Table1[[#This Row],[Sales]]*0.6,
IF(Table1[[#This Row],[Category]]="Furniture",Table1[[#This Row],[Sales]]*0.75,
IF(Table1[[#This Row],[Category]]="Clothing",Table1[[#This Row],[Sales]]*0.65,
Table1[[#This Row],[Sales]]*0.7)))</f>
        <v>1238.25</v>
      </c>
      <c r="I6" s="11">
        <f ca="1">Table1[[#This Row],[Sales]]-H6</f>
        <v>412.75</v>
      </c>
      <c r="J6" s="2">
        <f ca="1">Table1[[#This Row],[Profit]]/Table1[[#This Row],[Sales]]</f>
        <v>0.25</v>
      </c>
      <c r="K6" t="str">
        <f ca="1">TEXT(Table1[[#This Row],[Order_Date]],"mmm")</f>
        <v>Jul</v>
      </c>
      <c r="L6">
        <f ca="1">YEAR(Table1[[#This Row],[Order_Date]])</f>
        <v>2023</v>
      </c>
    </row>
    <row r="7" spans="1:12" x14ac:dyDescent="0.3">
      <c r="A7">
        <f t="shared" si="0"/>
        <v>6</v>
      </c>
      <c r="B7" s="1">
        <f t="shared" ca="1" si="1"/>
        <v>45251</v>
      </c>
      <c r="C7" t="s">
        <v>8</v>
      </c>
      <c r="D7" t="str">
        <f t="shared" ca="1" si="2"/>
        <v>Office Supplies</v>
      </c>
      <c r="E7" t="s">
        <v>63</v>
      </c>
      <c r="F7" s="11">
        <v>19983</v>
      </c>
      <c r="G7">
        <f t="shared" ca="1" si="3"/>
        <v>7</v>
      </c>
      <c r="H7" s="11">
        <f ca="1">IF(Table1[[#This Row],[Category]]="Electronics",Table1[[#This Row],[Sales]]*0.6,
IF(Table1[[#This Row],[Category]]="Furniture",Table1[[#This Row],[Sales]]*0.75,
IF(Table1[[#This Row],[Category]]="Clothing",Table1[[#This Row],[Sales]]*0.65,
Table1[[#This Row],[Sales]]*0.7)))</f>
        <v>13988.099999999999</v>
      </c>
      <c r="I7" s="11">
        <f ca="1">Table1[[#This Row],[Sales]]-H7</f>
        <v>5994.9000000000015</v>
      </c>
      <c r="J7" s="2">
        <f ca="1">Table1[[#This Row],[Profit]]/Table1[[#This Row],[Sales]]</f>
        <v>0.3000000000000001</v>
      </c>
      <c r="K7" t="str">
        <f ca="1">TEXT(Table1[[#This Row],[Order_Date]],"mmm")</f>
        <v>Nov</v>
      </c>
      <c r="L7">
        <f ca="1">YEAR(Table1[[#This Row],[Order_Date]])</f>
        <v>2023</v>
      </c>
    </row>
    <row r="8" spans="1:12" x14ac:dyDescent="0.3">
      <c r="A8">
        <f t="shared" si="0"/>
        <v>7</v>
      </c>
      <c r="B8" s="1">
        <f t="shared" ca="1" si="1"/>
        <v>45252</v>
      </c>
      <c r="C8" t="s">
        <v>9</v>
      </c>
      <c r="D8" t="str">
        <f t="shared" ca="1" si="2"/>
        <v>Electronics</v>
      </c>
      <c r="E8" t="s">
        <v>39</v>
      </c>
      <c r="F8" s="11">
        <v>19978</v>
      </c>
      <c r="G8">
        <f t="shared" ca="1" si="3"/>
        <v>8</v>
      </c>
      <c r="H8" s="11">
        <f ca="1">IF(Table1[[#This Row],[Category]]="Electronics",Table1[[#This Row],[Sales]]*0.6,
IF(Table1[[#This Row],[Category]]="Furniture",Table1[[#This Row],[Sales]]*0.75,
IF(Table1[[#This Row],[Category]]="Clothing",Table1[[#This Row],[Sales]]*0.65,
Table1[[#This Row],[Sales]]*0.7)))</f>
        <v>11986.8</v>
      </c>
      <c r="I8" s="11">
        <f ca="1">Table1[[#This Row],[Sales]]-H8</f>
        <v>7991.2000000000007</v>
      </c>
      <c r="J8" s="2">
        <f ca="1">Table1[[#This Row],[Profit]]/Table1[[#This Row],[Sales]]</f>
        <v>0.4</v>
      </c>
      <c r="K8" t="str">
        <f ca="1">TEXT(Table1[[#This Row],[Order_Date]],"mmm")</f>
        <v>Nov</v>
      </c>
      <c r="L8">
        <f ca="1">YEAR(Table1[[#This Row],[Order_Date]])</f>
        <v>2023</v>
      </c>
    </row>
    <row r="9" spans="1:12" x14ac:dyDescent="0.3">
      <c r="A9">
        <f t="shared" si="0"/>
        <v>8</v>
      </c>
      <c r="B9" s="1">
        <f t="shared" ca="1" si="1"/>
        <v>45281</v>
      </c>
      <c r="C9" t="s">
        <v>10</v>
      </c>
      <c r="D9" t="str">
        <f t="shared" ca="1" si="2"/>
        <v>Office Supplies</v>
      </c>
      <c r="E9" t="s">
        <v>59</v>
      </c>
      <c r="F9" s="11">
        <v>1658</v>
      </c>
      <c r="G9">
        <f t="shared" ca="1" si="3"/>
        <v>10</v>
      </c>
      <c r="H9" s="11">
        <f ca="1">IF(Table1[[#This Row],[Category]]="Electronics",Table1[[#This Row],[Sales]]*0.6,
IF(Table1[[#This Row],[Category]]="Furniture",Table1[[#This Row],[Sales]]*0.75,
IF(Table1[[#This Row],[Category]]="Clothing",Table1[[#This Row],[Sales]]*0.65,
Table1[[#This Row],[Sales]]*0.7)))</f>
        <v>1160.5999999999999</v>
      </c>
      <c r="I9" s="11">
        <f ca="1">Table1[[#This Row],[Sales]]-H9</f>
        <v>497.40000000000009</v>
      </c>
      <c r="J9" s="2">
        <f ca="1">Table1[[#This Row],[Profit]]/Table1[[#This Row],[Sales]]</f>
        <v>0.30000000000000004</v>
      </c>
      <c r="K9" t="str">
        <f ca="1">TEXT(Table1[[#This Row],[Order_Date]],"mmm")</f>
        <v>Dec</v>
      </c>
      <c r="L9">
        <f ca="1">YEAR(Table1[[#This Row],[Order_Date]])</f>
        <v>2023</v>
      </c>
    </row>
    <row r="10" spans="1:12" x14ac:dyDescent="0.3">
      <c r="A10">
        <f t="shared" si="0"/>
        <v>9</v>
      </c>
      <c r="B10" s="1">
        <f t="shared" ca="1" si="1"/>
        <v>44948</v>
      </c>
      <c r="C10" t="s">
        <v>7</v>
      </c>
      <c r="D10" t="str">
        <f t="shared" ca="1" si="2"/>
        <v>Clothing</v>
      </c>
      <c r="E10" t="s">
        <v>71</v>
      </c>
      <c r="F10" s="11">
        <v>16034</v>
      </c>
      <c r="G10">
        <f t="shared" ca="1" si="3"/>
        <v>3</v>
      </c>
      <c r="H10" s="11">
        <f ca="1">IF(Table1[[#This Row],[Category]]="Electronics",Table1[[#This Row],[Sales]]*0.6,
IF(Table1[[#This Row],[Category]]="Furniture",Table1[[#This Row],[Sales]]*0.75,
IF(Table1[[#This Row],[Category]]="Clothing",Table1[[#This Row],[Sales]]*0.65,
Table1[[#This Row],[Sales]]*0.7)))</f>
        <v>10422.1</v>
      </c>
      <c r="I10" s="11">
        <f ca="1">Table1[[#This Row],[Sales]]-H10</f>
        <v>5611.9</v>
      </c>
      <c r="J10" s="2">
        <f ca="1">Table1[[#This Row],[Profit]]/Table1[[#This Row],[Sales]]</f>
        <v>0.35</v>
      </c>
      <c r="K10" t="str">
        <f ca="1">TEXT(Table1[[#This Row],[Order_Date]],"mmm")</f>
        <v>Jan</v>
      </c>
      <c r="L10">
        <f ca="1">YEAR(Table1[[#This Row],[Order_Date]])</f>
        <v>2023</v>
      </c>
    </row>
    <row r="11" spans="1:12" x14ac:dyDescent="0.3">
      <c r="A11">
        <f t="shared" si="0"/>
        <v>10</v>
      </c>
      <c r="B11" s="1">
        <f t="shared" ca="1" si="1"/>
        <v>44962</v>
      </c>
      <c r="C11" t="s">
        <v>8</v>
      </c>
      <c r="D11" t="str">
        <f t="shared" ca="1" si="2"/>
        <v>Electronics</v>
      </c>
      <c r="E11" t="s">
        <v>58</v>
      </c>
      <c r="F11" s="11">
        <v>4710</v>
      </c>
      <c r="G11">
        <f t="shared" ca="1" si="3"/>
        <v>7</v>
      </c>
      <c r="H11" s="11">
        <f ca="1">IF(Table1[[#This Row],[Category]]="Electronics",Table1[[#This Row],[Sales]]*0.6,
IF(Table1[[#This Row],[Category]]="Furniture",Table1[[#This Row],[Sales]]*0.75,
IF(Table1[[#This Row],[Category]]="Clothing",Table1[[#This Row],[Sales]]*0.65,
Table1[[#This Row],[Sales]]*0.7)))</f>
        <v>2826</v>
      </c>
      <c r="I11" s="11">
        <f ca="1">Table1[[#This Row],[Sales]]-H11</f>
        <v>1884</v>
      </c>
      <c r="J11" s="2">
        <f ca="1">Table1[[#This Row],[Profit]]/Table1[[#This Row],[Sales]]</f>
        <v>0.4</v>
      </c>
      <c r="K11" t="str">
        <f ca="1">TEXT(Table1[[#This Row],[Order_Date]],"mmm")</f>
        <v>Feb</v>
      </c>
      <c r="L11">
        <f ca="1">YEAR(Table1[[#This Row],[Order_Date]])</f>
        <v>2023</v>
      </c>
    </row>
    <row r="12" spans="1:12" x14ac:dyDescent="0.3">
      <c r="A12">
        <f t="shared" si="0"/>
        <v>11</v>
      </c>
      <c r="B12" s="1">
        <f t="shared" ca="1" si="1"/>
        <v>45043</v>
      </c>
      <c r="C12" t="s">
        <v>9</v>
      </c>
      <c r="D12" t="str">
        <f t="shared" ca="1" si="2"/>
        <v>Furniture</v>
      </c>
      <c r="E12" t="s">
        <v>36</v>
      </c>
      <c r="F12" s="11">
        <v>3492</v>
      </c>
      <c r="G12">
        <f t="shared" ca="1" si="3"/>
        <v>4</v>
      </c>
      <c r="H12" s="11">
        <f ca="1">IF(Table1[[#This Row],[Category]]="Electronics",Table1[[#This Row],[Sales]]*0.6,
IF(Table1[[#This Row],[Category]]="Furniture",Table1[[#This Row],[Sales]]*0.75,
IF(Table1[[#This Row],[Category]]="Clothing",Table1[[#This Row],[Sales]]*0.65,
Table1[[#This Row],[Sales]]*0.7)))</f>
        <v>2619</v>
      </c>
      <c r="I12" s="11">
        <f ca="1">Table1[[#This Row],[Sales]]-H12</f>
        <v>873</v>
      </c>
      <c r="J12" s="2">
        <f ca="1">Table1[[#This Row],[Profit]]/Table1[[#This Row],[Sales]]</f>
        <v>0.25</v>
      </c>
      <c r="K12" t="str">
        <f ca="1">TEXT(Table1[[#This Row],[Order_Date]],"mmm")</f>
        <v>Apr</v>
      </c>
      <c r="L12">
        <f ca="1">YEAR(Table1[[#This Row],[Order_Date]])</f>
        <v>2023</v>
      </c>
    </row>
    <row r="13" spans="1:12" x14ac:dyDescent="0.3">
      <c r="A13">
        <f t="shared" si="0"/>
        <v>12</v>
      </c>
      <c r="B13" s="1">
        <f t="shared" ca="1" si="1"/>
        <v>44978</v>
      </c>
      <c r="C13" t="s">
        <v>10</v>
      </c>
      <c r="D13" t="str">
        <f t="shared" ca="1" si="2"/>
        <v>Clothing</v>
      </c>
      <c r="E13" t="s">
        <v>67</v>
      </c>
      <c r="F13" s="11">
        <v>13023</v>
      </c>
      <c r="G13">
        <f t="shared" ca="1" si="3"/>
        <v>1</v>
      </c>
      <c r="H13" s="11">
        <f ca="1">IF(Table1[[#This Row],[Category]]="Electronics",Table1[[#This Row],[Sales]]*0.6,
IF(Table1[[#This Row],[Category]]="Furniture",Table1[[#This Row],[Sales]]*0.75,
IF(Table1[[#This Row],[Category]]="Clothing",Table1[[#This Row],[Sales]]*0.65,
Table1[[#This Row],[Sales]]*0.7)))</f>
        <v>8464.9500000000007</v>
      </c>
      <c r="I13" s="11">
        <f ca="1">Table1[[#This Row],[Sales]]-H13</f>
        <v>4558.0499999999993</v>
      </c>
      <c r="J13" s="2">
        <f ca="1">Table1[[#This Row],[Profit]]/Table1[[#This Row],[Sales]]</f>
        <v>0.34999999999999992</v>
      </c>
      <c r="K13" t="str">
        <f ca="1">TEXT(Table1[[#This Row],[Order_Date]],"mmm")</f>
        <v>Feb</v>
      </c>
      <c r="L13">
        <f ca="1">YEAR(Table1[[#This Row],[Order_Date]])</f>
        <v>2023</v>
      </c>
    </row>
    <row r="14" spans="1:12" x14ac:dyDescent="0.3">
      <c r="A14">
        <f t="shared" si="0"/>
        <v>13</v>
      </c>
      <c r="B14" s="1">
        <f t="shared" ca="1" si="1"/>
        <v>45211</v>
      </c>
      <c r="C14" t="s">
        <v>7</v>
      </c>
      <c r="D14" t="str">
        <f t="shared" ca="1" si="2"/>
        <v>Office Supplies</v>
      </c>
      <c r="E14" t="s">
        <v>51</v>
      </c>
      <c r="F14" s="11">
        <v>14620</v>
      </c>
      <c r="G14">
        <f t="shared" ca="1" si="3"/>
        <v>5</v>
      </c>
      <c r="H14" s="11">
        <f ca="1">IF(Table1[[#This Row],[Category]]="Electronics",Table1[[#This Row],[Sales]]*0.6,
IF(Table1[[#This Row],[Category]]="Furniture",Table1[[#This Row],[Sales]]*0.75,
IF(Table1[[#This Row],[Category]]="Clothing",Table1[[#This Row],[Sales]]*0.65,
Table1[[#This Row],[Sales]]*0.7)))</f>
        <v>10234</v>
      </c>
      <c r="I14" s="11">
        <f ca="1">Table1[[#This Row],[Sales]]-H14</f>
        <v>4386</v>
      </c>
      <c r="J14" s="2">
        <f ca="1">Table1[[#This Row],[Profit]]/Table1[[#This Row],[Sales]]</f>
        <v>0.3</v>
      </c>
      <c r="K14" t="str">
        <f ca="1">TEXT(Table1[[#This Row],[Order_Date]],"mmm")</f>
        <v>Oct</v>
      </c>
      <c r="L14">
        <f ca="1">YEAR(Table1[[#This Row],[Order_Date]])</f>
        <v>2023</v>
      </c>
    </row>
    <row r="15" spans="1:12" x14ac:dyDescent="0.3">
      <c r="A15">
        <f t="shared" si="0"/>
        <v>14</v>
      </c>
      <c r="B15" s="1">
        <f t="shared" ca="1" si="1"/>
        <v>45005</v>
      </c>
      <c r="C15" t="s">
        <v>8</v>
      </c>
      <c r="D15" t="str">
        <f t="shared" ca="1" si="2"/>
        <v>Furniture</v>
      </c>
      <c r="E15" t="s">
        <v>84</v>
      </c>
      <c r="F15" s="11">
        <v>6258</v>
      </c>
      <c r="G15">
        <f t="shared" ca="1" si="3"/>
        <v>7</v>
      </c>
      <c r="H15" s="11">
        <f ca="1">IF(Table1[[#This Row],[Category]]="Electronics",Table1[[#This Row],[Sales]]*0.6,
IF(Table1[[#This Row],[Category]]="Furniture",Table1[[#This Row],[Sales]]*0.75,
IF(Table1[[#This Row],[Category]]="Clothing",Table1[[#This Row],[Sales]]*0.65,
Table1[[#This Row],[Sales]]*0.7)))</f>
        <v>4693.5</v>
      </c>
      <c r="I15" s="11">
        <f ca="1">Table1[[#This Row],[Sales]]-H15</f>
        <v>1564.5</v>
      </c>
      <c r="J15" s="2">
        <f ca="1">Table1[[#This Row],[Profit]]/Table1[[#This Row],[Sales]]</f>
        <v>0.25</v>
      </c>
      <c r="K15" t="str">
        <f ca="1">TEXT(Table1[[#This Row],[Order_Date]],"mmm")</f>
        <v>Mar</v>
      </c>
      <c r="L15">
        <f ca="1">YEAR(Table1[[#This Row],[Order_Date]])</f>
        <v>2023</v>
      </c>
    </row>
    <row r="16" spans="1:12" x14ac:dyDescent="0.3">
      <c r="A16">
        <f t="shared" si="0"/>
        <v>15</v>
      </c>
      <c r="B16" s="1">
        <f t="shared" ca="1" si="1"/>
        <v>44928</v>
      </c>
      <c r="C16" t="s">
        <v>9</v>
      </c>
      <c r="D16" t="str">
        <f t="shared" ca="1" si="2"/>
        <v>Office Supplies</v>
      </c>
      <c r="E16" t="s">
        <v>38</v>
      </c>
      <c r="F16" s="11">
        <v>9498</v>
      </c>
      <c r="G16">
        <f t="shared" ca="1" si="3"/>
        <v>5</v>
      </c>
      <c r="H16" s="11">
        <f ca="1">IF(Table1[[#This Row],[Category]]="Electronics",Table1[[#This Row],[Sales]]*0.6,
IF(Table1[[#This Row],[Category]]="Furniture",Table1[[#This Row],[Sales]]*0.75,
IF(Table1[[#This Row],[Category]]="Clothing",Table1[[#This Row],[Sales]]*0.65,
Table1[[#This Row],[Sales]]*0.7)))</f>
        <v>6648.5999999999995</v>
      </c>
      <c r="I16" s="11">
        <f ca="1">Table1[[#This Row],[Sales]]-H16</f>
        <v>2849.4000000000005</v>
      </c>
      <c r="J16" s="2">
        <f ca="1">Table1[[#This Row],[Profit]]/Table1[[#This Row],[Sales]]</f>
        <v>0.30000000000000004</v>
      </c>
      <c r="K16" t="str">
        <f ca="1">TEXT(Table1[[#This Row],[Order_Date]],"mmm")</f>
        <v>Jan</v>
      </c>
      <c r="L16">
        <f ca="1">YEAR(Table1[[#This Row],[Order_Date]])</f>
        <v>2023</v>
      </c>
    </row>
    <row r="17" spans="1:12" x14ac:dyDescent="0.3">
      <c r="A17">
        <f t="shared" si="0"/>
        <v>16</v>
      </c>
      <c r="B17" s="1">
        <f t="shared" ca="1" si="1"/>
        <v>44981</v>
      </c>
      <c r="C17" t="s">
        <v>10</v>
      </c>
      <c r="D17" t="str">
        <f t="shared" ca="1" si="2"/>
        <v>Furniture</v>
      </c>
      <c r="E17" t="s">
        <v>69</v>
      </c>
      <c r="F17" s="11">
        <v>4235</v>
      </c>
      <c r="G17">
        <f t="shared" ca="1" si="3"/>
        <v>1</v>
      </c>
      <c r="H17" s="11">
        <f ca="1">IF(Table1[[#This Row],[Category]]="Electronics",Table1[[#This Row],[Sales]]*0.6,
IF(Table1[[#This Row],[Category]]="Furniture",Table1[[#This Row],[Sales]]*0.75,
IF(Table1[[#This Row],[Category]]="Clothing",Table1[[#This Row],[Sales]]*0.65,
Table1[[#This Row],[Sales]]*0.7)))</f>
        <v>3176.25</v>
      </c>
      <c r="I17" s="11">
        <f ca="1">Table1[[#This Row],[Sales]]-H17</f>
        <v>1058.75</v>
      </c>
      <c r="J17" s="2">
        <f ca="1">Table1[[#This Row],[Profit]]/Table1[[#This Row],[Sales]]</f>
        <v>0.25</v>
      </c>
      <c r="K17" t="str">
        <f ca="1">TEXT(Table1[[#This Row],[Order_Date]],"mmm")</f>
        <v>Feb</v>
      </c>
      <c r="L17">
        <f ca="1">YEAR(Table1[[#This Row],[Order_Date]])</f>
        <v>2023</v>
      </c>
    </row>
    <row r="18" spans="1:12" x14ac:dyDescent="0.3">
      <c r="A18">
        <f t="shared" si="0"/>
        <v>17</v>
      </c>
      <c r="B18" s="1">
        <f t="shared" ca="1" si="1"/>
        <v>45123</v>
      </c>
      <c r="C18" t="s">
        <v>7</v>
      </c>
      <c r="D18" t="str">
        <f t="shared" ca="1" si="2"/>
        <v>Furniture</v>
      </c>
      <c r="E18" t="s">
        <v>77</v>
      </c>
      <c r="F18" s="11">
        <v>4991</v>
      </c>
      <c r="G18">
        <f t="shared" ca="1" si="3"/>
        <v>9</v>
      </c>
      <c r="H18" s="11">
        <f ca="1">IF(Table1[[#This Row],[Category]]="Electronics",Table1[[#This Row],[Sales]]*0.6,
IF(Table1[[#This Row],[Category]]="Furniture",Table1[[#This Row],[Sales]]*0.75,
IF(Table1[[#This Row],[Category]]="Clothing",Table1[[#This Row],[Sales]]*0.65,
Table1[[#This Row],[Sales]]*0.7)))</f>
        <v>3743.25</v>
      </c>
      <c r="I18" s="11">
        <f ca="1">Table1[[#This Row],[Sales]]-H18</f>
        <v>1247.75</v>
      </c>
      <c r="J18" s="2">
        <f ca="1">Table1[[#This Row],[Profit]]/Table1[[#This Row],[Sales]]</f>
        <v>0.25</v>
      </c>
      <c r="K18" t="str">
        <f ca="1">TEXT(Table1[[#This Row],[Order_Date]],"mmm")</f>
        <v>Jul</v>
      </c>
      <c r="L18">
        <f ca="1">YEAR(Table1[[#This Row],[Order_Date]])</f>
        <v>2023</v>
      </c>
    </row>
    <row r="19" spans="1:12" x14ac:dyDescent="0.3">
      <c r="A19">
        <f t="shared" si="0"/>
        <v>18</v>
      </c>
      <c r="B19" s="1">
        <f t="shared" ca="1" si="1"/>
        <v>45009</v>
      </c>
      <c r="C19" t="s">
        <v>8</v>
      </c>
      <c r="D19" t="str">
        <f t="shared" ca="1" si="2"/>
        <v>Electronics</v>
      </c>
      <c r="E19" t="s">
        <v>69</v>
      </c>
      <c r="F19" s="11">
        <v>16960</v>
      </c>
      <c r="G19">
        <f t="shared" ca="1" si="3"/>
        <v>3</v>
      </c>
      <c r="H19" s="11">
        <f ca="1">IF(Table1[[#This Row],[Category]]="Electronics",Table1[[#This Row],[Sales]]*0.6,
IF(Table1[[#This Row],[Category]]="Furniture",Table1[[#This Row],[Sales]]*0.75,
IF(Table1[[#This Row],[Category]]="Clothing",Table1[[#This Row],[Sales]]*0.65,
Table1[[#This Row],[Sales]]*0.7)))</f>
        <v>10176</v>
      </c>
      <c r="I19" s="11">
        <f ca="1">Table1[[#This Row],[Sales]]-H19</f>
        <v>6784</v>
      </c>
      <c r="J19" s="2">
        <f ca="1">Table1[[#This Row],[Profit]]/Table1[[#This Row],[Sales]]</f>
        <v>0.4</v>
      </c>
      <c r="K19" t="str">
        <f ca="1">TEXT(Table1[[#This Row],[Order_Date]],"mmm")</f>
        <v>Mar</v>
      </c>
      <c r="L19">
        <f ca="1">YEAR(Table1[[#This Row],[Order_Date]])</f>
        <v>2023</v>
      </c>
    </row>
    <row r="20" spans="1:12" x14ac:dyDescent="0.3">
      <c r="A20">
        <f t="shared" si="0"/>
        <v>19</v>
      </c>
      <c r="B20" s="1">
        <f t="shared" ca="1" si="1"/>
        <v>45266</v>
      </c>
      <c r="C20" t="s">
        <v>9</v>
      </c>
      <c r="D20" t="str">
        <f t="shared" ca="1" si="2"/>
        <v>Electronics</v>
      </c>
      <c r="E20" t="s">
        <v>77</v>
      </c>
      <c r="F20" s="11">
        <v>16437</v>
      </c>
      <c r="G20">
        <f t="shared" ca="1" si="3"/>
        <v>1</v>
      </c>
      <c r="H20" s="11">
        <f ca="1">IF(Table1[[#This Row],[Category]]="Electronics",Table1[[#This Row],[Sales]]*0.6,
IF(Table1[[#This Row],[Category]]="Furniture",Table1[[#This Row],[Sales]]*0.75,
IF(Table1[[#This Row],[Category]]="Clothing",Table1[[#This Row],[Sales]]*0.65,
Table1[[#This Row],[Sales]]*0.7)))</f>
        <v>9862.1999999999989</v>
      </c>
      <c r="I20" s="11">
        <f ca="1">Table1[[#This Row],[Sales]]-H20</f>
        <v>6574.8000000000011</v>
      </c>
      <c r="J20" s="2">
        <f ca="1">Table1[[#This Row],[Profit]]/Table1[[#This Row],[Sales]]</f>
        <v>0.40000000000000008</v>
      </c>
      <c r="K20" t="str">
        <f ca="1">TEXT(Table1[[#This Row],[Order_Date]],"mmm")</f>
        <v>Dec</v>
      </c>
      <c r="L20">
        <f ca="1">YEAR(Table1[[#This Row],[Order_Date]])</f>
        <v>2023</v>
      </c>
    </row>
    <row r="21" spans="1:12" x14ac:dyDescent="0.3">
      <c r="A21">
        <f t="shared" si="0"/>
        <v>20</v>
      </c>
      <c r="B21" s="1">
        <f t="shared" ca="1" si="1"/>
        <v>45194</v>
      </c>
      <c r="C21" t="s">
        <v>10</v>
      </c>
      <c r="D21" t="str">
        <f t="shared" ca="1" si="2"/>
        <v>Office Supplies</v>
      </c>
      <c r="E21" t="s">
        <v>38</v>
      </c>
      <c r="F21" s="11">
        <v>10783</v>
      </c>
      <c r="G21">
        <f t="shared" ca="1" si="3"/>
        <v>5</v>
      </c>
      <c r="H21" s="11">
        <f ca="1">IF(Table1[[#This Row],[Category]]="Electronics",Table1[[#This Row],[Sales]]*0.6,
IF(Table1[[#This Row],[Category]]="Furniture",Table1[[#This Row],[Sales]]*0.75,
IF(Table1[[#This Row],[Category]]="Clothing",Table1[[#This Row],[Sales]]*0.65,
Table1[[#This Row],[Sales]]*0.7)))</f>
        <v>7548.0999999999995</v>
      </c>
      <c r="I21" s="11">
        <f ca="1">Table1[[#This Row],[Sales]]-H21</f>
        <v>3234.9000000000005</v>
      </c>
      <c r="J21" s="2">
        <f ca="1">Table1[[#This Row],[Profit]]/Table1[[#This Row],[Sales]]</f>
        <v>0.30000000000000004</v>
      </c>
      <c r="K21" t="str">
        <f ca="1">TEXT(Table1[[#This Row],[Order_Date]],"mmm")</f>
        <v>Sep</v>
      </c>
      <c r="L21">
        <f ca="1">YEAR(Table1[[#This Row],[Order_Date]])</f>
        <v>2023</v>
      </c>
    </row>
    <row r="22" spans="1:12" x14ac:dyDescent="0.3">
      <c r="A22">
        <f t="shared" si="0"/>
        <v>21</v>
      </c>
      <c r="B22" s="1">
        <f t="shared" ca="1" si="1"/>
        <v>45007</v>
      </c>
      <c r="C22" t="s">
        <v>7</v>
      </c>
      <c r="D22" t="str">
        <f t="shared" ca="1" si="2"/>
        <v>Clothing</v>
      </c>
      <c r="E22" t="s">
        <v>56</v>
      </c>
      <c r="F22" s="11">
        <v>7434</v>
      </c>
      <c r="G22">
        <f t="shared" ca="1" si="3"/>
        <v>4</v>
      </c>
      <c r="H22" s="11">
        <f ca="1">IF(Table1[[#This Row],[Category]]="Electronics",Table1[[#This Row],[Sales]]*0.6,
IF(Table1[[#This Row],[Category]]="Furniture",Table1[[#This Row],[Sales]]*0.75,
IF(Table1[[#This Row],[Category]]="Clothing",Table1[[#This Row],[Sales]]*0.65,
Table1[[#This Row],[Sales]]*0.7)))</f>
        <v>4832.1000000000004</v>
      </c>
      <c r="I22" s="11">
        <f ca="1">Table1[[#This Row],[Sales]]-H22</f>
        <v>2601.8999999999996</v>
      </c>
      <c r="J22" s="2">
        <f ca="1">Table1[[#This Row],[Profit]]/Table1[[#This Row],[Sales]]</f>
        <v>0.35</v>
      </c>
      <c r="K22" t="str">
        <f ca="1">TEXT(Table1[[#This Row],[Order_Date]],"mmm")</f>
        <v>Mar</v>
      </c>
      <c r="L22">
        <f ca="1">YEAR(Table1[[#This Row],[Order_Date]])</f>
        <v>2023</v>
      </c>
    </row>
    <row r="23" spans="1:12" x14ac:dyDescent="0.3">
      <c r="A23">
        <f t="shared" si="0"/>
        <v>22</v>
      </c>
      <c r="B23" s="1">
        <f t="shared" ca="1" si="1"/>
        <v>45245</v>
      </c>
      <c r="C23" t="s">
        <v>8</v>
      </c>
      <c r="D23" t="str">
        <f t="shared" ca="1" si="2"/>
        <v>Clothing</v>
      </c>
      <c r="E23" t="s">
        <v>85</v>
      </c>
      <c r="F23" s="11">
        <v>17118</v>
      </c>
      <c r="G23">
        <f t="shared" ca="1" si="3"/>
        <v>8</v>
      </c>
      <c r="H23" s="11">
        <f ca="1">IF(Table1[[#This Row],[Category]]="Electronics",Table1[[#This Row],[Sales]]*0.6,
IF(Table1[[#This Row],[Category]]="Furniture",Table1[[#This Row],[Sales]]*0.75,
IF(Table1[[#This Row],[Category]]="Clothing",Table1[[#This Row],[Sales]]*0.65,
Table1[[#This Row],[Sales]]*0.7)))</f>
        <v>11126.7</v>
      </c>
      <c r="I23" s="11">
        <f ca="1">Table1[[#This Row],[Sales]]-H23</f>
        <v>5991.2999999999993</v>
      </c>
      <c r="J23" s="2">
        <f ca="1">Table1[[#This Row],[Profit]]/Table1[[#This Row],[Sales]]</f>
        <v>0.35</v>
      </c>
      <c r="K23" t="str">
        <f ca="1">TEXT(Table1[[#This Row],[Order_Date]],"mmm")</f>
        <v>Nov</v>
      </c>
      <c r="L23">
        <f ca="1">YEAR(Table1[[#This Row],[Order_Date]])</f>
        <v>2023</v>
      </c>
    </row>
    <row r="24" spans="1:12" x14ac:dyDescent="0.3">
      <c r="A24">
        <f t="shared" si="0"/>
        <v>23</v>
      </c>
      <c r="B24" s="1">
        <f t="shared" ca="1" si="1"/>
        <v>45174</v>
      </c>
      <c r="C24" t="s">
        <v>9</v>
      </c>
      <c r="D24" t="str">
        <f t="shared" ca="1" si="2"/>
        <v>Office Supplies</v>
      </c>
      <c r="E24" t="s">
        <v>78</v>
      </c>
      <c r="F24" s="11">
        <v>17366</v>
      </c>
      <c r="G24">
        <f t="shared" ca="1" si="3"/>
        <v>8</v>
      </c>
      <c r="H24" s="11">
        <f ca="1">IF(Table1[[#This Row],[Category]]="Electronics",Table1[[#This Row],[Sales]]*0.6,
IF(Table1[[#This Row],[Category]]="Furniture",Table1[[#This Row],[Sales]]*0.75,
IF(Table1[[#This Row],[Category]]="Clothing",Table1[[#This Row],[Sales]]*0.65,
Table1[[#This Row],[Sales]]*0.7)))</f>
        <v>12156.199999999999</v>
      </c>
      <c r="I24" s="11">
        <f ca="1">Table1[[#This Row],[Sales]]-H24</f>
        <v>5209.8000000000011</v>
      </c>
      <c r="J24" s="2">
        <f ca="1">Table1[[#This Row],[Profit]]/Table1[[#This Row],[Sales]]</f>
        <v>0.30000000000000004</v>
      </c>
      <c r="K24" t="str">
        <f ca="1">TEXT(Table1[[#This Row],[Order_Date]],"mmm")</f>
        <v>Sep</v>
      </c>
      <c r="L24">
        <f ca="1">YEAR(Table1[[#This Row],[Order_Date]])</f>
        <v>2023</v>
      </c>
    </row>
    <row r="25" spans="1:12" x14ac:dyDescent="0.3">
      <c r="A25">
        <f t="shared" si="0"/>
        <v>24</v>
      </c>
      <c r="B25" s="1">
        <f t="shared" ca="1" si="1"/>
        <v>45027</v>
      </c>
      <c r="C25" t="s">
        <v>10</v>
      </c>
      <c r="D25" t="str">
        <f t="shared" ca="1" si="2"/>
        <v>Furniture</v>
      </c>
      <c r="E25" t="s">
        <v>70</v>
      </c>
      <c r="F25" s="11">
        <v>1077</v>
      </c>
      <c r="G25">
        <f t="shared" ca="1" si="3"/>
        <v>1</v>
      </c>
      <c r="H25" s="11">
        <f ca="1">IF(Table1[[#This Row],[Category]]="Electronics",Table1[[#This Row],[Sales]]*0.6,
IF(Table1[[#This Row],[Category]]="Furniture",Table1[[#This Row],[Sales]]*0.75,
IF(Table1[[#This Row],[Category]]="Clothing",Table1[[#This Row],[Sales]]*0.65,
Table1[[#This Row],[Sales]]*0.7)))</f>
        <v>807.75</v>
      </c>
      <c r="I25" s="11">
        <f ca="1">Table1[[#This Row],[Sales]]-H25</f>
        <v>269.25</v>
      </c>
      <c r="J25" s="2">
        <f ca="1">Table1[[#This Row],[Profit]]/Table1[[#This Row],[Sales]]</f>
        <v>0.25</v>
      </c>
      <c r="K25" t="str">
        <f ca="1">TEXT(Table1[[#This Row],[Order_Date]],"mmm")</f>
        <v>Apr</v>
      </c>
      <c r="L25">
        <f ca="1">YEAR(Table1[[#This Row],[Order_Date]])</f>
        <v>2023</v>
      </c>
    </row>
    <row r="26" spans="1:12" x14ac:dyDescent="0.3">
      <c r="A26">
        <f t="shared" si="0"/>
        <v>25</v>
      </c>
      <c r="B26" s="1">
        <f t="shared" ca="1" si="1"/>
        <v>44946</v>
      </c>
      <c r="C26" t="s">
        <v>7</v>
      </c>
      <c r="D26" t="str">
        <f t="shared" ca="1" si="2"/>
        <v>Furniture</v>
      </c>
      <c r="E26" t="s">
        <v>39</v>
      </c>
      <c r="F26" s="11">
        <v>8742</v>
      </c>
      <c r="G26">
        <f t="shared" ca="1" si="3"/>
        <v>4</v>
      </c>
      <c r="H26" s="11">
        <f ca="1">IF(Table1[[#This Row],[Category]]="Electronics",Table1[[#This Row],[Sales]]*0.6,
IF(Table1[[#This Row],[Category]]="Furniture",Table1[[#This Row],[Sales]]*0.75,
IF(Table1[[#This Row],[Category]]="Clothing",Table1[[#This Row],[Sales]]*0.65,
Table1[[#This Row],[Sales]]*0.7)))</f>
        <v>6556.5</v>
      </c>
      <c r="I26" s="11">
        <f ca="1">Table1[[#This Row],[Sales]]-H26</f>
        <v>2185.5</v>
      </c>
      <c r="J26" s="2">
        <f ca="1">Table1[[#This Row],[Profit]]/Table1[[#This Row],[Sales]]</f>
        <v>0.25</v>
      </c>
      <c r="K26" t="str">
        <f ca="1">TEXT(Table1[[#This Row],[Order_Date]],"mmm")</f>
        <v>Jan</v>
      </c>
      <c r="L26">
        <f ca="1">YEAR(Table1[[#This Row],[Order_Date]])</f>
        <v>2023</v>
      </c>
    </row>
    <row r="27" spans="1:12" x14ac:dyDescent="0.3">
      <c r="A27">
        <f t="shared" si="0"/>
        <v>26</v>
      </c>
      <c r="B27" s="1">
        <f t="shared" ca="1" si="1"/>
        <v>45195</v>
      </c>
      <c r="C27" t="s">
        <v>8</v>
      </c>
      <c r="D27" t="str">
        <f t="shared" ca="1" si="2"/>
        <v>Office Supplies</v>
      </c>
      <c r="E27" t="s">
        <v>72</v>
      </c>
      <c r="F27" s="11">
        <v>11548</v>
      </c>
      <c r="G27">
        <f t="shared" ca="1" si="3"/>
        <v>1</v>
      </c>
      <c r="H27" s="11">
        <f ca="1">IF(Table1[[#This Row],[Category]]="Electronics",Table1[[#This Row],[Sales]]*0.6,
IF(Table1[[#This Row],[Category]]="Furniture",Table1[[#This Row],[Sales]]*0.75,
IF(Table1[[#This Row],[Category]]="Clothing",Table1[[#This Row],[Sales]]*0.65,
Table1[[#This Row],[Sales]]*0.7)))</f>
        <v>8083.5999999999995</v>
      </c>
      <c r="I27" s="11">
        <f ca="1">Table1[[#This Row],[Sales]]-H27</f>
        <v>3464.4000000000005</v>
      </c>
      <c r="J27" s="2">
        <f ca="1">Table1[[#This Row],[Profit]]/Table1[[#This Row],[Sales]]</f>
        <v>0.30000000000000004</v>
      </c>
      <c r="K27" t="str">
        <f ca="1">TEXT(Table1[[#This Row],[Order_Date]],"mmm")</f>
        <v>Sep</v>
      </c>
      <c r="L27">
        <f ca="1">YEAR(Table1[[#This Row],[Order_Date]])</f>
        <v>2023</v>
      </c>
    </row>
    <row r="28" spans="1:12" x14ac:dyDescent="0.3">
      <c r="A28">
        <f t="shared" si="0"/>
        <v>27</v>
      </c>
      <c r="B28" s="1">
        <f t="shared" ca="1" si="1"/>
        <v>44971</v>
      </c>
      <c r="C28" t="s">
        <v>9</v>
      </c>
      <c r="D28" t="str">
        <f t="shared" ca="1" si="2"/>
        <v>Clothing</v>
      </c>
      <c r="E28" t="s">
        <v>49</v>
      </c>
      <c r="F28" s="11">
        <v>17994</v>
      </c>
      <c r="G28">
        <f t="shared" ca="1" si="3"/>
        <v>7</v>
      </c>
      <c r="H28" s="11">
        <f ca="1">IF(Table1[[#This Row],[Category]]="Electronics",Table1[[#This Row],[Sales]]*0.6,
IF(Table1[[#This Row],[Category]]="Furniture",Table1[[#This Row],[Sales]]*0.75,
IF(Table1[[#This Row],[Category]]="Clothing",Table1[[#This Row],[Sales]]*0.65,
Table1[[#This Row],[Sales]]*0.7)))</f>
        <v>11696.1</v>
      </c>
      <c r="I28" s="11">
        <f ca="1">Table1[[#This Row],[Sales]]-H28</f>
        <v>6297.9</v>
      </c>
      <c r="J28" s="2">
        <f ca="1">Table1[[#This Row],[Profit]]/Table1[[#This Row],[Sales]]</f>
        <v>0.35</v>
      </c>
      <c r="K28" t="str">
        <f ca="1">TEXT(Table1[[#This Row],[Order_Date]],"mmm")</f>
        <v>Feb</v>
      </c>
      <c r="L28">
        <f ca="1">YEAR(Table1[[#This Row],[Order_Date]])</f>
        <v>2023</v>
      </c>
    </row>
    <row r="29" spans="1:12" x14ac:dyDescent="0.3">
      <c r="A29">
        <f t="shared" si="0"/>
        <v>28</v>
      </c>
      <c r="B29" s="1">
        <f t="shared" ca="1" si="1"/>
        <v>44932</v>
      </c>
      <c r="C29" t="s">
        <v>10</v>
      </c>
      <c r="D29" t="str">
        <f t="shared" ca="1" si="2"/>
        <v>Office Supplies</v>
      </c>
      <c r="E29" t="s">
        <v>82</v>
      </c>
      <c r="F29" s="11">
        <v>4575</v>
      </c>
      <c r="G29">
        <f t="shared" ca="1" si="3"/>
        <v>3</v>
      </c>
      <c r="H29" s="11">
        <f ca="1">IF(Table1[[#This Row],[Category]]="Electronics",Table1[[#This Row],[Sales]]*0.6,
IF(Table1[[#This Row],[Category]]="Furniture",Table1[[#This Row],[Sales]]*0.75,
IF(Table1[[#This Row],[Category]]="Clothing",Table1[[#This Row],[Sales]]*0.65,
Table1[[#This Row],[Sales]]*0.7)))</f>
        <v>3202.5</v>
      </c>
      <c r="I29" s="11">
        <f ca="1">Table1[[#This Row],[Sales]]-H29</f>
        <v>1372.5</v>
      </c>
      <c r="J29" s="2">
        <f ca="1">Table1[[#This Row],[Profit]]/Table1[[#This Row],[Sales]]</f>
        <v>0.3</v>
      </c>
      <c r="K29" t="str">
        <f ca="1">TEXT(Table1[[#This Row],[Order_Date]],"mmm")</f>
        <v>Jan</v>
      </c>
      <c r="L29">
        <f ca="1">YEAR(Table1[[#This Row],[Order_Date]])</f>
        <v>2023</v>
      </c>
    </row>
    <row r="30" spans="1:12" x14ac:dyDescent="0.3">
      <c r="A30">
        <f t="shared" si="0"/>
        <v>29</v>
      </c>
      <c r="B30" s="1">
        <f t="shared" ca="1" si="1"/>
        <v>45217</v>
      </c>
      <c r="C30" t="s">
        <v>7</v>
      </c>
      <c r="D30" t="str">
        <f t="shared" ca="1" si="2"/>
        <v>Clothing</v>
      </c>
      <c r="E30" t="s">
        <v>46</v>
      </c>
      <c r="F30" s="11">
        <v>12256</v>
      </c>
      <c r="G30">
        <f t="shared" ca="1" si="3"/>
        <v>3</v>
      </c>
      <c r="H30" s="11">
        <f ca="1">IF(Table1[[#This Row],[Category]]="Electronics",Table1[[#This Row],[Sales]]*0.6,
IF(Table1[[#This Row],[Category]]="Furniture",Table1[[#This Row],[Sales]]*0.75,
IF(Table1[[#This Row],[Category]]="Clothing",Table1[[#This Row],[Sales]]*0.65,
Table1[[#This Row],[Sales]]*0.7)))</f>
        <v>7966.4000000000005</v>
      </c>
      <c r="I30" s="11">
        <f ca="1">Table1[[#This Row],[Sales]]-H30</f>
        <v>4289.5999999999995</v>
      </c>
      <c r="J30" s="2">
        <f ca="1">Table1[[#This Row],[Profit]]/Table1[[#This Row],[Sales]]</f>
        <v>0.35</v>
      </c>
      <c r="K30" t="str">
        <f ca="1">TEXT(Table1[[#This Row],[Order_Date]],"mmm")</f>
        <v>Oct</v>
      </c>
      <c r="L30">
        <f ca="1">YEAR(Table1[[#This Row],[Order_Date]])</f>
        <v>2023</v>
      </c>
    </row>
    <row r="31" spans="1:12" x14ac:dyDescent="0.3">
      <c r="A31">
        <f t="shared" si="0"/>
        <v>30</v>
      </c>
      <c r="B31" s="1">
        <f t="shared" ca="1" si="1"/>
        <v>45120</v>
      </c>
      <c r="C31" t="s">
        <v>8</v>
      </c>
      <c r="D31" t="str">
        <f t="shared" ca="1" si="2"/>
        <v>Clothing</v>
      </c>
      <c r="E31" t="s">
        <v>49</v>
      </c>
      <c r="F31" s="11">
        <v>6785</v>
      </c>
      <c r="G31">
        <f t="shared" ca="1" si="3"/>
        <v>2</v>
      </c>
      <c r="H31" s="11">
        <f ca="1">IF(Table1[[#This Row],[Category]]="Electronics",Table1[[#This Row],[Sales]]*0.6,
IF(Table1[[#This Row],[Category]]="Furniture",Table1[[#This Row],[Sales]]*0.75,
IF(Table1[[#This Row],[Category]]="Clothing",Table1[[#This Row],[Sales]]*0.65,
Table1[[#This Row],[Sales]]*0.7)))</f>
        <v>4410.25</v>
      </c>
      <c r="I31" s="11">
        <f ca="1">Table1[[#This Row],[Sales]]-H31</f>
        <v>2374.75</v>
      </c>
      <c r="J31" s="2">
        <f ca="1">Table1[[#This Row],[Profit]]/Table1[[#This Row],[Sales]]</f>
        <v>0.35</v>
      </c>
      <c r="K31" t="str">
        <f ca="1">TEXT(Table1[[#This Row],[Order_Date]],"mmm")</f>
        <v>Jul</v>
      </c>
      <c r="L31">
        <f ca="1">YEAR(Table1[[#This Row],[Order_Date]])</f>
        <v>2023</v>
      </c>
    </row>
    <row r="32" spans="1:12" x14ac:dyDescent="0.3">
      <c r="A32">
        <f t="shared" si="0"/>
        <v>31</v>
      </c>
      <c r="B32" s="1">
        <f t="shared" ca="1" si="1"/>
        <v>45190</v>
      </c>
      <c r="C32" t="s">
        <v>9</v>
      </c>
      <c r="D32" t="str">
        <f t="shared" ca="1" si="2"/>
        <v>Electronics</v>
      </c>
      <c r="E32" t="s">
        <v>72</v>
      </c>
      <c r="F32" s="11">
        <v>2098</v>
      </c>
      <c r="G32">
        <f t="shared" ca="1" si="3"/>
        <v>1</v>
      </c>
      <c r="H32" s="11">
        <f ca="1">IF(Table1[[#This Row],[Category]]="Electronics",Table1[[#This Row],[Sales]]*0.6,
IF(Table1[[#This Row],[Category]]="Furniture",Table1[[#This Row],[Sales]]*0.75,
IF(Table1[[#This Row],[Category]]="Clothing",Table1[[#This Row],[Sales]]*0.65,
Table1[[#This Row],[Sales]]*0.7)))</f>
        <v>1258.8</v>
      </c>
      <c r="I32" s="11">
        <f ca="1">Table1[[#This Row],[Sales]]-H32</f>
        <v>839.2</v>
      </c>
      <c r="J32" s="2">
        <f ca="1">Table1[[#This Row],[Profit]]/Table1[[#This Row],[Sales]]</f>
        <v>0.4</v>
      </c>
      <c r="K32" t="str">
        <f ca="1">TEXT(Table1[[#This Row],[Order_Date]],"mmm")</f>
        <v>Sep</v>
      </c>
      <c r="L32">
        <f ca="1">YEAR(Table1[[#This Row],[Order_Date]])</f>
        <v>2023</v>
      </c>
    </row>
    <row r="33" spans="1:12" x14ac:dyDescent="0.3">
      <c r="A33">
        <f t="shared" si="0"/>
        <v>32</v>
      </c>
      <c r="B33" s="1">
        <f t="shared" ca="1" si="1"/>
        <v>45281</v>
      </c>
      <c r="C33" t="s">
        <v>10</v>
      </c>
      <c r="D33" t="str">
        <f t="shared" ca="1" si="2"/>
        <v>Electronics</v>
      </c>
      <c r="E33" t="s">
        <v>85</v>
      </c>
      <c r="F33" s="11">
        <v>11046</v>
      </c>
      <c r="G33">
        <f t="shared" ca="1" si="3"/>
        <v>1</v>
      </c>
      <c r="H33" s="11">
        <f ca="1">IF(Table1[[#This Row],[Category]]="Electronics",Table1[[#This Row],[Sales]]*0.6,
IF(Table1[[#This Row],[Category]]="Furniture",Table1[[#This Row],[Sales]]*0.75,
IF(Table1[[#This Row],[Category]]="Clothing",Table1[[#This Row],[Sales]]*0.65,
Table1[[#This Row],[Sales]]*0.7)))</f>
        <v>6627.5999999999995</v>
      </c>
      <c r="I33" s="11">
        <f ca="1">Table1[[#This Row],[Sales]]-H33</f>
        <v>4418.4000000000005</v>
      </c>
      <c r="J33" s="2">
        <f ca="1">Table1[[#This Row],[Profit]]/Table1[[#This Row],[Sales]]</f>
        <v>0.4</v>
      </c>
      <c r="K33" t="str">
        <f ca="1">TEXT(Table1[[#This Row],[Order_Date]],"mmm")</f>
        <v>Dec</v>
      </c>
      <c r="L33">
        <f ca="1">YEAR(Table1[[#This Row],[Order_Date]])</f>
        <v>2023</v>
      </c>
    </row>
    <row r="34" spans="1:12" x14ac:dyDescent="0.3">
      <c r="A34">
        <f t="shared" si="0"/>
        <v>33</v>
      </c>
      <c r="B34" s="1">
        <f t="shared" ca="1" si="1"/>
        <v>44950</v>
      </c>
      <c r="C34" t="s">
        <v>7</v>
      </c>
      <c r="D34" t="str">
        <f t="shared" ca="1" si="2"/>
        <v>Electronics</v>
      </c>
      <c r="E34" t="s">
        <v>39</v>
      </c>
      <c r="F34" s="11">
        <v>4661</v>
      </c>
      <c r="G34">
        <f t="shared" ca="1" si="3"/>
        <v>4</v>
      </c>
      <c r="H34" s="11">
        <f ca="1">IF(Table1[[#This Row],[Category]]="Electronics",Table1[[#This Row],[Sales]]*0.6,
IF(Table1[[#This Row],[Category]]="Furniture",Table1[[#This Row],[Sales]]*0.75,
IF(Table1[[#This Row],[Category]]="Clothing",Table1[[#This Row],[Sales]]*0.65,
Table1[[#This Row],[Sales]]*0.7)))</f>
        <v>2796.6</v>
      </c>
      <c r="I34" s="11">
        <f ca="1">Table1[[#This Row],[Sales]]-H34</f>
        <v>1864.4</v>
      </c>
      <c r="J34" s="2">
        <f ca="1">Table1[[#This Row],[Profit]]/Table1[[#This Row],[Sales]]</f>
        <v>0.4</v>
      </c>
      <c r="K34" t="str">
        <f ca="1">TEXT(Table1[[#This Row],[Order_Date]],"mmm")</f>
        <v>Jan</v>
      </c>
      <c r="L34">
        <f ca="1">YEAR(Table1[[#This Row],[Order_Date]])</f>
        <v>2023</v>
      </c>
    </row>
    <row r="35" spans="1:12" x14ac:dyDescent="0.3">
      <c r="A35">
        <f t="shared" si="0"/>
        <v>34</v>
      </c>
      <c r="B35" s="1">
        <f t="shared" ca="1" si="1"/>
        <v>45037</v>
      </c>
      <c r="C35" t="s">
        <v>8</v>
      </c>
      <c r="D35" t="str">
        <f t="shared" ca="1" si="2"/>
        <v>Furniture</v>
      </c>
      <c r="E35" t="s">
        <v>42</v>
      </c>
      <c r="F35" s="11">
        <v>17058</v>
      </c>
      <c r="G35">
        <f t="shared" ca="1" si="3"/>
        <v>3</v>
      </c>
      <c r="H35" s="11">
        <f ca="1">IF(Table1[[#This Row],[Category]]="Electronics",Table1[[#This Row],[Sales]]*0.6,
IF(Table1[[#This Row],[Category]]="Furniture",Table1[[#This Row],[Sales]]*0.75,
IF(Table1[[#This Row],[Category]]="Clothing",Table1[[#This Row],[Sales]]*0.65,
Table1[[#This Row],[Sales]]*0.7)))</f>
        <v>12793.5</v>
      </c>
      <c r="I35" s="11">
        <f ca="1">Table1[[#This Row],[Sales]]-H35</f>
        <v>4264.5</v>
      </c>
      <c r="J35" s="2">
        <f ca="1">Table1[[#This Row],[Profit]]/Table1[[#This Row],[Sales]]</f>
        <v>0.25</v>
      </c>
      <c r="K35" t="str">
        <f ca="1">TEXT(Table1[[#This Row],[Order_Date]],"mmm")</f>
        <v>Apr</v>
      </c>
      <c r="L35">
        <f ca="1">YEAR(Table1[[#This Row],[Order_Date]])</f>
        <v>2023</v>
      </c>
    </row>
    <row r="36" spans="1:12" x14ac:dyDescent="0.3">
      <c r="A36">
        <f t="shared" si="0"/>
        <v>35</v>
      </c>
      <c r="B36" s="1">
        <f t="shared" ca="1" si="1"/>
        <v>45181</v>
      </c>
      <c r="C36" t="s">
        <v>9</v>
      </c>
      <c r="D36" t="str">
        <f t="shared" ca="1" si="2"/>
        <v>Office Supplies</v>
      </c>
      <c r="E36" t="s">
        <v>50</v>
      </c>
      <c r="F36" s="11">
        <v>14741</v>
      </c>
      <c r="G36">
        <f t="shared" ca="1" si="3"/>
        <v>10</v>
      </c>
      <c r="H36" s="11">
        <f ca="1">IF(Table1[[#This Row],[Category]]="Electronics",Table1[[#This Row],[Sales]]*0.6,
IF(Table1[[#This Row],[Category]]="Furniture",Table1[[#This Row],[Sales]]*0.75,
IF(Table1[[#This Row],[Category]]="Clothing",Table1[[#This Row],[Sales]]*0.65,
Table1[[#This Row],[Sales]]*0.7)))</f>
        <v>10318.699999999999</v>
      </c>
      <c r="I36" s="11">
        <f ca="1">Table1[[#This Row],[Sales]]-H36</f>
        <v>4422.3000000000011</v>
      </c>
      <c r="J36" s="2">
        <f ca="1">Table1[[#This Row],[Profit]]/Table1[[#This Row],[Sales]]</f>
        <v>0.3000000000000001</v>
      </c>
      <c r="K36" t="str">
        <f ca="1">TEXT(Table1[[#This Row],[Order_Date]],"mmm")</f>
        <v>Sep</v>
      </c>
      <c r="L36">
        <f ca="1">YEAR(Table1[[#This Row],[Order_Date]])</f>
        <v>2023</v>
      </c>
    </row>
    <row r="37" spans="1:12" x14ac:dyDescent="0.3">
      <c r="A37">
        <f t="shared" si="0"/>
        <v>36</v>
      </c>
      <c r="B37" s="1">
        <f t="shared" ca="1" si="1"/>
        <v>45273</v>
      </c>
      <c r="C37" t="s">
        <v>10</v>
      </c>
      <c r="D37" t="str">
        <f t="shared" ca="1" si="2"/>
        <v>Clothing</v>
      </c>
      <c r="E37" t="s">
        <v>50</v>
      </c>
      <c r="F37" s="11">
        <v>16812</v>
      </c>
      <c r="G37">
        <f t="shared" ca="1" si="3"/>
        <v>2</v>
      </c>
      <c r="H37" s="11">
        <f ca="1">IF(Table1[[#This Row],[Category]]="Electronics",Table1[[#This Row],[Sales]]*0.6,
IF(Table1[[#This Row],[Category]]="Furniture",Table1[[#This Row],[Sales]]*0.75,
IF(Table1[[#This Row],[Category]]="Clothing",Table1[[#This Row],[Sales]]*0.65,
Table1[[#This Row],[Sales]]*0.7)))</f>
        <v>10927.800000000001</v>
      </c>
      <c r="I37" s="11">
        <f ca="1">Table1[[#This Row],[Sales]]-H37</f>
        <v>5884.1999999999989</v>
      </c>
      <c r="J37" s="2">
        <f ca="1">Table1[[#This Row],[Profit]]/Table1[[#This Row],[Sales]]</f>
        <v>0.34999999999999992</v>
      </c>
      <c r="K37" t="str">
        <f ca="1">TEXT(Table1[[#This Row],[Order_Date]],"mmm")</f>
        <v>Dec</v>
      </c>
      <c r="L37">
        <f ca="1">YEAR(Table1[[#This Row],[Order_Date]])</f>
        <v>2023</v>
      </c>
    </row>
    <row r="38" spans="1:12" x14ac:dyDescent="0.3">
      <c r="A38">
        <f t="shared" si="0"/>
        <v>37</v>
      </c>
      <c r="B38" s="1">
        <f t="shared" ca="1" si="1"/>
        <v>44964</v>
      </c>
      <c r="C38" t="s">
        <v>7</v>
      </c>
      <c r="D38" t="str">
        <f t="shared" ca="1" si="2"/>
        <v>Electronics</v>
      </c>
      <c r="E38" t="s">
        <v>48</v>
      </c>
      <c r="F38" s="11">
        <v>3116</v>
      </c>
      <c r="G38">
        <f t="shared" ca="1" si="3"/>
        <v>3</v>
      </c>
      <c r="H38" s="11">
        <f ca="1">IF(Table1[[#This Row],[Category]]="Electronics",Table1[[#This Row],[Sales]]*0.6,
IF(Table1[[#This Row],[Category]]="Furniture",Table1[[#This Row],[Sales]]*0.75,
IF(Table1[[#This Row],[Category]]="Clothing",Table1[[#This Row],[Sales]]*0.65,
Table1[[#This Row],[Sales]]*0.7)))</f>
        <v>1869.6</v>
      </c>
      <c r="I38" s="11">
        <f ca="1">Table1[[#This Row],[Sales]]-H38</f>
        <v>1246.4000000000001</v>
      </c>
      <c r="J38" s="2">
        <f ca="1">Table1[[#This Row],[Profit]]/Table1[[#This Row],[Sales]]</f>
        <v>0.4</v>
      </c>
      <c r="K38" t="str">
        <f ca="1">TEXT(Table1[[#This Row],[Order_Date]],"mmm")</f>
        <v>Feb</v>
      </c>
      <c r="L38">
        <f ca="1">YEAR(Table1[[#This Row],[Order_Date]])</f>
        <v>2023</v>
      </c>
    </row>
    <row r="39" spans="1:12" x14ac:dyDescent="0.3">
      <c r="A39">
        <f t="shared" si="0"/>
        <v>38</v>
      </c>
      <c r="B39" s="1">
        <f t="shared" ca="1" si="1"/>
        <v>45183</v>
      </c>
      <c r="C39" t="s">
        <v>8</v>
      </c>
      <c r="D39" t="str">
        <f t="shared" ca="1" si="2"/>
        <v>Electronics</v>
      </c>
      <c r="E39" t="s">
        <v>77</v>
      </c>
      <c r="F39" s="11">
        <v>18232</v>
      </c>
      <c r="G39">
        <f t="shared" ca="1" si="3"/>
        <v>4</v>
      </c>
      <c r="H39" s="11">
        <f ca="1">IF(Table1[[#This Row],[Category]]="Electronics",Table1[[#This Row],[Sales]]*0.6,
IF(Table1[[#This Row],[Category]]="Furniture",Table1[[#This Row],[Sales]]*0.75,
IF(Table1[[#This Row],[Category]]="Clothing",Table1[[#This Row],[Sales]]*0.65,
Table1[[#This Row],[Sales]]*0.7)))</f>
        <v>10939.199999999999</v>
      </c>
      <c r="I39" s="11">
        <f ca="1">Table1[[#This Row],[Sales]]-H39</f>
        <v>7292.8000000000011</v>
      </c>
      <c r="J39" s="2">
        <f ca="1">Table1[[#This Row],[Profit]]/Table1[[#This Row],[Sales]]</f>
        <v>0.40000000000000008</v>
      </c>
      <c r="K39" t="str">
        <f ca="1">TEXT(Table1[[#This Row],[Order_Date]],"mmm")</f>
        <v>Sep</v>
      </c>
      <c r="L39">
        <f ca="1">YEAR(Table1[[#This Row],[Order_Date]])</f>
        <v>2023</v>
      </c>
    </row>
    <row r="40" spans="1:12" x14ac:dyDescent="0.3">
      <c r="A40">
        <f t="shared" si="0"/>
        <v>39</v>
      </c>
      <c r="B40" s="1">
        <f t="shared" ca="1" si="1"/>
        <v>44975</v>
      </c>
      <c r="C40" t="s">
        <v>9</v>
      </c>
      <c r="D40" t="str">
        <f t="shared" ca="1" si="2"/>
        <v>Furniture</v>
      </c>
      <c r="E40" t="s">
        <v>81</v>
      </c>
      <c r="F40" s="11">
        <v>7598</v>
      </c>
      <c r="G40">
        <f t="shared" ca="1" si="3"/>
        <v>3</v>
      </c>
      <c r="H40" s="11">
        <f ca="1">IF(Table1[[#This Row],[Category]]="Electronics",Table1[[#This Row],[Sales]]*0.6,
IF(Table1[[#This Row],[Category]]="Furniture",Table1[[#This Row],[Sales]]*0.75,
IF(Table1[[#This Row],[Category]]="Clothing",Table1[[#This Row],[Sales]]*0.65,
Table1[[#This Row],[Sales]]*0.7)))</f>
        <v>5698.5</v>
      </c>
      <c r="I40" s="11">
        <f ca="1">Table1[[#This Row],[Sales]]-H40</f>
        <v>1899.5</v>
      </c>
      <c r="J40" s="2">
        <f ca="1">Table1[[#This Row],[Profit]]/Table1[[#This Row],[Sales]]</f>
        <v>0.25</v>
      </c>
      <c r="K40" t="str">
        <f ca="1">TEXT(Table1[[#This Row],[Order_Date]],"mmm")</f>
        <v>Feb</v>
      </c>
      <c r="L40">
        <f ca="1">YEAR(Table1[[#This Row],[Order_Date]])</f>
        <v>2023</v>
      </c>
    </row>
    <row r="41" spans="1:12" x14ac:dyDescent="0.3">
      <c r="A41">
        <f t="shared" si="0"/>
        <v>40</v>
      </c>
      <c r="B41" s="1">
        <f t="shared" ca="1" si="1"/>
        <v>45272</v>
      </c>
      <c r="C41" t="s">
        <v>10</v>
      </c>
      <c r="D41" t="str">
        <f t="shared" ca="1" si="2"/>
        <v>Clothing</v>
      </c>
      <c r="E41" t="s">
        <v>68</v>
      </c>
      <c r="F41" s="11">
        <v>13967</v>
      </c>
      <c r="G41">
        <f t="shared" ca="1" si="3"/>
        <v>5</v>
      </c>
      <c r="H41" s="11">
        <f ca="1">IF(Table1[[#This Row],[Category]]="Electronics",Table1[[#This Row],[Sales]]*0.6,
IF(Table1[[#This Row],[Category]]="Furniture",Table1[[#This Row],[Sales]]*0.75,
IF(Table1[[#This Row],[Category]]="Clothing",Table1[[#This Row],[Sales]]*0.65,
Table1[[#This Row],[Sales]]*0.7)))</f>
        <v>9078.5500000000011</v>
      </c>
      <c r="I41" s="11">
        <f ca="1">Table1[[#This Row],[Sales]]-H41</f>
        <v>4888.4499999999989</v>
      </c>
      <c r="J41" s="2">
        <f ca="1">Table1[[#This Row],[Profit]]/Table1[[#This Row],[Sales]]</f>
        <v>0.34999999999999992</v>
      </c>
      <c r="K41" t="str">
        <f ca="1">TEXT(Table1[[#This Row],[Order_Date]],"mmm")</f>
        <v>Dec</v>
      </c>
      <c r="L41">
        <f ca="1">YEAR(Table1[[#This Row],[Order_Date]])</f>
        <v>2023</v>
      </c>
    </row>
    <row r="42" spans="1:12" x14ac:dyDescent="0.3">
      <c r="A42">
        <f t="shared" si="0"/>
        <v>41</v>
      </c>
      <c r="B42" s="1">
        <f t="shared" ca="1" si="1"/>
        <v>44975</v>
      </c>
      <c r="C42" t="s">
        <v>7</v>
      </c>
      <c r="D42" t="str">
        <f t="shared" ca="1" si="2"/>
        <v>Clothing</v>
      </c>
      <c r="E42" t="s">
        <v>64</v>
      </c>
      <c r="F42" s="11">
        <v>11256</v>
      </c>
      <c r="G42">
        <f t="shared" ca="1" si="3"/>
        <v>1</v>
      </c>
      <c r="H42" s="11">
        <f ca="1">IF(Table1[[#This Row],[Category]]="Electronics",Table1[[#This Row],[Sales]]*0.6,
IF(Table1[[#This Row],[Category]]="Furniture",Table1[[#This Row],[Sales]]*0.75,
IF(Table1[[#This Row],[Category]]="Clothing",Table1[[#This Row],[Sales]]*0.65,
Table1[[#This Row],[Sales]]*0.7)))</f>
        <v>7316.4000000000005</v>
      </c>
      <c r="I42" s="11">
        <f ca="1">Table1[[#This Row],[Sales]]-H42</f>
        <v>3939.5999999999995</v>
      </c>
      <c r="J42" s="2">
        <f ca="1">Table1[[#This Row],[Profit]]/Table1[[#This Row],[Sales]]</f>
        <v>0.35</v>
      </c>
      <c r="K42" t="str">
        <f ca="1">TEXT(Table1[[#This Row],[Order_Date]],"mmm")</f>
        <v>Feb</v>
      </c>
      <c r="L42">
        <f ca="1">YEAR(Table1[[#This Row],[Order_Date]])</f>
        <v>2023</v>
      </c>
    </row>
    <row r="43" spans="1:12" x14ac:dyDescent="0.3">
      <c r="A43">
        <f t="shared" si="0"/>
        <v>42</v>
      </c>
      <c r="B43" s="1">
        <f t="shared" ca="1" si="1"/>
        <v>45270</v>
      </c>
      <c r="C43" t="s">
        <v>8</v>
      </c>
      <c r="D43" t="str">
        <f t="shared" ca="1" si="2"/>
        <v>Electronics</v>
      </c>
      <c r="E43" t="s">
        <v>75</v>
      </c>
      <c r="F43" s="11">
        <v>13703</v>
      </c>
      <c r="G43">
        <f t="shared" ca="1" si="3"/>
        <v>10</v>
      </c>
      <c r="H43" s="11">
        <f ca="1">IF(Table1[[#This Row],[Category]]="Electronics",Table1[[#This Row],[Sales]]*0.6,
IF(Table1[[#This Row],[Category]]="Furniture",Table1[[#This Row],[Sales]]*0.75,
IF(Table1[[#This Row],[Category]]="Clothing",Table1[[#This Row],[Sales]]*0.65,
Table1[[#This Row],[Sales]]*0.7)))</f>
        <v>8221.7999999999993</v>
      </c>
      <c r="I43" s="11">
        <f ca="1">Table1[[#This Row],[Sales]]-H43</f>
        <v>5481.2000000000007</v>
      </c>
      <c r="J43" s="2">
        <f ca="1">Table1[[#This Row],[Profit]]/Table1[[#This Row],[Sales]]</f>
        <v>0.40000000000000008</v>
      </c>
      <c r="K43" t="str">
        <f ca="1">TEXT(Table1[[#This Row],[Order_Date]],"mmm")</f>
        <v>Dec</v>
      </c>
      <c r="L43">
        <f ca="1">YEAR(Table1[[#This Row],[Order_Date]])</f>
        <v>2023</v>
      </c>
    </row>
    <row r="44" spans="1:12" x14ac:dyDescent="0.3">
      <c r="A44">
        <f t="shared" si="0"/>
        <v>43</v>
      </c>
      <c r="B44" s="1">
        <f t="shared" ca="1" si="1"/>
        <v>45007</v>
      </c>
      <c r="C44" t="s">
        <v>9</v>
      </c>
      <c r="D44" t="str">
        <f t="shared" ca="1" si="2"/>
        <v>Electronics</v>
      </c>
      <c r="E44" t="s">
        <v>59</v>
      </c>
      <c r="F44" s="11">
        <v>18435</v>
      </c>
      <c r="G44">
        <f t="shared" ca="1" si="3"/>
        <v>3</v>
      </c>
      <c r="H44" s="11">
        <f ca="1">IF(Table1[[#This Row],[Category]]="Electronics",Table1[[#This Row],[Sales]]*0.6,
IF(Table1[[#This Row],[Category]]="Furniture",Table1[[#This Row],[Sales]]*0.75,
IF(Table1[[#This Row],[Category]]="Clothing",Table1[[#This Row],[Sales]]*0.65,
Table1[[#This Row],[Sales]]*0.7)))</f>
        <v>11061</v>
      </c>
      <c r="I44" s="11">
        <f ca="1">Table1[[#This Row],[Sales]]-H44</f>
        <v>7374</v>
      </c>
      <c r="J44" s="2">
        <f ca="1">Table1[[#This Row],[Profit]]/Table1[[#This Row],[Sales]]</f>
        <v>0.4</v>
      </c>
      <c r="K44" t="str">
        <f ca="1">TEXT(Table1[[#This Row],[Order_Date]],"mmm")</f>
        <v>Mar</v>
      </c>
      <c r="L44">
        <f ca="1">YEAR(Table1[[#This Row],[Order_Date]])</f>
        <v>2023</v>
      </c>
    </row>
    <row r="45" spans="1:12" x14ac:dyDescent="0.3">
      <c r="A45">
        <f t="shared" si="0"/>
        <v>44</v>
      </c>
      <c r="B45" s="1">
        <f t="shared" ca="1" si="1"/>
        <v>45149</v>
      </c>
      <c r="C45" t="s">
        <v>10</v>
      </c>
      <c r="D45" t="str">
        <f t="shared" ca="1" si="2"/>
        <v>Electronics</v>
      </c>
      <c r="E45" t="s">
        <v>64</v>
      </c>
      <c r="F45" s="11">
        <v>19909</v>
      </c>
      <c r="G45">
        <f t="shared" ca="1" si="3"/>
        <v>7</v>
      </c>
      <c r="H45" s="11">
        <f ca="1">IF(Table1[[#This Row],[Category]]="Electronics",Table1[[#This Row],[Sales]]*0.6,
IF(Table1[[#This Row],[Category]]="Furniture",Table1[[#This Row],[Sales]]*0.75,
IF(Table1[[#This Row],[Category]]="Clothing",Table1[[#This Row],[Sales]]*0.65,
Table1[[#This Row],[Sales]]*0.7)))</f>
        <v>11945.4</v>
      </c>
      <c r="I45" s="11">
        <f ca="1">Table1[[#This Row],[Sales]]-H45</f>
        <v>7963.6</v>
      </c>
      <c r="J45" s="2">
        <f ca="1">Table1[[#This Row],[Profit]]/Table1[[#This Row],[Sales]]</f>
        <v>0.4</v>
      </c>
      <c r="K45" t="str">
        <f ca="1">TEXT(Table1[[#This Row],[Order_Date]],"mmm")</f>
        <v>Aug</v>
      </c>
      <c r="L45">
        <f ca="1">YEAR(Table1[[#This Row],[Order_Date]])</f>
        <v>2023</v>
      </c>
    </row>
    <row r="46" spans="1:12" x14ac:dyDescent="0.3">
      <c r="A46">
        <f t="shared" si="0"/>
        <v>45</v>
      </c>
      <c r="B46" s="1">
        <f t="shared" ca="1" si="1"/>
        <v>45203</v>
      </c>
      <c r="C46" t="s">
        <v>7</v>
      </c>
      <c r="D46" t="str">
        <f t="shared" ca="1" si="2"/>
        <v>Furniture</v>
      </c>
      <c r="E46" t="s">
        <v>46</v>
      </c>
      <c r="F46" s="11">
        <v>7851</v>
      </c>
      <c r="G46">
        <f t="shared" ca="1" si="3"/>
        <v>3</v>
      </c>
      <c r="H46" s="11">
        <f ca="1">IF(Table1[[#This Row],[Category]]="Electronics",Table1[[#This Row],[Sales]]*0.6,
IF(Table1[[#This Row],[Category]]="Furniture",Table1[[#This Row],[Sales]]*0.75,
IF(Table1[[#This Row],[Category]]="Clothing",Table1[[#This Row],[Sales]]*0.65,
Table1[[#This Row],[Sales]]*0.7)))</f>
        <v>5888.25</v>
      </c>
      <c r="I46" s="11">
        <f ca="1">Table1[[#This Row],[Sales]]-H46</f>
        <v>1962.75</v>
      </c>
      <c r="J46" s="2">
        <f ca="1">Table1[[#This Row],[Profit]]/Table1[[#This Row],[Sales]]</f>
        <v>0.25</v>
      </c>
      <c r="K46" t="str">
        <f ca="1">TEXT(Table1[[#This Row],[Order_Date]],"mmm")</f>
        <v>Oct</v>
      </c>
      <c r="L46">
        <f ca="1">YEAR(Table1[[#This Row],[Order_Date]])</f>
        <v>2023</v>
      </c>
    </row>
    <row r="47" spans="1:12" x14ac:dyDescent="0.3">
      <c r="A47">
        <f t="shared" si="0"/>
        <v>46</v>
      </c>
      <c r="B47" s="1">
        <f t="shared" ca="1" si="1"/>
        <v>44980</v>
      </c>
      <c r="C47" t="s">
        <v>8</v>
      </c>
      <c r="D47" t="str">
        <f t="shared" ca="1" si="2"/>
        <v>Electronics</v>
      </c>
      <c r="E47" t="s">
        <v>84</v>
      </c>
      <c r="F47" s="11">
        <v>19882</v>
      </c>
      <c r="G47">
        <f t="shared" ca="1" si="3"/>
        <v>8</v>
      </c>
      <c r="H47" s="11">
        <f ca="1">IF(Table1[[#This Row],[Category]]="Electronics",Table1[[#This Row],[Sales]]*0.6,
IF(Table1[[#This Row],[Category]]="Furniture",Table1[[#This Row],[Sales]]*0.75,
IF(Table1[[#This Row],[Category]]="Clothing",Table1[[#This Row],[Sales]]*0.65,
Table1[[#This Row],[Sales]]*0.7)))</f>
        <v>11929.199999999999</v>
      </c>
      <c r="I47" s="11">
        <f ca="1">Table1[[#This Row],[Sales]]-H47</f>
        <v>7952.8000000000011</v>
      </c>
      <c r="J47" s="2">
        <f ca="1">Table1[[#This Row],[Profit]]/Table1[[#This Row],[Sales]]</f>
        <v>0.40000000000000008</v>
      </c>
      <c r="K47" t="str">
        <f ca="1">TEXT(Table1[[#This Row],[Order_Date]],"mmm")</f>
        <v>Feb</v>
      </c>
      <c r="L47">
        <f ca="1">YEAR(Table1[[#This Row],[Order_Date]])</f>
        <v>2023</v>
      </c>
    </row>
    <row r="48" spans="1:12" x14ac:dyDescent="0.3">
      <c r="A48">
        <f t="shared" si="0"/>
        <v>47</v>
      </c>
      <c r="B48" s="1">
        <f t="shared" ca="1" si="1"/>
        <v>45270</v>
      </c>
      <c r="C48" t="s">
        <v>9</v>
      </c>
      <c r="D48" t="str">
        <f t="shared" ca="1" si="2"/>
        <v>Furniture</v>
      </c>
      <c r="E48" t="s">
        <v>60</v>
      </c>
      <c r="F48" s="11">
        <v>11681</v>
      </c>
      <c r="G48">
        <f t="shared" ca="1" si="3"/>
        <v>9</v>
      </c>
      <c r="H48" s="11">
        <f ca="1">IF(Table1[[#This Row],[Category]]="Electronics",Table1[[#This Row],[Sales]]*0.6,
IF(Table1[[#This Row],[Category]]="Furniture",Table1[[#This Row],[Sales]]*0.75,
IF(Table1[[#This Row],[Category]]="Clothing",Table1[[#This Row],[Sales]]*0.65,
Table1[[#This Row],[Sales]]*0.7)))</f>
        <v>8760.75</v>
      </c>
      <c r="I48" s="11">
        <f ca="1">Table1[[#This Row],[Sales]]-H48</f>
        <v>2920.25</v>
      </c>
      <c r="J48" s="2">
        <f ca="1">Table1[[#This Row],[Profit]]/Table1[[#This Row],[Sales]]</f>
        <v>0.25</v>
      </c>
      <c r="K48" t="str">
        <f ca="1">TEXT(Table1[[#This Row],[Order_Date]],"mmm")</f>
        <v>Dec</v>
      </c>
      <c r="L48">
        <f ca="1">YEAR(Table1[[#This Row],[Order_Date]])</f>
        <v>2023</v>
      </c>
    </row>
    <row r="49" spans="1:12" x14ac:dyDescent="0.3">
      <c r="A49">
        <f t="shared" si="0"/>
        <v>48</v>
      </c>
      <c r="B49" s="1">
        <f t="shared" ca="1" si="1"/>
        <v>45188</v>
      </c>
      <c r="C49" t="s">
        <v>10</v>
      </c>
      <c r="D49" t="str">
        <f t="shared" ca="1" si="2"/>
        <v>Office Supplies</v>
      </c>
      <c r="E49" t="s">
        <v>53</v>
      </c>
      <c r="F49" s="11">
        <v>3730</v>
      </c>
      <c r="G49">
        <f t="shared" ca="1" si="3"/>
        <v>9</v>
      </c>
      <c r="H49" s="11">
        <f ca="1">IF(Table1[[#This Row],[Category]]="Electronics",Table1[[#This Row],[Sales]]*0.6,
IF(Table1[[#This Row],[Category]]="Furniture",Table1[[#This Row],[Sales]]*0.75,
IF(Table1[[#This Row],[Category]]="Clothing",Table1[[#This Row],[Sales]]*0.65,
Table1[[#This Row],[Sales]]*0.7)))</f>
        <v>2611</v>
      </c>
      <c r="I49" s="11">
        <f ca="1">Table1[[#This Row],[Sales]]-H49</f>
        <v>1119</v>
      </c>
      <c r="J49" s="2">
        <f ca="1">Table1[[#This Row],[Profit]]/Table1[[#This Row],[Sales]]</f>
        <v>0.3</v>
      </c>
      <c r="K49" t="str">
        <f ca="1">TEXT(Table1[[#This Row],[Order_Date]],"mmm")</f>
        <v>Sep</v>
      </c>
      <c r="L49">
        <f ca="1">YEAR(Table1[[#This Row],[Order_Date]])</f>
        <v>2023</v>
      </c>
    </row>
    <row r="50" spans="1:12" x14ac:dyDescent="0.3">
      <c r="A50">
        <f t="shared" si="0"/>
        <v>49</v>
      </c>
      <c r="B50" s="1">
        <f t="shared" ca="1" si="1"/>
        <v>45192</v>
      </c>
      <c r="C50" t="s">
        <v>7</v>
      </c>
      <c r="D50" t="str">
        <f t="shared" ca="1" si="2"/>
        <v>Furniture</v>
      </c>
      <c r="E50" t="s">
        <v>57</v>
      </c>
      <c r="F50" s="11">
        <v>15133</v>
      </c>
      <c r="G50">
        <f t="shared" ca="1" si="3"/>
        <v>9</v>
      </c>
      <c r="H50" s="11">
        <f ca="1">IF(Table1[[#This Row],[Category]]="Electronics",Table1[[#This Row],[Sales]]*0.6,
IF(Table1[[#This Row],[Category]]="Furniture",Table1[[#This Row],[Sales]]*0.75,
IF(Table1[[#This Row],[Category]]="Clothing",Table1[[#This Row],[Sales]]*0.65,
Table1[[#This Row],[Sales]]*0.7)))</f>
        <v>11349.75</v>
      </c>
      <c r="I50" s="11">
        <f ca="1">Table1[[#This Row],[Sales]]-H50</f>
        <v>3783.25</v>
      </c>
      <c r="J50" s="2">
        <f ca="1">Table1[[#This Row],[Profit]]/Table1[[#This Row],[Sales]]</f>
        <v>0.25</v>
      </c>
      <c r="K50" t="str">
        <f ca="1">TEXT(Table1[[#This Row],[Order_Date]],"mmm")</f>
        <v>Sep</v>
      </c>
      <c r="L50">
        <f ca="1">YEAR(Table1[[#This Row],[Order_Date]])</f>
        <v>2023</v>
      </c>
    </row>
    <row r="51" spans="1:12" x14ac:dyDescent="0.3">
      <c r="A51">
        <f t="shared" si="0"/>
        <v>50</v>
      </c>
      <c r="B51" s="1">
        <f t="shared" ca="1" si="1"/>
        <v>44979</v>
      </c>
      <c r="C51" t="s">
        <v>8</v>
      </c>
      <c r="D51" t="str">
        <f t="shared" ca="1" si="2"/>
        <v>Office Supplies</v>
      </c>
      <c r="E51" t="s">
        <v>53</v>
      </c>
      <c r="F51" s="11">
        <v>17806</v>
      </c>
      <c r="G51">
        <f t="shared" ca="1" si="3"/>
        <v>3</v>
      </c>
      <c r="H51" s="11">
        <f ca="1">IF(Table1[[#This Row],[Category]]="Electronics",Table1[[#This Row],[Sales]]*0.6,
IF(Table1[[#This Row],[Category]]="Furniture",Table1[[#This Row],[Sales]]*0.75,
IF(Table1[[#This Row],[Category]]="Clothing",Table1[[#This Row],[Sales]]*0.65,
Table1[[#This Row],[Sales]]*0.7)))</f>
        <v>12464.199999999999</v>
      </c>
      <c r="I51" s="11">
        <f ca="1">Table1[[#This Row],[Sales]]-H51</f>
        <v>5341.8000000000011</v>
      </c>
      <c r="J51" s="2">
        <f ca="1">Table1[[#This Row],[Profit]]/Table1[[#This Row],[Sales]]</f>
        <v>0.30000000000000004</v>
      </c>
      <c r="K51" t="str">
        <f ca="1">TEXT(Table1[[#This Row],[Order_Date]],"mmm")</f>
        <v>Feb</v>
      </c>
      <c r="L51">
        <f ca="1">YEAR(Table1[[#This Row],[Order_Date]])</f>
        <v>2023</v>
      </c>
    </row>
    <row r="52" spans="1:12" x14ac:dyDescent="0.3">
      <c r="A52">
        <f t="shared" si="0"/>
        <v>51</v>
      </c>
      <c r="B52" s="1">
        <f t="shared" ca="1" si="1"/>
        <v>45206</v>
      </c>
      <c r="C52" t="s">
        <v>9</v>
      </c>
      <c r="D52" t="str">
        <f t="shared" ca="1" si="2"/>
        <v>Office Supplies</v>
      </c>
      <c r="E52" t="s">
        <v>40</v>
      </c>
      <c r="F52" s="11">
        <v>15936</v>
      </c>
      <c r="G52">
        <f t="shared" ca="1" si="3"/>
        <v>7</v>
      </c>
      <c r="H52" s="11">
        <f ca="1">IF(Table1[[#This Row],[Category]]="Electronics",Table1[[#This Row],[Sales]]*0.6,
IF(Table1[[#This Row],[Category]]="Furniture",Table1[[#This Row],[Sales]]*0.75,
IF(Table1[[#This Row],[Category]]="Clothing",Table1[[#This Row],[Sales]]*0.65,
Table1[[#This Row],[Sales]]*0.7)))</f>
        <v>11155.199999999999</v>
      </c>
      <c r="I52" s="11">
        <f ca="1">Table1[[#This Row],[Sales]]-H52</f>
        <v>4780.8000000000011</v>
      </c>
      <c r="J52" s="2">
        <f ca="1">Table1[[#This Row],[Profit]]/Table1[[#This Row],[Sales]]</f>
        <v>0.30000000000000004</v>
      </c>
      <c r="K52" t="str">
        <f ca="1">TEXT(Table1[[#This Row],[Order_Date]],"mmm")</f>
        <v>Oct</v>
      </c>
      <c r="L52">
        <f ca="1">YEAR(Table1[[#This Row],[Order_Date]])</f>
        <v>2023</v>
      </c>
    </row>
    <row r="53" spans="1:12" x14ac:dyDescent="0.3">
      <c r="A53">
        <f t="shared" si="0"/>
        <v>52</v>
      </c>
      <c r="B53" s="1">
        <f t="shared" ca="1" si="1"/>
        <v>45126</v>
      </c>
      <c r="C53" t="s">
        <v>10</v>
      </c>
      <c r="D53" t="str">
        <f t="shared" ca="1" si="2"/>
        <v>Furniture</v>
      </c>
      <c r="E53" t="s">
        <v>82</v>
      </c>
      <c r="F53" s="11">
        <v>11586</v>
      </c>
      <c r="G53">
        <f t="shared" ca="1" si="3"/>
        <v>2</v>
      </c>
      <c r="H53" s="11">
        <f ca="1">IF(Table1[[#This Row],[Category]]="Electronics",Table1[[#This Row],[Sales]]*0.6,
IF(Table1[[#This Row],[Category]]="Furniture",Table1[[#This Row],[Sales]]*0.75,
IF(Table1[[#This Row],[Category]]="Clothing",Table1[[#This Row],[Sales]]*0.65,
Table1[[#This Row],[Sales]]*0.7)))</f>
        <v>8689.5</v>
      </c>
      <c r="I53" s="11">
        <f ca="1">Table1[[#This Row],[Sales]]-H53</f>
        <v>2896.5</v>
      </c>
      <c r="J53" s="2">
        <f ca="1">Table1[[#This Row],[Profit]]/Table1[[#This Row],[Sales]]</f>
        <v>0.25</v>
      </c>
      <c r="K53" t="str">
        <f ca="1">TEXT(Table1[[#This Row],[Order_Date]],"mmm")</f>
        <v>Jul</v>
      </c>
      <c r="L53">
        <f ca="1">YEAR(Table1[[#This Row],[Order_Date]])</f>
        <v>2023</v>
      </c>
    </row>
    <row r="54" spans="1:12" x14ac:dyDescent="0.3">
      <c r="A54">
        <f t="shared" si="0"/>
        <v>53</v>
      </c>
      <c r="B54" s="1">
        <f t="shared" ca="1" si="1"/>
        <v>45105</v>
      </c>
      <c r="C54" t="s">
        <v>7</v>
      </c>
      <c r="D54" t="str">
        <f t="shared" ca="1" si="2"/>
        <v>Clothing</v>
      </c>
      <c r="E54" t="s">
        <v>55</v>
      </c>
      <c r="F54" s="11">
        <v>12743</v>
      </c>
      <c r="G54">
        <f t="shared" ca="1" si="3"/>
        <v>5</v>
      </c>
      <c r="H54" s="11">
        <f ca="1">IF(Table1[[#This Row],[Category]]="Electronics",Table1[[#This Row],[Sales]]*0.6,
IF(Table1[[#This Row],[Category]]="Furniture",Table1[[#This Row],[Sales]]*0.75,
IF(Table1[[#This Row],[Category]]="Clothing",Table1[[#This Row],[Sales]]*0.65,
Table1[[#This Row],[Sales]]*0.7)))</f>
        <v>8282.9500000000007</v>
      </c>
      <c r="I54" s="11">
        <f ca="1">Table1[[#This Row],[Sales]]-H54</f>
        <v>4460.0499999999993</v>
      </c>
      <c r="J54" s="2">
        <f ca="1">Table1[[#This Row],[Profit]]/Table1[[#This Row],[Sales]]</f>
        <v>0.34999999999999992</v>
      </c>
      <c r="K54" t="str">
        <f ca="1">TEXT(Table1[[#This Row],[Order_Date]],"mmm")</f>
        <v>Jun</v>
      </c>
      <c r="L54">
        <f ca="1">YEAR(Table1[[#This Row],[Order_Date]])</f>
        <v>2023</v>
      </c>
    </row>
    <row r="55" spans="1:12" x14ac:dyDescent="0.3">
      <c r="A55">
        <f t="shared" si="0"/>
        <v>54</v>
      </c>
      <c r="B55" s="1">
        <f t="shared" ca="1" si="1"/>
        <v>44929</v>
      </c>
      <c r="C55" t="s">
        <v>8</v>
      </c>
      <c r="D55" t="str">
        <f t="shared" ca="1" si="2"/>
        <v>Electronics</v>
      </c>
      <c r="E55" t="s">
        <v>37</v>
      </c>
      <c r="F55" s="11">
        <v>3639</v>
      </c>
      <c r="G55">
        <f t="shared" ca="1" si="3"/>
        <v>10</v>
      </c>
      <c r="H55" s="11">
        <f ca="1">IF(Table1[[#This Row],[Category]]="Electronics",Table1[[#This Row],[Sales]]*0.6,
IF(Table1[[#This Row],[Category]]="Furniture",Table1[[#This Row],[Sales]]*0.75,
IF(Table1[[#This Row],[Category]]="Clothing",Table1[[#This Row],[Sales]]*0.65,
Table1[[#This Row],[Sales]]*0.7)))</f>
        <v>2183.4</v>
      </c>
      <c r="I55" s="11">
        <f ca="1">Table1[[#This Row],[Sales]]-H55</f>
        <v>1455.6</v>
      </c>
      <c r="J55" s="2">
        <f ca="1">Table1[[#This Row],[Profit]]/Table1[[#This Row],[Sales]]</f>
        <v>0.39999999999999997</v>
      </c>
      <c r="K55" t="str">
        <f ca="1">TEXT(Table1[[#This Row],[Order_Date]],"mmm")</f>
        <v>Jan</v>
      </c>
      <c r="L55">
        <f ca="1">YEAR(Table1[[#This Row],[Order_Date]])</f>
        <v>2023</v>
      </c>
    </row>
    <row r="56" spans="1:12" x14ac:dyDescent="0.3">
      <c r="A56">
        <f t="shared" si="0"/>
        <v>55</v>
      </c>
      <c r="B56" s="1">
        <f t="shared" ca="1" si="1"/>
        <v>45264</v>
      </c>
      <c r="C56" t="s">
        <v>9</v>
      </c>
      <c r="D56" t="str">
        <f t="shared" ca="1" si="2"/>
        <v>Office Supplies</v>
      </c>
      <c r="E56" t="s">
        <v>54</v>
      </c>
      <c r="F56" s="11">
        <v>11658</v>
      </c>
      <c r="G56">
        <f t="shared" ca="1" si="3"/>
        <v>2</v>
      </c>
      <c r="H56" s="11">
        <f ca="1">IF(Table1[[#This Row],[Category]]="Electronics",Table1[[#This Row],[Sales]]*0.6,
IF(Table1[[#This Row],[Category]]="Furniture",Table1[[#This Row],[Sales]]*0.75,
IF(Table1[[#This Row],[Category]]="Clothing",Table1[[#This Row],[Sales]]*0.65,
Table1[[#This Row],[Sales]]*0.7)))</f>
        <v>8160.5999999999995</v>
      </c>
      <c r="I56" s="11">
        <f ca="1">Table1[[#This Row],[Sales]]-H56</f>
        <v>3497.4000000000005</v>
      </c>
      <c r="J56" s="2">
        <f ca="1">Table1[[#This Row],[Profit]]/Table1[[#This Row],[Sales]]</f>
        <v>0.30000000000000004</v>
      </c>
      <c r="K56" t="str">
        <f ca="1">TEXT(Table1[[#This Row],[Order_Date]],"mmm")</f>
        <v>Dec</v>
      </c>
      <c r="L56">
        <f ca="1">YEAR(Table1[[#This Row],[Order_Date]])</f>
        <v>2023</v>
      </c>
    </row>
    <row r="57" spans="1:12" x14ac:dyDescent="0.3">
      <c r="A57">
        <f t="shared" si="0"/>
        <v>56</v>
      </c>
      <c r="B57" s="1">
        <f t="shared" ca="1" si="1"/>
        <v>45012</v>
      </c>
      <c r="C57" t="s">
        <v>10</v>
      </c>
      <c r="D57" t="str">
        <f t="shared" ca="1" si="2"/>
        <v>Office Supplies</v>
      </c>
      <c r="E57" t="s">
        <v>62</v>
      </c>
      <c r="F57" s="11">
        <v>3272</v>
      </c>
      <c r="G57">
        <f t="shared" ca="1" si="3"/>
        <v>9</v>
      </c>
      <c r="H57" s="11">
        <f ca="1">IF(Table1[[#This Row],[Category]]="Electronics",Table1[[#This Row],[Sales]]*0.6,
IF(Table1[[#This Row],[Category]]="Furniture",Table1[[#This Row],[Sales]]*0.75,
IF(Table1[[#This Row],[Category]]="Clothing",Table1[[#This Row],[Sales]]*0.65,
Table1[[#This Row],[Sales]]*0.7)))</f>
        <v>2290.3999999999996</v>
      </c>
      <c r="I57" s="11">
        <f ca="1">Table1[[#This Row],[Sales]]-H57</f>
        <v>981.60000000000036</v>
      </c>
      <c r="J57" s="2">
        <f ca="1">Table1[[#This Row],[Profit]]/Table1[[#This Row],[Sales]]</f>
        <v>0.3000000000000001</v>
      </c>
      <c r="K57" t="str">
        <f ca="1">TEXT(Table1[[#This Row],[Order_Date]],"mmm")</f>
        <v>Mar</v>
      </c>
      <c r="L57">
        <f ca="1">YEAR(Table1[[#This Row],[Order_Date]])</f>
        <v>2023</v>
      </c>
    </row>
    <row r="58" spans="1:12" x14ac:dyDescent="0.3">
      <c r="A58">
        <f t="shared" si="0"/>
        <v>57</v>
      </c>
      <c r="B58" s="1">
        <f t="shared" ca="1" si="1"/>
        <v>45149</v>
      </c>
      <c r="C58" t="s">
        <v>7</v>
      </c>
      <c r="D58" t="str">
        <f t="shared" ca="1" si="2"/>
        <v>Office Supplies</v>
      </c>
      <c r="E58" t="s">
        <v>70</v>
      </c>
      <c r="F58" s="11">
        <v>13277</v>
      </c>
      <c r="G58">
        <f t="shared" ca="1" si="3"/>
        <v>10</v>
      </c>
      <c r="H58" s="11">
        <f ca="1">IF(Table1[[#This Row],[Category]]="Electronics",Table1[[#This Row],[Sales]]*0.6,
IF(Table1[[#This Row],[Category]]="Furniture",Table1[[#This Row],[Sales]]*0.75,
IF(Table1[[#This Row],[Category]]="Clothing",Table1[[#This Row],[Sales]]*0.65,
Table1[[#This Row],[Sales]]*0.7)))</f>
        <v>9293.9</v>
      </c>
      <c r="I58" s="11">
        <f ca="1">Table1[[#This Row],[Sales]]-H58</f>
        <v>3983.1000000000004</v>
      </c>
      <c r="J58" s="2">
        <f ca="1">Table1[[#This Row],[Profit]]/Table1[[#This Row],[Sales]]</f>
        <v>0.30000000000000004</v>
      </c>
      <c r="K58" t="str">
        <f ca="1">TEXT(Table1[[#This Row],[Order_Date]],"mmm")</f>
        <v>Aug</v>
      </c>
      <c r="L58">
        <f ca="1">YEAR(Table1[[#This Row],[Order_Date]])</f>
        <v>2023</v>
      </c>
    </row>
    <row r="59" spans="1:12" x14ac:dyDescent="0.3">
      <c r="A59">
        <f t="shared" si="0"/>
        <v>58</v>
      </c>
      <c r="B59" s="1">
        <f t="shared" ca="1" si="1"/>
        <v>45096</v>
      </c>
      <c r="C59" t="s">
        <v>8</v>
      </c>
      <c r="D59" t="str">
        <f t="shared" ca="1" si="2"/>
        <v>Electronics</v>
      </c>
      <c r="E59" t="s">
        <v>76</v>
      </c>
      <c r="F59" s="11">
        <v>13672</v>
      </c>
      <c r="G59">
        <f t="shared" ca="1" si="3"/>
        <v>10</v>
      </c>
      <c r="H59" s="11">
        <f ca="1">IF(Table1[[#This Row],[Category]]="Electronics",Table1[[#This Row],[Sales]]*0.6,
IF(Table1[[#This Row],[Category]]="Furniture",Table1[[#This Row],[Sales]]*0.75,
IF(Table1[[#This Row],[Category]]="Clothing",Table1[[#This Row],[Sales]]*0.65,
Table1[[#This Row],[Sales]]*0.7)))</f>
        <v>8203.1999999999989</v>
      </c>
      <c r="I59" s="11">
        <f ca="1">Table1[[#This Row],[Sales]]-H59</f>
        <v>5468.8000000000011</v>
      </c>
      <c r="J59" s="2">
        <f ca="1">Table1[[#This Row],[Profit]]/Table1[[#This Row],[Sales]]</f>
        <v>0.40000000000000008</v>
      </c>
      <c r="K59" t="str">
        <f ca="1">TEXT(Table1[[#This Row],[Order_Date]],"mmm")</f>
        <v>Jun</v>
      </c>
      <c r="L59">
        <f ca="1">YEAR(Table1[[#This Row],[Order_Date]])</f>
        <v>2023</v>
      </c>
    </row>
    <row r="60" spans="1:12" x14ac:dyDescent="0.3">
      <c r="A60">
        <f t="shared" si="0"/>
        <v>59</v>
      </c>
      <c r="B60" s="1">
        <f t="shared" ca="1" si="1"/>
        <v>45227</v>
      </c>
      <c r="C60" t="s">
        <v>9</v>
      </c>
      <c r="D60" t="str">
        <f t="shared" ca="1" si="2"/>
        <v>Office Supplies</v>
      </c>
      <c r="E60" t="s">
        <v>64</v>
      </c>
      <c r="F60" s="11">
        <v>17668</v>
      </c>
      <c r="G60">
        <f t="shared" ca="1" si="3"/>
        <v>3</v>
      </c>
      <c r="H60" s="11">
        <f ca="1">IF(Table1[[#This Row],[Category]]="Electronics",Table1[[#This Row],[Sales]]*0.6,
IF(Table1[[#This Row],[Category]]="Furniture",Table1[[#This Row],[Sales]]*0.75,
IF(Table1[[#This Row],[Category]]="Clothing",Table1[[#This Row],[Sales]]*0.65,
Table1[[#This Row],[Sales]]*0.7)))</f>
        <v>12367.599999999999</v>
      </c>
      <c r="I60" s="11">
        <f ca="1">Table1[[#This Row],[Sales]]-H60</f>
        <v>5300.4000000000015</v>
      </c>
      <c r="J60" s="2">
        <f ca="1">Table1[[#This Row],[Profit]]/Table1[[#This Row],[Sales]]</f>
        <v>0.3000000000000001</v>
      </c>
      <c r="K60" t="str">
        <f ca="1">TEXT(Table1[[#This Row],[Order_Date]],"mmm")</f>
        <v>Oct</v>
      </c>
      <c r="L60">
        <f ca="1">YEAR(Table1[[#This Row],[Order_Date]])</f>
        <v>2023</v>
      </c>
    </row>
    <row r="61" spans="1:12" x14ac:dyDescent="0.3">
      <c r="A61">
        <f t="shared" si="0"/>
        <v>60</v>
      </c>
      <c r="B61" s="1">
        <f t="shared" ca="1" si="1"/>
        <v>45038</v>
      </c>
      <c r="C61" t="s">
        <v>10</v>
      </c>
      <c r="D61" t="str">
        <f t="shared" ca="1" si="2"/>
        <v>Clothing</v>
      </c>
      <c r="E61" t="s">
        <v>71</v>
      </c>
      <c r="F61" s="11">
        <v>19576</v>
      </c>
      <c r="G61">
        <f t="shared" ca="1" si="3"/>
        <v>4</v>
      </c>
      <c r="H61" s="11">
        <f ca="1">IF(Table1[[#This Row],[Category]]="Electronics",Table1[[#This Row],[Sales]]*0.6,
IF(Table1[[#This Row],[Category]]="Furniture",Table1[[#This Row],[Sales]]*0.75,
IF(Table1[[#This Row],[Category]]="Clothing",Table1[[#This Row],[Sales]]*0.65,
Table1[[#This Row],[Sales]]*0.7)))</f>
        <v>12724.4</v>
      </c>
      <c r="I61" s="11">
        <f ca="1">Table1[[#This Row],[Sales]]-H61</f>
        <v>6851.6</v>
      </c>
      <c r="J61" s="2">
        <f ca="1">Table1[[#This Row],[Profit]]/Table1[[#This Row],[Sales]]</f>
        <v>0.35000000000000003</v>
      </c>
      <c r="K61" t="str">
        <f ca="1">TEXT(Table1[[#This Row],[Order_Date]],"mmm")</f>
        <v>Apr</v>
      </c>
      <c r="L61">
        <f ca="1">YEAR(Table1[[#This Row],[Order_Date]])</f>
        <v>2023</v>
      </c>
    </row>
    <row r="62" spans="1:12" x14ac:dyDescent="0.3">
      <c r="A62">
        <f t="shared" si="0"/>
        <v>61</v>
      </c>
      <c r="B62" s="1">
        <f t="shared" ca="1" si="1"/>
        <v>45078</v>
      </c>
      <c r="C62" t="s">
        <v>7</v>
      </c>
      <c r="D62" t="str">
        <f t="shared" ca="1" si="2"/>
        <v>Furniture</v>
      </c>
      <c r="E62" t="s">
        <v>83</v>
      </c>
      <c r="F62" s="11">
        <v>9725</v>
      </c>
      <c r="G62">
        <f t="shared" ca="1" si="3"/>
        <v>7</v>
      </c>
      <c r="H62" s="11">
        <f ca="1">IF(Table1[[#This Row],[Category]]="Electronics",Table1[[#This Row],[Sales]]*0.6,
IF(Table1[[#This Row],[Category]]="Furniture",Table1[[#This Row],[Sales]]*0.75,
IF(Table1[[#This Row],[Category]]="Clothing",Table1[[#This Row],[Sales]]*0.65,
Table1[[#This Row],[Sales]]*0.7)))</f>
        <v>7293.75</v>
      </c>
      <c r="I62" s="11">
        <f ca="1">Table1[[#This Row],[Sales]]-H62</f>
        <v>2431.25</v>
      </c>
      <c r="J62" s="2">
        <f ca="1">Table1[[#This Row],[Profit]]/Table1[[#This Row],[Sales]]</f>
        <v>0.25</v>
      </c>
      <c r="K62" t="str">
        <f ca="1">TEXT(Table1[[#This Row],[Order_Date]],"mmm")</f>
        <v>Jun</v>
      </c>
      <c r="L62">
        <f ca="1">YEAR(Table1[[#This Row],[Order_Date]])</f>
        <v>2023</v>
      </c>
    </row>
    <row r="63" spans="1:12" x14ac:dyDescent="0.3">
      <c r="A63">
        <f t="shared" si="0"/>
        <v>62</v>
      </c>
      <c r="B63" s="1">
        <f t="shared" ca="1" si="1"/>
        <v>45182</v>
      </c>
      <c r="C63" t="s">
        <v>8</v>
      </c>
      <c r="D63" t="str">
        <f t="shared" ca="1" si="2"/>
        <v>Electronics</v>
      </c>
      <c r="E63" t="s">
        <v>77</v>
      </c>
      <c r="F63" s="11">
        <v>19342</v>
      </c>
      <c r="G63">
        <f t="shared" ca="1" si="3"/>
        <v>7</v>
      </c>
      <c r="H63" s="11">
        <f ca="1">IF(Table1[[#This Row],[Category]]="Electronics",Table1[[#This Row],[Sales]]*0.6,
IF(Table1[[#This Row],[Category]]="Furniture",Table1[[#This Row],[Sales]]*0.75,
IF(Table1[[#This Row],[Category]]="Clothing",Table1[[#This Row],[Sales]]*0.65,
Table1[[#This Row],[Sales]]*0.7)))</f>
        <v>11605.199999999999</v>
      </c>
      <c r="I63" s="11">
        <f ca="1">Table1[[#This Row],[Sales]]-H63</f>
        <v>7736.8000000000011</v>
      </c>
      <c r="J63" s="2">
        <f ca="1">Table1[[#This Row],[Profit]]/Table1[[#This Row],[Sales]]</f>
        <v>0.40000000000000008</v>
      </c>
      <c r="K63" t="str">
        <f ca="1">TEXT(Table1[[#This Row],[Order_Date]],"mmm")</f>
        <v>Sep</v>
      </c>
      <c r="L63">
        <f ca="1">YEAR(Table1[[#This Row],[Order_Date]])</f>
        <v>2023</v>
      </c>
    </row>
    <row r="64" spans="1:12" x14ac:dyDescent="0.3">
      <c r="A64">
        <f t="shared" si="0"/>
        <v>63</v>
      </c>
      <c r="B64" s="1">
        <f t="shared" ca="1" si="1"/>
        <v>45026</v>
      </c>
      <c r="C64" t="s">
        <v>9</v>
      </c>
      <c r="D64" t="str">
        <f t="shared" ca="1" si="2"/>
        <v>Office Supplies</v>
      </c>
      <c r="E64" t="s">
        <v>59</v>
      </c>
      <c r="F64" s="11">
        <v>9361</v>
      </c>
      <c r="G64">
        <f t="shared" ca="1" si="3"/>
        <v>2</v>
      </c>
      <c r="H64" s="11">
        <f ca="1">IF(Table1[[#This Row],[Category]]="Electronics",Table1[[#This Row],[Sales]]*0.6,
IF(Table1[[#This Row],[Category]]="Furniture",Table1[[#This Row],[Sales]]*0.75,
IF(Table1[[#This Row],[Category]]="Clothing",Table1[[#This Row],[Sales]]*0.65,
Table1[[#This Row],[Sales]]*0.7)))</f>
        <v>6552.7</v>
      </c>
      <c r="I64" s="11">
        <f ca="1">Table1[[#This Row],[Sales]]-H64</f>
        <v>2808.3</v>
      </c>
      <c r="J64" s="2">
        <f ca="1">Table1[[#This Row],[Profit]]/Table1[[#This Row],[Sales]]</f>
        <v>0.30000000000000004</v>
      </c>
      <c r="K64" t="str">
        <f ca="1">TEXT(Table1[[#This Row],[Order_Date]],"mmm")</f>
        <v>Apr</v>
      </c>
      <c r="L64">
        <f ca="1">YEAR(Table1[[#This Row],[Order_Date]])</f>
        <v>2023</v>
      </c>
    </row>
    <row r="65" spans="1:12" x14ac:dyDescent="0.3">
      <c r="A65">
        <f t="shared" si="0"/>
        <v>64</v>
      </c>
      <c r="B65" s="1">
        <f t="shared" ca="1" si="1"/>
        <v>45217</v>
      </c>
      <c r="C65" t="s">
        <v>10</v>
      </c>
      <c r="D65" t="str">
        <f t="shared" ca="1" si="2"/>
        <v>Clothing</v>
      </c>
      <c r="E65" t="s">
        <v>62</v>
      </c>
      <c r="F65" s="11">
        <v>6494</v>
      </c>
      <c r="G65">
        <f t="shared" ca="1" si="3"/>
        <v>9</v>
      </c>
      <c r="H65" s="11">
        <f ca="1">IF(Table1[[#This Row],[Category]]="Electronics",Table1[[#This Row],[Sales]]*0.6,
IF(Table1[[#This Row],[Category]]="Furniture",Table1[[#This Row],[Sales]]*0.75,
IF(Table1[[#This Row],[Category]]="Clothing",Table1[[#This Row],[Sales]]*0.65,
Table1[[#This Row],[Sales]]*0.7)))</f>
        <v>4221.1000000000004</v>
      </c>
      <c r="I65" s="11">
        <f ca="1">Table1[[#This Row],[Sales]]-H65</f>
        <v>2272.8999999999996</v>
      </c>
      <c r="J65" s="2">
        <f ca="1">Table1[[#This Row],[Profit]]/Table1[[#This Row],[Sales]]</f>
        <v>0.34999999999999992</v>
      </c>
      <c r="K65" t="str">
        <f ca="1">TEXT(Table1[[#This Row],[Order_Date]],"mmm")</f>
        <v>Oct</v>
      </c>
      <c r="L65">
        <f ca="1">YEAR(Table1[[#This Row],[Order_Date]])</f>
        <v>2023</v>
      </c>
    </row>
    <row r="66" spans="1:12" x14ac:dyDescent="0.3">
      <c r="A66">
        <f t="shared" si="0"/>
        <v>65</v>
      </c>
      <c r="B66" s="1">
        <f t="shared" ca="1" si="1"/>
        <v>45145</v>
      </c>
      <c r="C66" t="s">
        <v>7</v>
      </c>
      <c r="D66" t="str">
        <f t="shared" ca="1" si="2"/>
        <v>Furniture</v>
      </c>
      <c r="E66" t="s">
        <v>38</v>
      </c>
      <c r="F66" s="11">
        <v>7130</v>
      </c>
      <c r="G66">
        <f t="shared" ca="1" si="3"/>
        <v>10</v>
      </c>
      <c r="H66" s="11">
        <f ca="1">IF(Table1[[#This Row],[Category]]="Electronics",Table1[[#This Row],[Sales]]*0.6,
IF(Table1[[#This Row],[Category]]="Furniture",Table1[[#This Row],[Sales]]*0.75,
IF(Table1[[#This Row],[Category]]="Clothing",Table1[[#This Row],[Sales]]*0.65,
Table1[[#This Row],[Sales]]*0.7)))</f>
        <v>5347.5</v>
      </c>
      <c r="I66" s="11">
        <f ca="1">Table1[[#This Row],[Sales]]-H66</f>
        <v>1782.5</v>
      </c>
      <c r="J66" s="2">
        <f ca="1">Table1[[#This Row],[Profit]]/Table1[[#This Row],[Sales]]</f>
        <v>0.25</v>
      </c>
      <c r="K66" t="str">
        <f ca="1">TEXT(Table1[[#This Row],[Order_Date]],"mmm")</f>
        <v>Aug</v>
      </c>
      <c r="L66">
        <f ca="1">YEAR(Table1[[#This Row],[Order_Date]])</f>
        <v>2023</v>
      </c>
    </row>
    <row r="67" spans="1:12" x14ac:dyDescent="0.3">
      <c r="A67">
        <f t="shared" ref="A67:A130" si="4">ROW()-1</f>
        <v>66</v>
      </c>
      <c r="B67" s="1">
        <f t="shared" ref="B67:B130" ca="1" si="5">DATE(2023, RANDBETWEEN(1,12), RANDBETWEEN(1,28))</f>
        <v>45026</v>
      </c>
      <c r="C67" t="s">
        <v>8</v>
      </c>
      <c r="D67" t="str">
        <f t="shared" ref="D67:D130" ca="1" si="6">CHOOSE(RANDBETWEEN(1,4),"Electronics","Furniture","Clothing","Office Supplies")</f>
        <v>Electronics</v>
      </c>
      <c r="E67" t="s">
        <v>74</v>
      </c>
      <c r="F67" s="11">
        <v>659</v>
      </c>
      <c r="G67">
        <f t="shared" ref="G67:G130" ca="1" si="7">RANDBETWEEN(1,10)</f>
        <v>2</v>
      </c>
      <c r="H67" s="11">
        <f ca="1">IF(Table1[[#This Row],[Category]]="Electronics",Table1[[#This Row],[Sales]]*0.6,
IF(Table1[[#This Row],[Category]]="Furniture",Table1[[#This Row],[Sales]]*0.75,
IF(Table1[[#This Row],[Category]]="Clothing",Table1[[#This Row],[Sales]]*0.65,
Table1[[#This Row],[Sales]]*0.7)))</f>
        <v>395.4</v>
      </c>
      <c r="I67" s="11">
        <f ca="1">Table1[[#This Row],[Sales]]-H67</f>
        <v>263.60000000000002</v>
      </c>
      <c r="J67" s="2">
        <f ca="1">Table1[[#This Row],[Profit]]/Table1[[#This Row],[Sales]]</f>
        <v>0.4</v>
      </c>
      <c r="K67" t="str">
        <f ca="1">TEXT(Table1[[#This Row],[Order_Date]],"mmm")</f>
        <v>Apr</v>
      </c>
      <c r="L67">
        <f ca="1">YEAR(Table1[[#This Row],[Order_Date]])</f>
        <v>2023</v>
      </c>
    </row>
    <row r="68" spans="1:12" x14ac:dyDescent="0.3">
      <c r="A68">
        <f t="shared" si="4"/>
        <v>67</v>
      </c>
      <c r="B68" s="1">
        <f t="shared" ca="1" si="5"/>
        <v>45109</v>
      </c>
      <c r="C68" t="s">
        <v>9</v>
      </c>
      <c r="D68" t="str">
        <f t="shared" ca="1" si="6"/>
        <v>Furniture</v>
      </c>
      <c r="E68" t="s">
        <v>66</v>
      </c>
      <c r="F68" s="11">
        <v>2113</v>
      </c>
      <c r="G68">
        <f t="shared" ca="1" si="7"/>
        <v>10</v>
      </c>
      <c r="H68" s="11">
        <f ca="1">IF(Table1[[#This Row],[Category]]="Electronics",Table1[[#This Row],[Sales]]*0.6,
IF(Table1[[#This Row],[Category]]="Furniture",Table1[[#This Row],[Sales]]*0.75,
IF(Table1[[#This Row],[Category]]="Clothing",Table1[[#This Row],[Sales]]*0.65,
Table1[[#This Row],[Sales]]*0.7)))</f>
        <v>1584.75</v>
      </c>
      <c r="I68" s="11">
        <f ca="1">Table1[[#This Row],[Sales]]-H68</f>
        <v>528.25</v>
      </c>
      <c r="J68" s="2">
        <f ca="1">Table1[[#This Row],[Profit]]/Table1[[#This Row],[Sales]]</f>
        <v>0.25</v>
      </c>
      <c r="K68" t="str">
        <f ca="1">TEXT(Table1[[#This Row],[Order_Date]],"mmm")</f>
        <v>Jul</v>
      </c>
      <c r="L68">
        <f ca="1">YEAR(Table1[[#This Row],[Order_Date]])</f>
        <v>2023</v>
      </c>
    </row>
    <row r="69" spans="1:12" x14ac:dyDescent="0.3">
      <c r="A69">
        <f t="shared" si="4"/>
        <v>68</v>
      </c>
      <c r="B69" s="1">
        <f t="shared" ca="1" si="5"/>
        <v>45258</v>
      </c>
      <c r="C69" t="s">
        <v>10</v>
      </c>
      <c r="D69" t="str">
        <f t="shared" ca="1" si="6"/>
        <v>Electronics</v>
      </c>
      <c r="E69" t="s">
        <v>46</v>
      </c>
      <c r="F69" s="11">
        <v>7957</v>
      </c>
      <c r="G69">
        <f t="shared" ca="1" si="7"/>
        <v>5</v>
      </c>
      <c r="H69" s="11">
        <f ca="1">IF(Table1[[#This Row],[Category]]="Electronics",Table1[[#This Row],[Sales]]*0.6,
IF(Table1[[#This Row],[Category]]="Furniture",Table1[[#This Row],[Sales]]*0.75,
IF(Table1[[#This Row],[Category]]="Clothing",Table1[[#This Row],[Sales]]*0.65,
Table1[[#This Row],[Sales]]*0.7)))</f>
        <v>4774.2</v>
      </c>
      <c r="I69" s="11">
        <f ca="1">Table1[[#This Row],[Sales]]-H69</f>
        <v>3182.8</v>
      </c>
      <c r="J69" s="2">
        <f ca="1">Table1[[#This Row],[Profit]]/Table1[[#This Row],[Sales]]</f>
        <v>0.4</v>
      </c>
      <c r="K69" t="str">
        <f ca="1">TEXT(Table1[[#This Row],[Order_Date]],"mmm")</f>
        <v>Nov</v>
      </c>
      <c r="L69">
        <f ca="1">YEAR(Table1[[#This Row],[Order_Date]])</f>
        <v>2023</v>
      </c>
    </row>
    <row r="70" spans="1:12" x14ac:dyDescent="0.3">
      <c r="A70">
        <f t="shared" si="4"/>
        <v>69</v>
      </c>
      <c r="B70" s="1">
        <f t="shared" ca="1" si="5"/>
        <v>45148</v>
      </c>
      <c r="C70" t="s">
        <v>7</v>
      </c>
      <c r="D70" t="str">
        <f t="shared" ca="1" si="6"/>
        <v>Clothing</v>
      </c>
      <c r="E70" t="s">
        <v>81</v>
      </c>
      <c r="F70" s="11">
        <v>13665</v>
      </c>
      <c r="G70">
        <f t="shared" ca="1" si="7"/>
        <v>1</v>
      </c>
      <c r="H70" s="11">
        <f ca="1">IF(Table1[[#This Row],[Category]]="Electronics",Table1[[#This Row],[Sales]]*0.6,
IF(Table1[[#This Row],[Category]]="Furniture",Table1[[#This Row],[Sales]]*0.75,
IF(Table1[[#This Row],[Category]]="Clothing",Table1[[#This Row],[Sales]]*0.65,
Table1[[#This Row],[Sales]]*0.7)))</f>
        <v>8882.25</v>
      </c>
      <c r="I70" s="11">
        <f ca="1">Table1[[#This Row],[Sales]]-H70</f>
        <v>4782.75</v>
      </c>
      <c r="J70" s="2">
        <f ca="1">Table1[[#This Row],[Profit]]/Table1[[#This Row],[Sales]]</f>
        <v>0.35</v>
      </c>
      <c r="K70" t="str">
        <f ca="1">TEXT(Table1[[#This Row],[Order_Date]],"mmm")</f>
        <v>Aug</v>
      </c>
      <c r="L70">
        <f ca="1">YEAR(Table1[[#This Row],[Order_Date]])</f>
        <v>2023</v>
      </c>
    </row>
    <row r="71" spans="1:12" x14ac:dyDescent="0.3">
      <c r="A71">
        <f t="shared" si="4"/>
        <v>70</v>
      </c>
      <c r="B71" s="1">
        <f t="shared" ca="1" si="5"/>
        <v>45190</v>
      </c>
      <c r="C71" t="s">
        <v>8</v>
      </c>
      <c r="D71" t="str">
        <f t="shared" ca="1" si="6"/>
        <v>Electronics</v>
      </c>
      <c r="E71" t="s">
        <v>41</v>
      </c>
      <c r="F71" s="11">
        <v>1923</v>
      </c>
      <c r="G71">
        <f t="shared" ca="1" si="7"/>
        <v>6</v>
      </c>
      <c r="H71" s="11">
        <f ca="1">IF(Table1[[#This Row],[Category]]="Electronics",Table1[[#This Row],[Sales]]*0.6,
IF(Table1[[#This Row],[Category]]="Furniture",Table1[[#This Row],[Sales]]*0.75,
IF(Table1[[#This Row],[Category]]="Clothing",Table1[[#This Row],[Sales]]*0.65,
Table1[[#This Row],[Sales]]*0.7)))</f>
        <v>1153.8</v>
      </c>
      <c r="I71" s="11">
        <f ca="1">Table1[[#This Row],[Sales]]-H71</f>
        <v>769.2</v>
      </c>
      <c r="J71" s="2">
        <f ca="1">Table1[[#This Row],[Profit]]/Table1[[#This Row],[Sales]]</f>
        <v>0.4</v>
      </c>
      <c r="K71" t="str">
        <f ca="1">TEXT(Table1[[#This Row],[Order_Date]],"mmm")</f>
        <v>Sep</v>
      </c>
      <c r="L71">
        <f ca="1">YEAR(Table1[[#This Row],[Order_Date]])</f>
        <v>2023</v>
      </c>
    </row>
    <row r="72" spans="1:12" x14ac:dyDescent="0.3">
      <c r="A72">
        <f t="shared" si="4"/>
        <v>71</v>
      </c>
      <c r="B72" s="1">
        <f t="shared" ca="1" si="5"/>
        <v>44970</v>
      </c>
      <c r="C72" t="s">
        <v>9</v>
      </c>
      <c r="D72" t="str">
        <f t="shared" ca="1" si="6"/>
        <v>Furniture</v>
      </c>
      <c r="E72" t="s">
        <v>54</v>
      </c>
      <c r="F72" s="11">
        <v>15137</v>
      </c>
      <c r="G72">
        <f t="shared" ca="1" si="7"/>
        <v>10</v>
      </c>
      <c r="H72" s="11">
        <f ca="1">IF(Table1[[#This Row],[Category]]="Electronics",Table1[[#This Row],[Sales]]*0.6,
IF(Table1[[#This Row],[Category]]="Furniture",Table1[[#This Row],[Sales]]*0.75,
IF(Table1[[#This Row],[Category]]="Clothing",Table1[[#This Row],[Sales]]*0.65,
Table1[[#This Row],[Sales]]*0.7)))</f>
        <v>11352.75</v>
      </c>
      <c r="I72" s="11">
        <f ca="1">Table1[[#This Row],[Sales]]-H72</f>
        <v>3784.25</v>
      </c>
      <c r="J72" s="2">
        <f ca="1">Table1[[#This Row],[Profit]]/Table1[[#This Row],[Sales]]</f>
        <v>0.25</v>
      </c>
      <c r="K72" t="str">
        <f ca="1">TEXT(Table1[[#This Row],[Order_Date]],"mmm")</f>
        <v>Feb</v>
      </c>
      <c r="L72">
        <f ca="1">YEAR(Table1[[#This Row],[Order_Date]])</f>
        <v>2023</v>
      </c>
    </row>
    <row r="73" spans="1:12" x14ac:dyDescent="0.3">
      <c r="A73">
        <f t="shared" si="4"/>
        <v>72</v>
      </c>
      <c r="B73" s="1">
        <f t="shared" ca="1" si="5"/>
        <v>45265</v>
      </c>
      <c r="C73" t="s">
        <v>10</v>
      </c>
      <c r="D73" t="str">
        <f t="shared" ca="1" si="6"/>
        <v>Electronics</v>
      </c>
      <c r="E73" t="s">
        <v>39</v>
      </c>
      <c r="F73" s="11">
        <v>17316</v>
      </c>
      <c r="G73">
        <f t="shared" ca="1" si="7"/>
        <v>9</v>
      </c>
      <c r="H73" s="11">
        <f ca="1">IF(Table1[[#This Row],[Category]]="Electronics",Table1[[#This Row],[Sales]]*0.6,
IF(Table1[[#This Row],[Category]]="Furniture",Table1[[#This Row],[Sales]]*0.75,
IF(Table1[[#This Row],[Category]]="Clothing",Table1[[#This Row],[Sales]]*0.65,
Table1[[#This Row],[Sales]]*0.7)))</f>
        <v>10389.6</v>
      </c>
      <c r="I73" s="11">
        <f ca="1">Table1[[#This Row],[Sales]]-H73</f>
        <v>6926.4</v>
      </c>
      <c r="J73" s="2">
        <f ca="1">Table1[[#This Row],[Profit]]/Table1[[#This Row],[Sales]]</f>
        <v>0.39999999999999997</v>
      </c>
      <c r="K73" t="str">
        <f ca="1">TEXT(Table1[[#This Row],[Order_Date]],"mmm")</f>
        <v>Dec</v>
      </c>
      <c r="L73">
        <f ca="1">YEAR(Table1[[#This Row],[Order_Date]])</f>
        <v>2023</v>
      </c>
    </row>
    <row r="74" spans="1:12" x14ac:dyDescent="0.3">
      <c r="A74">
        <f t="shared" si="4"/>
        <v>73</v>
      </c>
      <c r="B74" s="1">
        <f t="shared" ca="1" si="5"/>
        <v>45208</v>
      </c>
      <c r="C74" t="s">
        <v>7</v>
      </c>
      <c r="D74" t="str">
        <f t="shared" ca="1" si="6"/>
        <v>Office Supplies</v>
      </c>
      <c r="E74" t="s">
        <v>52</v>
      </c>
      <c r="F74" s="11">
        <v>13577</v>
      </c>
      <c r="G74">
        <f t="shared" ca="1" si="7"/>
        <v>3</v>
      </c>
      <c r="H74" s="11">
        <f ca="1">IF(Table1[[#This Row],[Category]]="Electronics",Table1[[#This Row],[Sales]]*0.6,
IF(Table1[[#This Row],[Category]]="Furniture",Table1[[#This Row],[Sales]]*0.75,
IF(Table1[[#This Row],[Category]]="Clothing",Table1[[#This Row],[Sales]]*0.65,
Table1[[#This Row],[Sales]]*0.7)))</f>
        <v>9503.9</v>
      </c>
      <c r="I74" s="11">
        <f ca="1">Table1[[#This Row],[Sales]]-H74</f>
        <v>4073.1000000000004</v>
      </c>
      <c r="J74" s="2">
        <f ca="1">Table1[[#This Row],[Profit]]/Table1[[#This Row],[Sales]]</f>
        <v>0.30000000000000004</v>
      </c>
      <c r="K74" t="str">
        <f ca="1">TEXT(Table1[[#This Row],[Order_Date]],"mmm")</f>
        <v>Oct</v>
      </c>
      <c r="L74">
        <f ca="1">YEAR(Table1[[#This Row],[Order_Date]])</f>
        <v>2023</v>
      </c>
    </row>
    <row r="75" spans="1:12" x14ac:dyDescent="0.3">
      <c r="A75">
        <f t="shared" si="4"/>
        <v>74</v>
      </c>
      <c r="B75" s="1">
        <f t="shared" ca="1" si="5"/>
        <v>45073</v>
      </c>
      <c r="C75" t="s">
        <v>8</v>
      </c>
      <c r="D75" t="str">
        <f t="shared" ca="1" si="6"/>
        <v>Electronics</v>
      </c>
      <c r="E75" t="s">
        <v>85</v>
      </c>
      <c r="F75" s="11">
        <v>1050</v>
      </c>
      <c r="G75">
        <f t="shared" ca="1" si="7"/>
        <v>5</v>
      </c>
      <c r="H75" s="11">
        <f ca="1">IF(Table1[[#This Row],[Category]]="Electronics",Table1[[#This Row],[Sales]]*0.6,
IF(Table1[[#This Row],[Category]]="Furniture",Table1[[#This Row],[Sales]]*0.75,
IF(Table1[[#This Row],[Category]]="Clothing",Table1[[#This Row],[Sales]]*0.65,
Table1[[#This Row],[Sales]]*0.7)))</f>
        <v>630</v>
      </c>
      <c r="I75" s="11">
        <f ca="1">Table1[[#This Row],[Sales]]-H75</f>
        <v>420</v>
      </c>
      <c r="J75" s="2">
        <f ca="1">Table1[[#This Row],[Profit]]/Table1[[#This Row],[Sales]]</f>
        <v>0.4</v>
      </c>
      <c r="K75" t="str">
        <f ca="1">TEXT(Table1[[#This Row],[Order_Date]],"mmm")</f>
        <v>May</v>
      </c>
      <c r="L75">
        <f ca="1">YEAR(Table1[[#This Row],[Order_Date]])</f>
        <v>2023</v>
      </c>
    </row>
    <row r="76" spans="1:12" x14ac:dyDescent="0.3">
      <c r="A76">
        <f t="shared" si="4"/>
        <v>75</v>
      </c>
      <c r="B76" s="1">
        <f t="shared" ca="1" si="5"/>
        <v>45063</v>
      </c>
      <c r="C76" t="s">
        <v>9</v>
      </c>
      <c r="D76" t="str">
        <f t="shared" ca="1" si="6"/>
        <v>Clothing</v>
      </c>
      <c r="E76" t="s">
        <v>52</v>
      </c>
      <c r="F76" s="11">
        <v>5462</v>
      </c>
      <c r="G76">
        <f t="shared" ca="1" si="7"/>
        <v>4</v>
      </c>
      <c r="H76" s="11">
        <f ca="1">IF(Table1[[#This Row],[Category]]="Electronics",Table1[[#This Row],[Sales]]*0.6,
IF(Table1[[#This Row],[Category]]="Furniture",Table1[[#This Row],[Sales]]*0.75,
IF(Table1[[#This Row],[Category]]="Clothing",Table1[[#This Row],[Sales]]*0.65,
Table1[[#This Row],[Sales]]*0.7)))</f>
        <v>3550.3</v>
      </c>
      <c r="I76" s="11">
        <f ca="1">Table1[[#This Row],[Sales]]-H76</f>
        <v>1911.6999999999998</v>
      </c>
      <c r="J76" s="2">
        <f ca="1">Table1[[#This Row],[Profit]]/Table1[[#This Row],[Sales]]</f>
        <v>0.35</v>
      </c>
      <c r="K76" t="str">
        <f ca="1">TEXT(Table1[[#This Row],[Order_Date]],"mmm")</f>
        <v>May</v>
      </c>
      <c r="L76">
        <f ca="1">YEAR(Table1[[#This Row],[Order_Date]])</f>
        <v>2023</v>
      </c>
    </row>
    <row r="77" spans="1:12" x14ac:dyDescent="0.3">
      <c r="A77">
        <f t="shared" si="4"/>
        <v>76</v>
      </c>
      <c r="B77" s="1">
        <f t="shared" ca="1" si="5"/>
        <v>45214</v>
      </c>
      <c r="C77" t="s">
        <v>10</v>
      </c>
      <c r="D77" t="str">
        <f t="shared" ca="1" si="6"/>
        <v>Furniture</v>
      </c>
      <c r="E77" t="s">
        <v>83</v>
      </c>
      <c r="F77" s="11">
        <v>8142</v>
      </c>
      <c r="G77">
        <f t="shared" ca="1" si="7"/>
        <v>10</v>
      </c>
      <c r="H77" s="11">
        <f ca="1">IF(Table1[[#This Row],[Category]]="Electronics",Table1[[#This Row],[Sales]]*0.6,
IF(Table1[[#This Row],[Category]]="Furniture",Table1[[#This Row],[Sales]]*0.75,
IF(Table1[[#This Row],[Category]]="Clothing",Table1[[#This Row],[Sales]]*0.65,
Table1[[#This Row],[Sales]]*0.7)))</f>
        <v>6106.5</v>
      </c>
      <c r="I77" s="11">
        <f ca="1">Table1[[#This Row],[Sales]]-H77</f>
        <v>2035.5</v>
      </c>
      <c r="J77" s="2">
        <f ca="1">Table1[[#This Row],[Profit]]/Table1[[#This Row],[Sales]]</f>
        <v>0.25</v>
      </c>
      <c r="K77" t="str">
        <f ca="1">TEXT(Table1[[#This Row],[Order_Date]],"mmm")</f>
        <v>Oct</v>
      </c>
      <c r="L77">
        <f ca="1">YEAR(Table1[[#This Row],[Order_Date]])</f>
        <v>2023</v>
      </c>
    </row>
    <row r="78" spans="1:12" x14ac:dyDescent="0.3">
      <c r="A78">
        <f t="shared" si="4"/>
        <v>77</v>
      </c>
      <c r="B78" s="1">
        <f t="shared" ca="1" si="5"/>
        <v>45202</v>
      </c>
      <c r="C78" t="s">
        <v>7</v>
      </c>
      <c r="D78" t="str">
        <f t="shared" ca="1" si="6"/>
        <v>Office Supplies</v>
      </c>
      <c r="E78" t="s">
        <v>61</v>
      </c>
      <c r="F78" s="11">
        <v>14396</v>
      </c>
      <c r="G78">
        <f t="shared" ca="1" si="7"/>
        <v>1</v>
      </c>
      <c r="H78" s="11">
        <f ca="1">IF(Table1[[#This Row],[Category]]="Electronics",Table1[[#This Row],[Sales]]*0.6,
IF(Table1[[#This Row],[Category]]="Furniture",Table1[[#This Row],[Sales]]*0.75,
IF(Table1[[#This Row],[Category]]="Clothing",Table1[[#This Row],[Sales]]*0.65,
Table1[[#This Row],[Sales]]*0.7)))</f>
        <v>10077.199999999999</v>
      </c>
      <c r="I78" s="11">
        <f ca="1">Table1[[#This Row],[Sales]]-H78</f>
        <v>4318.8000000000011</v>
      </c>
      <c r="J78" s="2">
        <f ca="1">Table1[[#This Row],[Profit]]/Table1[[#This Row],[Sales]]</f>
        <v>0.3000000000000001</v>
      </c>
      <c r="K78" t="str">
        <f ca="1">TEXT(Table1[[#This Row],[Order_Date]],"mmm")</f>
        <v>Oct</v>
      </c>
      <c r="L78">
        <f ca="1">YEAR(Table1[[#This Row],[Order_Date]])</f>
        <v>2023</v>
      </c>
    </row>
    <row r="79" spans="1:12" x14ac:dyDescent="0.3">
      <c r="A79">
        <f t="shared" si="4"/>
        <v>78</v>
      </c>
      <c r="B79" s="1">
        <f t="shared" ca="1" si="5"/>
        <v>45191</v>
      </c>
      <c r="C79" t="s">
        <v>8</v>
      </c>
      <c r="D79" t="str">
        <f t="shared" ca="1" si="6"/>
        <v>Clothing</v>
      </c>
      <c r="E79" t="s">
        <v>83</v>
      </c>
      <c r="F79" s="11">
        <v>8498</v>
      </c>
      <c r="G79">
        <f t="shared" ca="1" si="7"/>
        <v>9</v>
      </c>
      <c r="H79" s="11">
        <f ca="1">IF(Table1[[#This Row],[Category]]="Electronics",Table1[[#This Row],[Sales]]*0.6,
IF(Table1[[#This Row],[Category]]="Furniture",Table1[[#This Row],[Sales]]*0.75,
IF(Table1[[#This Row],[Category]]="Clothing",Table1[[#This Row],[Sales]]*0.65,
Table1[[#This Row],[Sales]]*0.7)))</f>
        <v>5523.7</v>
      </c>
      <c r="I79" s="11">
        <f ca="1">Table1[[#This Row],[Sales]]-H79</f>
        <v>2974.3</v>
      </c>
      <c r="J79" s="2">
        <f ca="1">Table1[[#This Row],[Profit]]/Table1[[#This Row],[Sales]]</f>
        <v>0.35000000000000003</v>
      </c>
      <c r="K79" t="str">
        <f ca="1">TEXT(Table1[[#This Row],[Order_Date]],"mmm")</f>
        <v>Sep</v>
      </c>
      <c r="L79">
        <f ca="1">YEAR(Table1[[#This Row],[Order_Date]])</f>
        <v>2023</v>
      </c>
    </row>
    <row r="80" spans="1:12" x14ac:dyDescent="0.3">
      <c r="A80">
        <f t="shared" si="4"/>
        <v>79</v>
      </c>
      <c r="B80" s="1">
        <f t="shared" ca="1" si="5"/>
        <v>45113</v>
      </c>
      <c r="C80" t="s">
        <v>9</v>
      </c>
      <c r="D80" t="str">
        <f t="shared" ca="1" si="6"/>
        <v>Electronics</v>
      </c>
      <c r="E80" t="s">
        <v>72</v>
      </c>
      <c r="F80" s="11">
        <v>3808</v>
      </c>
      <c r="G80">
        <f t="shared" ca="1" si="7"/>
        <v>1</v>
      </c>
      <c r="H80" s="11">
        <f ca="1">IF(Table1[[#This Row],[Category]]="Electronics",Table1[[#This Row],[Sales]]*0.6,
IF(Table1[[#This Row],[Category]]="Furniture",Table1[[#This Row],[Sales]]*0.75,
IF(Table1[[#This Row],[Category]]="Clothing",Table1[[#This Row],[Sales]]*0.65,
Table1[[#This Row],[Sales]]*0.7)))</f>
        <v>2284.7999999999997</v>
      </c>
      <c r="I80" s="11">
        <f ca="1">Table1[[#This Row],[Sales]]-H80</f>
        <v>1523.2000000000003</v>
      </c>
      <c r="J80" s="2">
        <f ca="1">Table1[[#This Row],[Profit]]/Table1[[#This Row],[Sales]]</f>
        <v>0.40000000000000008</v>
      </c>
      <c r="K80" t="str">
        <f ca="1">TEXT(Table1[[#This Row],[Order_Date]],"mmm")</f>
        <v>Jul</v>
      </c>
      <c r="L80">
        <f ca="1">YEAR(Table1[[#This Row],[Order_Date]])</f>
        <v>2023</v>
      </c>
    </row>
    <row r="81" spans="1:12" x14ac:dyDescent="0.3">
      <c r="A81">
        <f t="shared" si="4"/>
        <v>80</v>
      </c>
      <c r="B81" s="1">
        <f t="shared" ca="1" si="5"/>
        <v>45088</v>
      </c>
      <c r="C81" t="s">
        <v>10</v>
      </c>
      <c r="D81" t="str">
        <f t="shared" ca="1" si="6"/>
        <v>Furniture</v>
      </c>
      <c r="E81" t="s">
        <v>84</v>
      </c>
      <c r="F81" s="11">
        <v>16736</v>
      </c>
      <c r="G81">
        <f t="shared" ca="1" si="7"/>
        <v>9</v>
      </c>
      <c r="H81" s="11">
        <f ca="1">IF(Table1[[#This Row],[Category]]="Electronics",Table1[[#This Row],[Sales]]*0.6,
IF(Table1[[#This Row],[Category]]="Furniture",Table1[[#This Row],[Sales]]*0.75,
IF(Table1[[#This Row],[Category]]="Clothing",Table1[[#This Row],[Sales]]*0.65,
Table1[[#This Row],[Sales]]*0.7)))</f>
        <v>12552</v>
      </c>
      <c r="I81" s="11">
        <f ca="1">Table1[[#This Row],[Sales]]-H81</f>
        <v>4184</v>
      </c>
      <c r="J81" s="2">
        <f ca="1">Table1[[#This Row],[Profit]]/Table1[[#This Row],[Sales]]</f>
        <v>0.25</v>
      </c>
      <c r="K81" t="str">
        <f ca="1">TEXT(Table1[[#This Row],[Order_Date]],"mmm")</f>
        <v>Jun</v>
      </c>
      <c r="L81">
        <f ca="1">YEAR(Table1[[#This Row],[Order_Date]])</f>
        <v>2023</v>
      </c>
    </row>
    <row r="82" spans="1:12" x14ac:dyDescent="0.3">
      <c r="A82">
        <f t="shared" si="4"/>
        <v>81</v>
      </c>
      <c r="B82" s="1">
        <f t="shared" ca="1" si="5"/>
        <v>45051</v>
      </c>
      <c r="C82" t="s">
        <v>7</v>
      </c>
      <c r="D82" t="str">
        <f t="shared" ca="1" si="6"/>
        <v>Furniture</v>
      </c>
      <c r="E82" t="s">
        <v>60</v>
      </c>
      <c r="F82" s="11">
        <v>4549</v>
      </c>
      <c r="G82">
        <f t="shared" ca="1" si="7"/>
        <v>2</v>
      </c>
      <c r="H82" s="11">
        <f ca="1">IF(Table1[[#This Row],[Category]]="Electronics",Table1[[#This Row],[Sales]]*0.6,
IF(Table1[[#This Row],[Category]]="Furniture",Table1[[#This Row],[Sales]]*0.75,
IF(Table1[[#This Row],[Category]]="Clothing",Table1[[#This Row],[Sales]]*0.65,
Table1[[#This Row],[Sales]]*0.7)))</f>
        <v>3411.75</v>
      </c>
      <c r="I82" s="11">
        <f ca="1">Table1[[#This Row],[Sales]]-H82</f>
        <v>1137.25</v>
      </c>
      <c r="J82" s="2">
        <f ca="1">Table1[[#This Row],[Profit]]/Table1[[#This Row],[Sales]]</f>
        <v>0.25</v>
      </c>
      <c r="K82" t="str">
        <f ca="1">TEXT(Table1[[#This Row],[Order_Date]],"mmm")</f>
        <v>May</v>
      </c>
      <c r="L82">
        <f ca="1">YEAR(Table1[[#This Row],[Order_Date]])</f>
        <v>2023</v>
      </c>
    </row>
    <row r="83" spans="1:12" x14ac:dyDescent="0.3">
      <c r="A83">
        <f t="shared" si="4"/>
        <v>82</v>
      </c>
      <c r="B83" s="1">
        <f t="shared" ca="1" si="5"/>
        <v>44969</v>
      </c>
      <c r="C83" t="s">
        <v>8</v>
      </c>
      <c r="D83" t="str">
        <f t="shared" ca="1" si="6"/>
        <v>Office Supplies</v>
      </c>
      <c r="E83" t="s">
        <v>71</v>
      </c>
      <c r="F83" s="11">
        <v>17598</v>
      </c>
      <c r="G83">
        <f t="shared" ca="1" si="7"/>
        <v>9</v>
      </c>
      <c r="H83" s="11">
        <f ca="1">IF(Table1[[#This Row],[Category]]="Electronics",Table1[[#This Row],[Sales]]*0.6,
IF(Table1[[#This Row],[Category]]="Furniture",Table1[[#This Row],[Sales]]*0.75,
IF(Table1[[#This Row],[Category]]="Clothing",Table1[[#This Row],[Sales]]*0.65,
Table1[[#This Row],[Sales]]*0.7)))</f>
        <v>12318.599999999999</v>
      </c>
      <c r="I83" s="11">
        <f ca="1">Table1[[#This Row],[Sales]]-H83</f>
        <v>5279.4000000000015</v>
      </c>
      <c r="J83" s="2">
        <f ca="1">Table1[[#This Row],[Profit]]/Table1[[#This Row],[Sales]]</f>
        <v>0.3000000000000001</v>
      </c>
      <c r="K83" t="str">
        <f ca="1">TEXT(Table1[[#This Row],[Order_Date]],"mmm")</f>
        <v>Feb</v>
      </c>
      <c r="L83">
        <f ca="1">YEAR(Table1[[#This Row],[Order_Date]])</f>
        <v>2023</v>
      </c>
    </row>
    <row r="84" spans="1:12" x14ac:dyDescent="0.3">
      <c r="A84">
        <f t="shared" si="4"/>
        <v>83</v>
      </c>
      <c r="B84" s="1">
        <f t="shared" ca="1" si="5"/>
        <v>45255</v>
      </c>
      <c r="C84" t="s">
        <v>9</v>
      </c>
      <c r="D84" t="str">
        <f t="shared" ca="1" si="6"/>
        <v>Office Supplies</v>
      </c>
      <c r="E84" t="s">
        <v>70</v>
      </c>
      <c r="F84" s="11">
        <v>17641</v>
      </c>
      <c r="G84">
        <f t="shared" ca="1" si="7"/>
        <v>6</v>
      </c>
      <c r="H84" s="11">
        <f ca="1">IF(Table1[[#This Row],[Category]]="Electronics",Table1[[#This Row],[Sales]]*0.6,
IF(Table1[[#This Row],[Category]]="Furniture",Table1[[#This Row],[Sales]]*0.75,
IF(Table1[[#This Row],[Category]]="Clothing",Table1[[#This Row],[Sales]]*0.65,
Table1[[#This Row],[Sales]]*0.7)))</f>
        <v>12348.699999999999</v>
      </c>
      <c r="I84" s="11">
        <f ca="1">Table1[[#This Row],[Sales]]-H84</f>
        <v>5292.3000000000011</v>
      </c>
      <c r="J84" s="2">
        <f ca="1">Table1[[#This Row],[Profit]]/Table1[[#This Row],[Sales]]</f>
        <v>0.30000000000000004</v>
      </c>
      <c r="K84" t="str">
        <f ca="1">TEXT(Table1[[#This Row],[Order_Date]],"mmm")</f>
        <v>Nov</v>
      </c>
      <c r="L84">
        <f ca="1">YEAR(Table1[[#This Row],[Order_Date]])</f>
        <v>2023</v>
      </c>
    </row>
    <row r="85" spans="1:12" x14ac:dyDescent="0.3">
      <c r="A85">
        <f t="shared" si="4"/>
        <v>84</v>
      </c>
      <c r="B85" s="1">
        <f t="shared" ca="1" si="5"/>
        <v>45003</v>
      </c>
      <c r="C85" t="s">
        <v>10</v>
      </c>
      <c r="D85" t="str">
        <f t="shared" ca="1" si="6"/>
        <v>Electronics</v>
      </c>
      <c r="E85" t="s">
        <v>56</v>
      </c>
      <c r="F85" s="11">
        <v>3819</v>
      </c>
      <c r="G85">
        <f t="shared" ca="1" si="7"/>
        <v>4</v>
      </c>
      <c r="H85" s="11">
        <f ca="1">IF(Table1[[#This Row],[Category]]="Electronics",Table1[[#This Row],[Sales]]*0.6,
IF(Table1[[#This Row],[Category]]="Furniture",Table1[[#This Row],[Sales]]*0.75,
IF(Table1[[#This Row],[Category]]="Clothing",Table1[[#This Row],[Sales]]*0.65,
Table1[[#This Row],[Sales]]*0.7)))</f>
        <v>2291.4</v>
      </c>
      <c r="I85" s="11">
        <f ca="1">Table1[[#This Row],[Sales]]-H85</f>
        <v>1527.6</v>
      </c>
      <c r="J85" s="2">
        <f ca="1">Table1[[#This Row],[Profit]]/Table1[[#This Row],[Sales]]</f>
        <v>0.39999999999999997</v>
      </c>
      <c r="K85" t="str">
        <f ca="1">TEXT(Table1[[#This Row],[Order_Date]],"mmm")</f>
        <v>Mar</v>
      </c>
      <c r="L85">
        <f ca="1">YEAR(Table1[[#This Row],[Order_Date]])</f>
        <v>2023</v>
      </c>
    </row>
    <row r="86" spans="1:12" x14ac:dyDescent="0.3">
      <c r="A86">
        <f t="shared" si="4"/>
        <v>85</v>
      </c>
      <c r="B86" s="1">
        <f t="shared" ca="1" si="5"/>
        <v>45208</v>
      </c>
      <c r="C86" t="s">
        <v>7</v>
      </c>
      <c r="D86" t="str">
        <f t="shared" ca="1" si="6"/>
        <v>Electronics</v>
      </c>
      <c r="E86" t="s">
        <v>47</v>
      </c>
      <c r="F86" s="11">
        <v>5126</v>
      </c>
      <c r="G86">
        <f t="shared" ca="1" si="7"/>
        <v>4</v>
      </c>
      <c r="H86" s="11">
        <f ca="1">IF(Table1[[#This Row],[Category]]="Electronics",Table1[[#This Row],[Sales]]*0.6,
IF(Table1[[#This Row],[Category]]="Furniture",Table1[[#This Row],[Sales]]*0.75,
IF(Table1[[#This Row],[Category]]="Clothing",Table1[[#This Row],[Sales]]*0.65,
Table1[[#This Row],[Sales]]*0.7)))</f>
        <v>3075.6</v>
      </c>
      <c r="I86" s="11">
        <f ca="1">Table1[[#This Row],[Sales]]-H86</f>
        <v>2050.4</v>
      </c>
      <c r="J86" s="2">
        <f ca="1">Table1[[#This Row],[Profit]]/Table1[[#This Row],[Sales]]</f>
        <v>0.4</v>
      </c>
      <c r="K86" t="str">
        <f ca="1">TEXT(Table1[[#This Row],[Order_Date]],"mmm")</f>
        <v>Oct</v>
      </c>
      <c r="L86">
        <f ca="1">YEAR(Table1[[#This Row],[Order_Date]])</f>
        <v>2023</v>
      </c>
    </row>
    <row r="87" spans="1:12" x14ac:dyDescent="0.3">
      <c r="A87">
        <f t="shared" si="4"/>
        <v>86</v>
      </c>
      <c r="B87" s="1">
        <f t="shared" ca="1" si="5"/>
        <v>45204</v>
      </c>
      <c r="C87" t="s">
        <v>8</v>
      </c>
      <c r="D87" t="str">
        <f t="shared" ca="1" si="6"/>
        <v>Office Supplies</v>
      </c>
      <c r="E87" t="s">
        <v>52</v>
      </c>
      <c r="F87" s="11">
        <v>4444</v>
      </c>
      <c r="G87">
        <f t="shared" ca="1" si="7"/>
        <v>6</v>
      </c>
      <c r="H87" s="11">
        <f ca="1">IF(Table1[[#This Row],[Category]]="Electronics",Table1[[#This Row],[Sales]]*0.6,
IF(Table1[[#This Row],[Category]]="Furniture",Table1[[#This Row],[Sales]]*0.75,
IF(Table1[[#This Row],[Category]]="Clothing",Table1[[#This Row],[Sales]]*0.65,
Table1[[#This Row],[Sales]]*0.7)))</f>
        <v>3110.7999999999997</v>
      </c>
      <c r="I87" s="11">
        <f ca="1">Table1[[#This Row],[Sales]]-H87</f>
        <v>1333.2000000000003</v>
      </c>
      <c r="J87" s="2">
        <f ca="1">Table1[[#This Row],[Profit]]/Table1[[#This Row],[Sales]]</f>
        <v>0.30000000000000004</v>
      </c>
      <c r="K87" t="str">
        <f ca="1">TEXT(Table1[[#This Row],[Order_Date]],"mmm")</f>
        <v>Oct</v>
      </c>
      <c r="L87">
        <f ca="1">YEAR(Table1[[#This Row],[Order_Date]])</f>
        <v>2023</v>
      </c>
    </row>
    <row r="88" spans="1:12" x14ac:dyDescent="0.3">
      <c r="A88">
        <f t="shared" si="4"/>
        <v>87</v>
      </c>
      <c r="B88" s="1">
        <f t="shared" ca="1" si="5"/>
        <v>45097</v>
      </c>
      <c r="C88" t="s">
        <v>9</v>
      </c>
      <c r="D88" t="str">
        <f t="shared" ca="1" si="6"/>
        <v>Office Supplies</v>
      </c>
      <c r="E88" t="s">
        <v>58</v>
      </c>
      <c r="F88" s="11">
        <v>1082</v>
      </c>
      <c r="G88">
        <f t="shared" ca="1" si="7"/>
        <v>10</v>
      </c>
      <c r="H88" s="11">
        <f ca="1">IF(Table1[[#This Row],[Category]]="Electronics",Table1[[#This Row],[Sales]]*0.6,
IF(Table1[[#This Row],[Category]]="Furniture",Table1[[#This Row],[Sales]]*0.75,
IF(Table1[[#This Row],[Category]]="Clothing",Table1[[#This Row],[Sales]]*0.65,
Table1[[#This Row],[Sales]]*0.7)))</f>
        <v>757.4</v>
      </c>
      <c r="I88" s="11">
        <f ca="1">Table1[[#This Row],[Sales]]-H88</f>
        <v>324.60000000000002</v>
      </c>
      <c r="J88" s="2">
        <f ca="1">Table1[[#This Row],[Profit]]/Table1[[#This Row],[Sales]]</f>
        <v>0.30000000000000004</v>
      </c>
      <c r="K88" t="str">
        <f ca="1">TEXT(Table1[[#This Row],[Order_Date]],"mmm")</f>
        <v>Jun</v>
      </c>
      <c r="L88">
        <f ca="1">YEAR(Table1[[#This Row],[Order_Date]])</f>
        <v>2023</v>
      </c>
    </row>
    <row r="89" spans="1:12" x14ac:dyDescent="0.3">
      <c r="A89">
        <f t="shared" si="4"/>
        <v>88</v>
      </c>
      <c r="B89" s="1">
        <f t="shared" ca="1" si="5"/>
        <v>45122</v>
      </c>
      <c r="C89" t="s">
        <v>10</v>
      </c>
      <c r="D89" t="str">
        <f t="shared" ca="1" si="6"/>
        <v>Electronics</v>
      </c>
      <c r="E89" t="s">
        <v>47</v>
      </c>
      <c r="F89" s="11">
        <v>6012</v>
      </c>
      <c r="G89">
        <f t="shared" ca="1" si="7"/>
        <v>3</v>
      </c>
      <c r="H89" s="11">
        <f ca="1">IF(Table1[[#This Row],[Category]]="Electronics",Table1[[#This Row],[Sales]]*0.6,
IF(Table1[[#This Row],[Category]]="Furniture",Table1[[#This Row],[Sales]]*0.75,
IF(Table1[[#This Row],[Category]]="Clothing",Table1[[#This Row],[Sales]]*0.65,
Table1[[#This Row],[Sales]]*0.7)))</f>
        <v>3607.2</v>
      </c>
      <c r="I89" s="11">
        <f ca="1">Table1[[#This Row],[Sales]]-H89</f>
        <v>2404.8000000000002</v>
      </c>
      <c r="J89" s="2">
        <f ca="1">Table1[[#This Row],[Profit]]/Table1[[#This Row],[Sales]]</f>
        <v>0.4</v>
      </c>
      <c r="K89" t="str">
        <f ca="1">TEXT(Table1[[#This Row],[Order_Date]],"mmm")</f>
        <v>Jul</v>
      </c>
      <c r="L89">
        <f ca="1">YEAR(Table1[[#This Row],[Order_Date]])</f>
        <v>2023</v>
      </c>
    </row>
    <row r="90" spans="1:12" x14ac:dyDescent="0.3">
      <c r="A90">
        <f t="shared" si="4"/>
        <v>89</v>
      </c>
      <c r="B90" s="1">
        <f t="shared" ca="1" si="5"/>
        <v>45112</v>
      </c>
      <c r="C90" t="s">
        <v>7</v>
      </c>
      <c r="D90" t="str">
        <f t="shared" ca="1" si="6"/>
        <v>Electronics</v>
      </c>
      <c r="E90" t="s">
        <v>70</v>
      </c>
      <c r="F90" s="11">
        <v>8710</v>
      </c>
      <c r="G90">
        <f t="shared" ca="1" si="7"/>
        <v>6</v>
      </c>
      <c r="H90" s="11">
        <f ca="1">IF(Table1[[#This Row],[Category]]="Electronics",Table1[[#This Row],[Sales]]*0.6,
IF(Table1[[#This Row],[Category]]="Furniture",Table1[[#This Row],[Sales]]*0.75,
IF(Table1[[#This Row],[Category]]="Clothing",Table1[[#This Row],[Sales]]*0.65,
Table1[[#This Row],[Sales]]*0.7)))</f>
        <v>5226</v>
      </c>
      <c r="I90" s="11">
        <f ca="1">Table1[[#This Row],[Sales]]-H90</f>
        <v>3484</v>
      </c>
      <c r="J90" s="2">
        <f ca="1">Table1[[#This Row],[Profit]]/Table1[[#This Row],[Sales]]</f>
        <v>0.4</v>
      </c>
      <c r="K90" t="str">
        <f ca="1">TEXT(Table1[[#This Row],[Order_Date]],"mmm")</f>
        <v>Jul</v>
      </c>
      <c r="L90">
        <f ca="1">YEAR(Table1[[#This Row],[Order_Date]])</f>
        <v>2023</v>
      </c>
    </row>
    <row r="91" spans="1:12" x14ac:dyDescent="0.3">
      <c r="A91">
        <f t="shared" si="4"/>
        <v>90</v>
      </c>
      <c r="B91" s="1">
        <f t="shared" ca="1" si="5"/>
        <v>45099</v>
      </c>
      <c r="C91" t="s">
        <v>8</v>
      </c>
      <c r="D91" t="str">
        <f t="shared" ca="1" si="6"/>
        <v>Electronics</v>
      </c>
      <c r="E91" t="s">
        <v>62</v>
      </c>
      <c r="F91" s="11">
        <v>12085</v>
      </c>
      <c r="G91">
        <f t="shared" ca="1" si="7"/>
        <v>7</v>
      </c>
      <c r="H91" s="11">
        <f ca="1">IF(Table1[[#This Row],[Category]]="Electronics",Table1[[#This Row],[Sales]]*0.6,
IF(Table1[[#This Row],[Category]]="Furniture",Table1[[#This Row],[Sales]]*0.75,
IF(Table1[[#This Row],[Category]]="Clothing",Table1[[#This Row],[Sales]]*0.65,
Table1[[#This Row],[Sales]]*0.7)))</f>
        <v>7251</v>
      </c>
      <c r="I91" s="11">
        <f ca="1">Table1[[#This Row],[Sales]]-H91</f>
        <v>4834</v>
      </c>
      <c r="J91" s="2">
        <f ca="1">Table1[[#This Row],[Profit]]/Table1[[#This Row],[Sales]]</f>
        <v>0.4</v>
      </c>
      <c r="K91" t="str">
        <f ca="1">TEXT(Table1[[#This Row],[Order_Date]],"mmm")</f>
        <v>Jun</v>
      </c>
      <c r="L91">
        <f ca="1">YEAR(Table1[[#This Row],[Order_Date]])</f>
        <v>2023</v>
      </c>
    </row>
    <row r="92" spans="1:12" x14ac:dyDescent="0.3">
      <c r="A92">
        <f t="shared" si="4"/>
        <v>91</v>
      </c>
      <c r="B92" s="1">
        <f t="shared" ca="1" si="5"/>
        <v>45084</v>
      </c>
      <c r="C92" t="s">
        <v>9</v>
      </c>
      <c r="D92" t="str">
        <f t="shared" ca="1" si="6"/>
        <v>Furniture</v>
      </c>
      <c r="E92" t="s">
        <v>74</v>
      </c>
      <c r="F92" s="11">
        <v>19569</v>
      </c>
      <c r="G92">
        <f t="shared" ca="1" si="7"/>
        <v>3</v>
      </c>
      <c r="H92" s="11">
        <f ca="1">IF(Table1[[#This Row],[Category]]="Electronics",Table1[[#This Row],[Sales]]*0.6,
IF(Table1[[#This Row],[Category]]="Furniture",Table1[[#This Row],[Sales]]*0.75,
IF(Table1[[#This Row],[Category]]="Clothing",Table1[[#This Row],[Sales]]*0.65,
Table1[[#This Row],[Sales]]*0.7)))</f>
        <v>14676.75</v>
      </c>
      <c r="I92" s="11">
        <f ca="1">Table1[[#This Row],[Sales]]-H92</f>
        <v>4892.25</v>
      </c>
      <c r="J92" s="2">
        <f ca="1">Table1[[#This Row],[Profit]]/Table1[[#This Row],[Sales]]</f>
        <v>0.25</v>
      </c>
      <c r="K92" t="str">
        <f ca="1">TEXT(Table1[[#This Row],[Order_Date]],"mmm")</f>
        <v>Jun</v>
      </c>
      <c r="L92">
        <f ca="1">YEAR(Table1[[#This Row],[Order_Date]])</f>
        <v>2023</v>
      </c>
    </row>
    <row r="93" spans="1:12" x14ac:dyDescent="0.3">
      <c r="A93">
        <f t="shared" si="4"/>
        <v>92</v>
      </c>
      <c r="B93" s="1">
        <f t="shared" ca="1" si="5"/>
        <v>45072</v>
      </c>
      <c r="C93" t="s">
        <v>10</v>
      </c>
      <c r="D93" t="str">
        <f t="shared" ca="1" si="6"/>
        <v>Electronics</v>
      </c>
      <c r="E93" t="s">
        <v>36</v>
      </c>
      <c r="F93" s="11">
        <v>2748</v>
      </c>
      <c r="G93">
        <f t="shared" ca="1" si="7"/>
        <v>2</v>
      </c>
      <c r="H93" s="11">
        <f ca="1">IF(Table1[[#This Row],[Category]]="Electronics",Table1[[#This Row],[Sales]]*0.6,
IF(Table1[[#This Row],[Category]]="Furniture",Table1[[#This Row],[Sales]]*0.75,
IF(Table1[[#This Row],[Category]]="Clothing",Table1[[#This Row],[Sales]]*0.65,
Table1[[#This Row],[Sales]]*0.7)))</f>
        <v>1648.8</v>
      </c>
      <c r="I93" s="11">
        <f ca="1">Table1[[#This Row],[Sales]]-H93</f>
        <v>1099.2</v>
      </c>
      <c r="J93" s="2">
        <f ca="1">Table1[[#This Row],[Profit]]/Table1[[#This Row],[Sales]]</f>
        <v>0.4</v>
      </c>
      <c r="K93" t="str">
        <f ca="1">TEXT(Table1[[#This Row],[Order_Date]],"mmm")</f>
        <v>May</v>
      </c>
      <c r="L93">
        <f ca="1">YEAR(Table1[[#This Row],[Order_Date]])</f>
        <v>2023</v>
      </c>
    </row>
    <row r="94" spans="1:12" x14ac:dyDescent="0.3">
      <c r="A94">
        <f t="shared" si="4"/>
        <v>93</v>
      </c>
      <c r="B94" s="1">
        <f t="shared" ca="1" si="5"/>
        <v>45068</v>
      </c>
      <c r="C94" t="s">
        <v>7</v>
      </c>
      <c r="D94" t="str">
        <f t="shared" ca="1" si="6"/>
        <v>Electronics</v>
      </c>
      <c r="E94" t="s">
        <v>65</v>
      </c>
      <c r="F94" s="11">
        <v>9448</v>
      </c>
      <c r="G94">
        <f t="shared" ca="1" si="7"/>
        <v>8</v>
      </c>
      <c r="H94" s="11">
        <f ca="1">IF(Table1[[#This Row],[Category]]="Electronics",Table1[[#This Row],[Sales]]*0.6,
IF(Table1[[#This Row],[Category]]="Furniture",Table1[[#This Row],[Sales]]*0.75,
IF(Table1[[#This Row],[Category]]="Clothing",Table1[[#This Row],[Sales]]*0.65,
Table1[[#This Row],[Sales]]*0.7)))</f>
        <v>5668.8</v>
      </c>
      <c r="I94" s="11">
        <f ca="1">Table1[[#This Row],[Sales]]-H94</f>
        <v>3779.2</v>
      </c>
      <c r="J94" s="2">
        <f ca="1">Table1[[#This Row],[Profit]]/Table1[[#This Row],[Sales]]</f>
        <v>0.39999999999999997</v>
      </c>
      <c r="K94" t="str">
        <f ca="1">TEXT(Table1[[#This Row],[Order_Date]],"mmm")</f>
        <v>May</v>
      </c>
      <c r="L94">
        <f ca="1">YEAR(Table1[[#This Row],[Order_Date]])</f>
        <v>2023</v>
      </c>
    </row>
    <row r="95" spans="1:12" x14ac:dyDescent="0.3">
      <c r="A95">
        <f t="shared" si="4"/>
        <v>94</v>
      </c>
      <c r="B95" s="1">
        <f t="shared" ca="1" si="5"/>
        <v>44988</v>
      </c>
      <c r="C95" t="s">
        <v>8</v>
      </c>
      <c r="D95" t="str">
        <f t="shared" ca="1" si="6"/>
        <v>Office Supplies</v>
      </c>
      <c r="E95" t="s">
        <v>50</v>
      </c>
      <c r="F95" s="11">
        <v>5976</v>
      </c>
      <c r="G95">
        <f t="shared" ca="1" si="7"/>
        <v>7</v>
      </c>
      <c r="H95" s="11">
        <f ca="1">IF(Table1[[#This Row],[Category]]="Electronics",Table1[[#This Row],[Sales]]*0.6,
IF(Table1[[#This Row],[Category]]="Furniture",Table1[[#This Row],[Sales]]*0.75,
IF(Table1[[#This Row],[Category]]="Clothing",Table1[[#This Row],[Sales]]*0.65,
Table1[[#This Row],[Sales]]*0.7)))</f>
        <v>4183.2</v>
      </c>
      <c r="I95" s="11">
        <f ca="1">Table1[[#This Row],[Sales]]-H95</f>
        <v>1792.8000000000002</v>
      </c>
      <c r="J95" s="2">
        <f ca="1">Table1[[#This Row],[Profit]]/Table1[[#This Row],[Sales]]</f>
        <v>0.30000000000000004</v>
      </c>
      <c r="K95" t="str">
        <f ca="1">TEXT(Table1[[#This Row],[Order_Date]],"mmm")</f>
        <v>Mar</v>
      </c>
      <c r="L95">
        <f ca="1">YEAR(Table1[[#This Row],[Order_Date]])</f>
        <v>2023</v>
      </c>
    </row>
    <row r="96" spans="1:12" x14ac:dyDescent="0.3">
      <c r="A96">
        <f t="shared" si="4"/>
        <v>95</v>
      </c>
      <c r="B96" s="1">
        <f t="shared" ca="1" si="5"/>
        <v>45164</v>
      </c>
      <c r="C96" t="s">
        <v>9</v>
      </c>
      <c r="D96" t="str">
        <f t="shared" ca="1" si="6"/>
        <v>Clothing</v>
      </c>
      <c r="E96" t="s">
        <v>44</v>
      </c>
      <c r="F96" s="11">
        <v>17534</v>
      </c>
      <c r="G96">
        <f t="shared" ca="1" si="7"/>
        <v>1</v>
      </c>
      <c r="H96" s="11">
        <f ca="1">IF(Table1[[#This Row],[Category]]="Electronics",Table1[[#This Row],[Sales]]*0.6,
IF(Table1[[#This Row],[Category]]="Furniture",Table1[[#This Row],[Sales]]*0.75,
IF(Table1[[#This Row],[Category]]="Clothing",Table1[[#This Row],[Sales]]*0.65,
Table1[[#This Row],[Sales]]*0.7)))</f>
        <v>11397.1</v>
      </c>
      <c r="I96" s="11">
        <f ca="1">Table1[[#This Row],[Sales]]-H96</f>
        <v>6136.9</v>
      </c>
      <c r="J96" s="2">
        <f ca="1">Table1[[#This Row],[Profit]]/Table1[[#This Row],[Sales]]</f>
        <v>0.35</v>
      </c>
      <c r="K96" t="str">
        <f ca="1">TEXT(Table1[[#This Row],[Order_Date]],"mmm")</f>
        <v>Aug</v>
      </c>
      <c r="L96">
        <f ca="1">YEAR(Table1[[#This Row],[Order_Date]])</f>
        <v>2023</v>
      </c>
    </row>
    <row r="97" spans="1:12" x14ac:dyDescent="0.3">
      <c r="A97">
        <f t="shared" si="4"/>
        <v>96</v>
      </c>
      <c r="B97" s="1">
        <f t="shared" ca="1" si="5"/>
        <v>44939</v>
      </c>
      <c r="C97" t="s">
        <v>10</v>
      </c>
      <c r="D97" t="str">
        <f t="shared" ca="1" si="6"/>
        <v>Office Supplies</v>
      </c>
      <c r="E97" t="s">
        <v>66</v>
      </c>
      <c r="F97" s="11">
        <v>17087</v>
      </c>
      <c r="G97">
        <f t="shared" ca="1" si="7"/>
        <v>7</v>
      </c>
      <c r="H97" s="11">
        <f ca="1">IF(Table1[[#This Row],[Category]]="Electronics",Table1[[#This Row],[Sales]]*0.6,
IF(Table1[[#This Row],[Category]]="Furniture",Table1[[#This Row],[Sales]]*0.75,
IF(Table1[[#This Row],[Category]]="Clothing",Table1[[#This Row],[Sales]]*0.65,
Table1[[#This Row],[Sales]]*0.7)))</f>
        <v>11960.9</v>
      </c>
      <c r="I97" s="11">
        <f ca="1">Table1[[#This Row],[Sales]]-H97</f>
        <v>5126.1000000000004</v>
      </c>
      <c r="J97" s="2">
        <f ca="1">Table1[[#This Row],[Profit]]/Table1[[#This Row],[Sales]]</f>
        <v>0.30000000000000004</v>
      </c>
      <c r="K97" t="str">
        <f ca="1">TEXT(Table1[[#This Row],[Order_Date]],"mmm")</f>
        <v>Jan</v>
      </c>
      <c r="L97">
        <f ca="1">YEAR(Table1[[#This Row],[Order_Date]])</f>
        <v>2023</v>
      </c>
    </row>
    <row r="98" spans="1:12" x14ac:dyDescent="0.3">
      <c r="A98">
        <f t="shared" si="4"/>
        <v>97</v>
      </c>
      <c r="B98" s="1">
        <f t="shared" ca="1" si="5"/>
        <v>45096</v>
      </c>
      <c r="C98" t="s">
        <v>7</v>
      </c>
      <c r="D98" t="str">
        <f t="shared" ca="1" si="6"/>
        <v>Clothing</v>
      </c>
      <c r="E98" t="s">
        <v>47</v>
      </c>
      <c r="F98" s="11">
        <v>11046</v>
      </c>
      <c r="G98">
        <f t="shared" ca="1" si="7"/>
        <v>2</v>
      </c>
      <c r="H98" s="11">
        <f ca="1">IF(Table1[[#This Row],[Category]]="Electronics",Table1[[#This Row],[Sales]]*0.6,
IF(Table1[[#This Row],[Category]]="Furniture",Table1[[#This Row],[Sales]]*0.75,
IF(Table1[[#This Row],[Category]]="Clothing",Table1[[#This Row],[Sales]]*0.65,
Table1[[#This Row],[Sales]]*0.7)))</f>
        <v>7179.9000000000005</v>
      </c>
      <c r="I98" s="11">
        <f ca="1">Table1[[#This Row],[Sales]]-H98</f>
        <v>3866.0999999999995</v>
      </c>
      <c r="J98" s="2">
        <f ca="1">Table1[[#This Row],[Profit]]/Table1[[#This Row],[Sales]]</f>
        <v>0.35</v>
      </c>
      <c r="K98" t="str">
        <f ca="1">TEXT(Table1[[#This Row],[Order_Date]],"mmm")</f>
        <v>Jun</v>
      </c>
      <c r="L98">
        <f ca="1">YEAR(Table1[[#This Row],[Order_Date]])</f>
        <v>2023</v>
      </c>
    </row>
    <row r="99" spans="1:12" x14ac:dyDescent="0.3">
      <c r="A99">
        <f t="shared" si="4"/>
        <v>98</v>
      </c>
      <c r="B99" s="1">
        <f t="shared" ca="1" si="5"/>
        <v>44975</v>
      </c>
      <c r="C99" t="s">
        <v>8</v>
      </c>
      <c r="D99" t="str">
        <f t="shared" ca="1" si="6"/>
        <v>Furniture</v>
      </c>
      <c r="E99" t="s">
        <v>50</v>
      </c>
      <c r="F99" s="11">
        <v>1800</v>
      </c>
      <c r="G99">
        <f t="shared" ca="1" si="7"/>
        <v>10</v>
      </c>
      <c r="H99" s="11">
        <f ca="1">IF(Table1[[#This Row],[Category]]="Electronics",Table1[[#This Row],[Sales]]*0.6,
IF(Table1[[#This Row],[Category]]="Furniture",Table1[[#This Row],[Sales]]*0.75,
IF(Table1[[#This Row],[Category]]="Clothing",Table1[[#This Row],[Sales]]*0.65,
Table1[[#This Row],[Sales]]*0.7)))</f>
        <v>1350</v>
      </c>
      <c r="I99" s="11">
        <f ca="1">Table1[[#This Row],[Sales]]-H99</f>
        <v>450</v>
      </c>
      <c r="J99" s="2">
        <f ca="1">Table1[[#This Row],[Profit]]/Table1[[#This Row],[Sales]]</f>
        <v>0.25</v>
      </c>
      <c r="K99" t="str">
        <f ca="1">TEXT(Table1[[#This Row],[Order_Date]],"mmm")</f>
        <v>Feb</v>
      </c>
      <c r="L99">
        <f ca="1">YEAR(Table1[[#This Row],[Order_Date]])</f>
        <v>2023</v>
      </c>
    </row>
    <row r="100" spans="1:12" x14ac:dyDescent="0.3">
      <c r="A100">
        <f t="shared" si="4"/>
        <v>99</v>
      </c>
      <c r="B100" s="1">
        <f t="shared" ca="1" si="5"/>
        <v>45055</v>
      </c>
      <c r="C100" t="s">
        <v>9</v>
      </c>
      <c r="D100" t="str">
        <f t="shared" ca="1" si="6"/>
        <v>Electronics</v>
      </c>
      <c r="E100" t="s">
        <v>84</v>
      </c>
      <c r="F100" s="11">
        <v>8722</v>
      </c>
      <c r="G100">
        <f t="shared" ca="1" si="7"/>
        <v>2</v>
      </c>
      <c r="H100" s="11">
        <f ca="1">IF(Table1[[#This Row],[Category]]="Electronics",Table1[[#This Row],[Sales]]*0.6,
IF(Table1[[#This Row],[Category]]="Furniture",Table1[[#This Row],[Sales]]*0.75,
IF(Table1[[#This Row],[Category]]="Clothing",Table1[[#This Row],[Sales]]*0.65,
Table1[[#This Row],[Sales]]*0.7)))</f>
        <v>5233.2</v>
      </c>
      <c r="I100" s="11">
        <f ca="1">Table1[[#This Row],[Sales]]-H100</f>
        <v>3488.8</v>
      </c>
      <c r="J100" s="2">
        <f ca="1">Table1[[#This Row],[Profit]]/Table1[[#This Row],[Sales]]</f>
        <v>0.4</v>
      </c>
      <c r="K100" t="str">
        <f ca="1">TEXT(Table1[[#This Row],[Order_Date]],"mmm")</f>
        <v>May</v>
      </c>
      <c r="L100">
        <f ca="1">YEAR(Table1[[#This Row],[Order_Date]])</f>
        <v>2023</v>
      </c>
    </row>
    <row r="101" spans="1:12" x14ac:dyDescent="0.3">
      <c r="A101">
        <f t="shared" si="4"/>
        <v>100</v>
      </c>
      <c r="B101" s="1">
        <f t="shared" ca="1" si="5"/>
        <v>45062</v>
      </c>
      <c r="C101" t="s">
        <v>10</v>
      </c>
      <c r="D101" t="str">
        <f t="shared" ca="1" si="6"/>
        <v>Office Supplies</v>
      </c>
      <c r="E101" t="s">
        <v>78</v>
      </c>
      <c r="F101" s="11">
        <v>4829</v>
      </c>
      <c r="G101">
        <f t="shared" ca="1" si="7"/>
        <v>8</v>
      </c>
      <c r="H101" s="11">
        <f ca="1">IF(Table1[[#This Row],[Category]]="Electronics",Table1[[#This Row],[Sales]]*0.6,
IF(Table1[[#This Row],[Category]]="Furniture",Table1[[#This Row],[Sales]]*0.75,
IF(Table1[[#This Row],[Category]]="Clothing",Table1[[#This Row],[Sales]]*0.65,
Table1[[#This Row],[Sales]]*0.7)))</f>
        <v>3380.2999999999997</v>
      </c>
      <c r="I101" s="11">
        <f ca="1">Table1[[#This Row],[Sales]]-H101</f>
        <v>1448.7000000000003</v>
      </c>
      <c r="J101" s="2">
        <f ca="1">Table1[[#This Row],[Profit]]/Table1[[#This Row],[Sales]]</f>
        <v>0.30000000000000004</v>
      </c>
      <c r="K101" t="str">
        <f ca="1">TEXT(Table1[[#This Row],[Order_Date]],"mmm")</f>
        <v>May</v>
      </c>
      <c r="L101">
        <f ca="1">YEAR(Table1[[#This Row],[Order_Date]])</f>
        <v>2023</v>
      </c>
    </row>
    <row r="102" spans="1:12" x14ac:dyDescent="0.3">
      <c r="A102">
        <f t="shared" si="4"/>
        <v>101</v>
      </c>
      <c r="B102" s="1">
        <f t="shared" ca="1" si="5"/>
        <v>45238</v>
      </c>
      <c r="C102" t="s">
        <v>7</v>
      </c>
      <c r="D102" t="str">
        <f t="shared" ca="1" si="6"/>
        <v>Clothing</v>
      </c>
      <c r="E102" t="s">
        <v>50</v>
      </c>
      <c r="F102" s="11">
        <v>13190</v>
      </c>
      <c r="G102">
        <f t="shared" ca="1" si="7"/>
        <v>9</v>
      </c>
      <c r="H102" s="11">
        <f ca="1">IF(Table1[[#This Row],[Category]]="Electronics",Table1[[#This Row],[Sales]]*0.6,
IF(Table1[[#This Row],[Category]]="Furniture",Table1[[#This Row],[Sales]]*0.75,
IF(Table1[[#This Row],[Category]]="Clothing",Table1[[#This Row],[Sales]]*0.65,
Table1[[#This Row],[Sales]]*0.7)))</f>
        <v>8573.5</v>
      </c>
      <c r="I102" s="11">
        <f ca="1">Table1[[#This Row],[Sales]]-H102</f>
        <v>4616.5</v>
      </c>
      <c r="J102" s="2">
        <f ca="1">Table1[[#This Row],[Profit]]/Table1[[#This Row],[Sales]]</f>
        <v>0.35</v>
      </c>
      <c r="K102" t="str">
        <f ca="1">TEXT(Table1[[#This Row],[Order_Date]],"mmm")</f>
        <v>Nov</v>
      </c>
      <c r="L102">
        <f ca="1">YEAR(Table1[[#This Row],[Order_Date]])</f>
        <v>2023</v>
      </c>
    </row>
    <row r="103" spans="1:12" x14ac:dyDescent="0.3">
      <c r="A103">
        <f t="shared" si="4"/>
        <v>102</v>
      </c>
      <c r="B103" s="1">
        <f t="shared" ca="1" si="5"/>
        <v>45148</v>
      </c>
      <c r="C103" t="s">
        <v>8</v>
      </c>
      <c r="D103" t="str">
        <f t="shared" ca="1" si="6"/>
        <v>Furniture</v>
      </c>
      <c r="E103" t="s">
        <v>82</v>
      </c>
      <c r="F103" s="11">
        <v>11869</v>
      </c>
      <c r="G103">
        <f t="shared" ca="1" si="7"/>
        <v>3</v>
      </c>
      <c r="H103" s="11">
        <f ca="1">IF(Table1[[#This Row],[Category]]="Electronics",Table1[[#This Row],[Sales]]*0.6,
IF(Table1[[#This Row],[Category]]="Furniture",Table1[[#This Row],[Sales]]*0.75,
IF(Table1[[#This Row],[Category]]="Clothing",Table1[[#This Row],[Sales]]*0.65,
Table1[[#This Row],[Sales]]*0.7)))</f>
        <v>8901.75</v>
      </c>
      <c r="I103" s="11">
        <f ca="1">Table1[[#This Row],[Sales]]-H103</f>
        <v>2967.25</v>
      </c>
      <c r="J103" s="2">
        <f ca="1">Table1[[#This Row],[Profit]]/Table1[[#This Row],[Sales]]</f>
        <v>0.25</v>
      </c>
      <c r="K103" t="str">
        <f ca="1">TEXT(Table1[[#This Row],[Order_Date]],"mmm")</f>
        <v>Aug</v>
      </c>
      <c r="L103">
        <f ca="1">YEAR(Table1[[#This Row],[Order_Date]])</f>
        <v>2023</v>
      </c>
    </row>
    <row r="104" spans="1:12" x14ac:dyDescent="0.3">
      <c r="A104">
        <f t="shared" si="4"/>
        <v>103</v>
      </c>
      <c r="B104" s="1">
        <f t="shared" ca="1" si="5"/>
        <v>45201</v>
      </c>
      <c r="C104" t="s">
        <v>9</v>
      </c>
      <c r="D104" t="str">
        <f t="shared" ca="1" si="6"/>
        <v>Electronics</v>
      </c>
      <c r="E104" t="s">
        <v>39</v>
      </c>
      <c r="F104" s="11">
        <v>3153</v>
      </c>
      <c r="G104">
        <f t="shared" ca="1" si="7"/>
        <v>5</v>
      </c>
      <c r="H104" s="11">
        <f ca="1">IF(Table1[[#This Row],[Category]]="Electronics",Table1[[#This Row],[Sales]]*0.6,
IF(Table1[[#This Row],[Category]]="Furniture",Table1[[#This Row],[Sales]]*0.75,
IF(Table1[[#This Row],[Category]]="Clothing",Table1[[#This Row],[Sales]]*0.65,
Table1[[#This Row],[Sales]]*0.7)))</f>
        <v>1891.8</v>
      </c>
      <c r="I104" s="11">
        <f ca="1">Table1[[#This Row],[Sales]]-H104</f>
        <v>1261.2</v>
      </c>
      <c r="J104" s="2">
        <f ca="1">Table1[[#This Row],[Profit]]/Table1[[#This Row],[Sales]]</f>
        <v>0.4</v>
      </c>
      <c r="K104" t="str">
        <f ca="1">TEXT(Table1[[#This Row],[Order_Date]],"mmm")</f>
        <v>Oct</v>
      </c>
      <c r="L104">
        <f ca="1">YEAR(Table1[[#This Row],[Order_Date]])</f>
        <v>2023</v>
      </c>
    </row>
    <row r="105" spans="1:12" x14ac:dyDescent="0.3">
      <c r="A105">
        <f t="shared" si="4"/>
        <v>104</v>
      </c>
      <c r="B105" s="1">
        <f t="shared" ca="1" si="5"/>
        <v>45163</v>
      </c>
      <c r="C105" t="s">
        <v>10</v>
      </c>
      <c r="D105" t="str">
        <f t="shared" ca="1" si="6"/>
        <v>Clothing</v>
      </c>
      <c r="E105" t="s">
        <v>72</v>
      </c>
      <c r="F105" s="11">
        <v>9220</v>
      </c>
      <c r="G105">
        <f t="shared" ca="1" si="7"/>
        <v>10</v>
      </c>
      <c r="H105" s="11">
        <f ca="1">IF(Table1[[#This Row],[Category]]="Electronics",Table1[[#This Row],[Sales]]*0.6,
IF(Table1[[#This Row],[Category]]="Furniture",Table1[[#This Row],[Sales]]*0.75,
IF(Table1[[#This Row],[Category]]="Clothing",Table1[[#This Row],[Sales]]*0.65,
Table1[[#This Row],[Sales]]*0.7)))</f>
        <v>5993</v>
      </c>
      <c r="I105" s="11">
        <f ca="1">Table1[[#This Row],[Sales]]-H105</f>
        <v>3227</v>
      </c>
      <c r="J105" s="2">
        <f ca="1">Table1[[#This Row],[Profit]]/Table1[[#This Row],[Sales]]</f>
        <v>0.35</v>
      </c>
      <c r="K105" t="str">
        <f ca="1">TEXT(Table1[[#This Row],[Order_Date]],"mmm")</f>
        <v>Aug</v>
      </c>
      <c r="L105">
        <f ca="1">YEAR(Table1[[#This Row],[Order_Date]])</f>
        <v>2023</v>
      </c>
    </row>
    <row r="106" spans="1:12" x14ac:dyDescent="0.3">
      <c r="A106">
        <f t="shared" si="4"/>
        <v>105</v>
      </c>
      <c r="B106" s="1">
        <f t="shared" ca="1" si="5"/>
        <v>45141</v>
      </c>
      <c r="C106" t="s">
        <v>7</v>
      </c>
      <c r="D106" t="str">
        <f t="shared" ca="1" si="6"/>
        <v>Clothing</v>
      </c>
      <c r="E106" t="s">
        <v>58</v>
      </c>
      <c r="F106" s="11">
        <v>16505</v>
      </c>
      <c r="G106">
        <f t="shared" ca="1" si="7"/>
        <v>5</v>
      </c>
      <c r="H106" s="11">
        <f ca="1">IF(Table1[[#This Row],[Category]]="Electronics",Table1[[#This Row],[Sales]]*0.6,
IF(Table1[[#This Row],[Category]]="Furniture",Table1[[#This Row],[Sales]]*0.75,
IF(Table1[[#This Row],[Category]]="Clothing",Table1[[#This Row],[Sales]]*0.65,
Table1[[#This Row],[Sales]]*0.7)))</f>
        <v>10728.25</v>
      </c>
      <c r="I106" s="11">
        <f ca="1">Table1[[#This Row],[Sales]]-H106</f>
        <v>5776.75</v>
      </c>
      <c r="J106" s="2">
        <f ca="1">Table1[[#This Row],[Profit]]/Table1[[#This Row],[Sales]]</f>
        <v>0.35</v>
      </c>
      <c r="K106" t="str">
        <f ca="1">TEXT(Table1[[#This Row],[Order_Date]],"mmm")</f>
        <v>Aug</v>
      </c>
      <c r="L106">
        <f ca="1">YEAR(Table1[[#This Row],[Order_Date]])</f>
        <v>2023</v>
      </c>
    </row>
    <row r="107" spans="1:12" x14ac:dyDescent="0.3">
      <c r="A107">
        <f t="shared" si="4"/>
        <v>106</v>
      </c>
      <c r="B107" s="1">
        <f t="shared" ca="1" si="5"/>
        <v>45049</v>
      </c>
      <c r="C107" t="s">
        <v>8</v>
      </c>
      <c r="D107" t="str">
        <f t="shared" ca="1" si="6"/>
        <v>Clothing</v>
      </c>
      <c r="E107" t="s">
        <v>54</v>
      </c>
      <c r="F107" s="11">
        <v>4996</v>
      </c>
      <c r="G107">
        <f t="shared" ca="1" si="7"/>
        <v>10</v>
      </c>
      <c r="H107" s="11">
        <f ca="1">IF(Table1[[#This Row],[Category]]="Electronics",Table1[[#This Row],[Sales]]*0.6,
IF(Table1[[#This Row],[Category]]="Furniture",Table1[[#This Row],[Sales]]*0.75,
IF(Table1[[#This Row],[Category]]="Clothing",Table1[[#This Row],[Sales]]*0.65,
Table1[[#This Row],[Sales]]*0.7)))</f>
        <v>3247.4</v>
      </c>
      <c r="I107" s="11">
        <f ca="1">Table1[[#This Row],[Sales]]-H107</f>
        <v>1748.6</v>
      </c>
      <c r="J107" s="2">
        <f ca="1">Table1[[#This Row],[Profit]]/Table1[[#This Row],[Sales]]</f>
        <v>0.35</v>
      </c>
      <c r="K107" t="str">
        <f ca="1">TEXT(Table1[[#This Row],[Order_Date]],"mmm")</f>
        <v>May</v>
      </c>
      <c r="L107">
        <f ca="1">YEAR(Table1[[#This Row],[Order_Date]])</f>
        <v>2023</v>
      </c>
    </row>
    <row r="108" spans="1:12" x14ac:dyDescent="0.3">
      <c r="A108">
        <f t="shared" si="4"/>
        <v>107</v>
      </c>
      <c r="B108" s="1">
        <f t="shared" ca="1" si="5"/>
        <v>45060</v>
      </c>
      <c r="C108" t="s">
        <v>9</v>
      </c>
      <c r="D108" t="str">
        <f t="shared" ca="1" si="6"/>
        <v>Furniture</v>
      </c>
      <c r="E108" t="s">
        <v>47</v>
      </c>
      <c r="F108" s="11">
        <v>3277</v>
      </c>
      <c r="G108">
        <f t="shared" ca="1" si="7"/>
        <v>8</v>
      </c>
      <c r="H108" s="11">
        <f ca="1">IF(Table1[[#This Row],[Category]]="Electronics",Table1[[#This Row],[Sales]]*0.6,
IF(Table1[[#This Row],[Category]]="Furniture",Table1[[#This Row],[Sales]]*0.75,
IF(Table1[[#This Row],[Category]]="Clothing",Table1[[#This Row],[Sales]]*0.65,
Table1[[#This Row],[Sales]]*0.7)))</f>
        <v>2457.75</v>
      </c>
      <c r="I108" s="11">
        <f ca="1">Table1[[#This Row],[Sales]]-H108</f>
        <v>819.25</v>
      </c>
      <c r="J108" s="2">
        <f ca="1">Table1[[#This Row],[Profit]]/Table1[[#This Row],[Sales]]</f>
        <v>0.25</v>
      </c>
      <c r="K108" t="str">
        <f ca="1">TEXT(Table1[[#This Row],[Order_Date]],"mmm")</f>
        <v>May</v>
      </c>
      <c r="L108">
        <f ca="1">YEAR(Table1[[#This Row],[Order_Date]])</f>
        <v>2023</v>
      </c>
    </row>
    <row r="109" spans="1:12" x14ac:dyDescent="0.3">
      <c r="A109">
        <f t="shared" si="4"/>
        <v>108</v>
      </c>
      <c r="B109" s="1">
        <f t="shared" ca="1" si="5"/>
        <v>45158</v>
      </c>
      <c r="C109" t="s">
        <v>10</v>
      </c>
      <c r="D109" t="str">
        <f t="shared" ca="1" si="6"/>
        <v>Clothing</v>
      </c>
      <c r="E109" t="s">
        <v>46</v>
      </c>
      <c r="F109" s="11">
        <v>18571</v>
      </c>
      <c r="G109">
        <f t="shared" ca="1" si="7"/>
        <v>5</v>
      </c>
      <c r="H109" s="11">
        <f ca="1">IF(Table1[[#This Row],[Category]]="Electronics",Table1[[#This Row],[Sales]]*0.6,
IF(Table1[[#This Row],[Category]]="Furniture",Table1[[#This Row],[Sales]]*0.75,
IF(Table1[[#This Row],[Category]]="Clothing",Table1[[#This Row],[Sales]]*0.65,
Table1[[#This Row],[Sales]]*0.7)))</f>
        <v>12071.15</v>
      </c>
      <c r="I109" s="11">
        <f ca="1">Table1[[#This Row],[Sales]]-H109</f>
        <v>6499.85</v>
      </c>
      <c r="J109" s="2">
        <f ca="1">Table1[[#This Row],[Profit]]/Table1[[#This Row],[Sales]]</f>
        <v>0.35000000000000003</v>
      </c>
      <c r="K109" t="str">
        <f ca="1">TEXT(Table1[[#This Row],[Order_Date]],"mmm")</f>
        <v>Aug</v>
      </c>
      <c r="L109">
        <f ca="1">YEAR(Table1[[#This Row],[Order_Date]])</f>
        <v>2023</v>
      </c>
    </row>
    <row r="110" spans="1:12" x14ac:dyDescent="0.3">
      <c r="A110">
        <f t="shared" si="4"/>
        <v>109</v>
      </c>
      <c r="B110" s="1">
        <f t="shared" ca="1" si="5"/>
        <v>45178</v>
      </c>
      <c r="C110" t="s">
        <v>7</v>
      </c>
      <c r="D110" t="str">
        <f t="shared" ca="1" si="6"/>
        <v>Furniture</v>
      </c>
      <c r="E110" t="s">
        <v>41</v>
      </c>
      <c r="F110" s="11">
        <v>2730</v>
      </c>
      <c r="G110">
        <f t="shared" ca="1" si="7"/>
        <v>1</v>
      </c>
      <c r="H110" s="11">
        <f ca="1">IF(Table1[[#This Row],[Category]]="Electronics",Table1[[#This Row],[Sales]]*0.6,
IF(Table1[[#This Row],[Category]]="Furniture",Table1[[#This Row],[Sales]]*0.75,
IF(Table1[[#This Row],[Category]]="Clothing",Table1[[#This Row],[Sales]]*0.65,
Table1[[#This Row],[Sales]]*0.7)))</f>
        <v>2047.5</v>
      </c>
      <c r="I110" s="11">
        <f ca="1">Table1[[#This Row],[Sales]]-H110</f>
        <v>682.5</v>
      </c>
      <c r="J110" s="2">
        <f ca="1">Table1[[#This Row],[Profit]]/Table1[[#This Row],[Sales]]</f>
        <v>0.25</v>
      </c>
      <c r="K110" t="str">
        <f ca="1">TEXT(Table1[[#This Row],[Order_Date]],"mmm")</f>
        <v>Sep</v>
      </c>
      <c r="L110">
        <f ca="1">YEAR(Table1[[#This Row],[Order_Date]])</f>
        <v>2023</v>
      </c>
    </row>
    <row r="111" spans="1:12" x14ac:dyDescent="0.3">
      <c r="A111">
        <f t="shared" si="4"/>
        <v>110</v>
      </c>
      <c r="B111" s="1">
        <f t="shared" ca="1" si="5"/>
        <v>45022</v>
      </c>
      <c r="C111" t="s">
        <v>8</v>
      </c>
      <c r="D111" t="str">
        <f t="shared" ca="1" si="6"/>
        <v>Office Supplies</v>
      </c>
      <c r="E111" t="s">
        <v>40</v>
      </c>
      <c r="F111" s="11">
        <v>1072</v>
      </c>
      <c r="G111">
        <f t="shared" ca="1" si="7"/>
        <v>9</v>
      </c>
      <c r="H111" s="11">
        <f ca="1">IF(Table1[[#This Row],[Category]]="Electronics",Table1[[#This Row],[Sales]]*0.6,
IF(Table1[[#This Row],[Category]]="Furniture",Table1[[#This Row],[Sales]]*0.75,
IF(Table1[[#This Row],[Category]]="Clothing",Table1[[#This Row],[Sales]]*0.65,
Table1[[#This Row],[Sales]]*0.7)))</f>
        <v>750.4</v>
      </c>
      <c r="I111" s="11">
        <f ca="1">Table1[[#This Row],[Sales]]-H111</f>
        <v>321.60000000000002</v>
      </c>
      <c r="J111" s="2">
        <f ca="1">Table1[[#This Row],[Profit]]/Table1[[#This Row],[Sales]]</f>
        <v>0.30000000000000004</v>
      </c>
      <c r="K111" t="str">
        <f ca="1">TEXT(Table1[[#This Row],[Order_Date]],"mmm")</f>
        <v>Apr</v>
      </c>
      <c r="L111">
        <f ca="1">YEAR(Table1[[#This Row],[Order_Date]])</f>
        <v>2023</v>
      </c>
    </row>
    <row r="112" spans="1:12" x14ac:dyDescent="0.3">
      <c r="A112">
        <f t="shared" si="4"/>
        <v>111</v>
      </c>
      <c r="B112" s="1">
        <f t="shared" ca="1" si="5"/>
        <v>45094</v>
      </c>
      <c r="C112" t="s">
        <v>9</v>
      </c>
      <c r="D112" t="str">
        <f t="shared" ca="1" si="6"/>
        <v>Clothing</v>
      </c>
      <c r="E112" t="s">
        <v>53</v>
      </c>
      <c r="F112" s="11">
        <v>15677</v>
      </c>
      <c r="G112">
        <f t="shared" ca="1" si="7"/>
        <v>5</v>
      </c>
      <c r="H112" s="11">
        <f ca="1">IF(Table1[[#This Row],[Category]]="Electronics",Table1[[#This Row],[Sales]]*0.6,
IF(Table1[[#This Row],[Category]]="Furniture",Table1[[#This Row],[Sales]]*0.75,
IF(Table1[[#This Row],[Category]]="Clothing",Table1[[#This Row],[Sales]]*0.65,
Table1[[#This Row],[Sales]]*0.7)))</f>
        <v>10190.050000000001</v>
      </c>
      <c r="I112" s="11">
        <f ca="1">Table1[[#This Row],[Sales]]-H112</f>
        <v>5486.9499999999989</v>
      </c>
      <c r="J112" s="2">
        <f ca="1">Table1[[#This Row],[Profit]]/Table1[[#This Row],[Sales]]</f>
        <v>0.34999999999999992</v>
      </c>
      <c r="K112" t="str">
        <f ca="1">TEXT(Table1[[#This Row],[Order_Date]],"mmm")</f>
        <v>Jun</v>
      </c>
      <c r="L112">
        <f ca="1">YEAR(Table1[[#This Row],[Order_Date]])</f>
        <v>2023</v>
      </c>
    </row>
    <row r="113" spans="1:12" x14ac:dyDescent="0.3">
      <c r="A113">
        <f t="shared" si="4"/>
        <v>112</v>
      </c>
      <c r="B113" s="1">
        <f t="shared" ca="1" si="5"/>
        <v>44945</v>
      </c>
      <c r="C113" t="s">
        <v>10</v>
      </c>
      <c r="D113" t="str">
        <f t="shared" ca="1" si="6"/>
        <v>Clothing</v>
      </c>
      <c r="E113" t="s">
        <v>85</v>
      </c>
      <c r="F113" s="11">
        <v>8304</v>
      </c>
      <c r="G113">
        <f t="shared" ca="1" si="7"/>
        <v>5</v>
      </c>
      <c r="H113" s="11">
        <f ca="1">IF(Table1[[#This Row],[Category]]="Electronics",Table1[[#This Row],[Sales]]*0.6,
IF(Table1[[#This Row],[Category]]="Furniture",Table1[[#This Row],[Sales]]*0.75,
IF(Table1[[#This Row],[Category]]="Clothing",Table1[[#This Row],[Sales]]*0.65,
Table1[[#This Row],[Sales]]*0.7)))</f>
        <v>5397.6</v>
      </c>
      <c r="I113" s="11">
        <f ca="1">Table1[[#This Row],[Sales]]-H113</f>
        <v>2906.3999999999996</v>
      </c>
      <c r="J113" s="2">
        <f ca="1">Table1[[#This Row],[Profit]]/Table1[[#This Row],[Sales]]</f>
        <v>0.35</v>
      </c>
      <c r="K113" t="str">
        <f ca="1">TEXT(Table1[[#This Row],[Order_Date]],"mmm")</f>
        <v>Jan</v>
      </c>
      <c r="L113">
        <f ca="1">YEAR(Table1[[#This Row],[Order_Date]])</f>
        <v>2023</v>
      </c>
    </row>
    <row r="114" spans="1:12" x14ac:dyDescent="0.3">
      <c r="A114">
        <f t="shared" si="4"/>
        <v>113</v>
      </c>
      <c r="B114" s="1">
        <f t="shared" ca="1" si="5"/>
        <v>45252</v>
      </c>
      <c r="C114" t="s">
        <v>7</v>
      </c>
      <c r="D114" t="str">
        <f t="shared" ca="1" si="6"/>
        <v>Clothing</v>
      </c>
      <c r="E114" t="s">
        <v>44</v>
      </c>
      <c r="F114" s="11">
        <v>14238</v>
      </c>
      <c r="G114">
        <f t="shared" ca="1" si="7"/>
        <v>7</v>
      </c>
      <c r="H114" s="11">
        <f ca="1">IF(Table1[[#This Row],[Category]]="Electronics",Table1[[#This Row],[Sales]]*0.6,
IF(Table1[[#This Row],[Category]]="Furniture",Table1[[#This Row],[Sales]]*0.75,
IF(Table1[[#This Row],[Category]]="Clothing",Table1[[#This Row],[Sales]]*0.65,
Table1[[#This Row],[Sales]]*0.7)))</f>
        <v>9254.7000000000007</v>
      </c>
      <c r="I114" s="11">
        <f ca="1">Table1[[#This Row],[Sales]]-H114</f>
        <v>4983.2999999999993</v>
      </c>
      <c r="J114" s="2">
        <f ca="1">Table1[[#This Row],[Profit]]/Table1[[#This Row],[Sales]]</f>
        <v>0.34999999999999992</v>
      </c>
      <c r="K114" t="str">
        <f ca="1">TEXT(Table1[[#This Row],[Order_Date]],"mmm")</f>
        <v>Nov</v>
      </c>
      <c r="L114">
        <f ca="1">YEAR(Table1[[#This Row],[Order_Date]])</f>
        <v>2023</v>
      </c>
    </row>
    <row r="115" spans="1:12" x14ac:dyDescent="0.3">
      <c r="A115">
        <f t="shared" si="4"/>
        <v>114</v>
      </c>
      <c r="B115" s="1">
        <f t="shared" ca="1" si="5"/>
        <v>45130</v>
      </c>
      <c r="C115" t="s">
        <v>8</v>
      </c>
      <c r="D115" t="str">
        <f t="shared" ca="1" si="6"/>
        <v>Office Supplies</v>
      </c>
      <c r="E115" t="s">
        <v>78</v>
      </c>
      <c r="F115" s="11">
        <v>829</v>
      </c>
      <c r="G115">
        <f t="shared" ca="1" si="7"/>
        <v>1</v>
      </c>
      <c r="H115" s="11">
        <f ca="1">IF(Table1[[#This Row],[Category]]="Electronics",Table1[[#This Row],[Sales]]*0.6,
IF(Table1[[#This Row],[Category]]="Furniture",Table1[[#This Row],[Sales]]*0.75,
IF(Table1[[#This Row],[Category]]="Clothing",Table1[[#This Row],[Sales]]*0.65,
Table1[[#This Row],[Sales]]*0.7)))</f>
        <v>580.29999999999995</v>
      </c>
      <c r="I115" s="11">
        <f ca="1">Table1[[#This Row],[Sales]]-H115</f>
        <v>248.70000000000005</v>
      </c>
      <c r="J115" s="2">
        <f ca="1">Table1[[#This Row],[Profit]]/Table1[[#This Row],[Sales]]</f>
        <v>0.30000000000000004</v>
      </c>
      <c r="K115" t="str">
        <f ca="1">TEXT(Table1[[#This Row],[Order_Date]],"mmm")</f>
        <v>Jul</v>
      </c>
      <c r="L115">
        <f ca="1">YEAR(Table1[[#This Row],[Order_Date]])</f>
        <v>2023</v>
      </c>
    </row>
    <row r="116" spans="1:12" x14ac:dyDescent="0.3">
      <c r="A116">
        <f t="shared" si="4"/>
        <v>115</v>
      </c>
      <c r="B116" s="1">
        <f t="shared" ca="1" si="5"/>
        <v>44937</v>
      </c>
      <c r="C116" t="s">
        <v>9</v>
      </c>
      <c r="D116" t="str">
        <f t="shared" ca="1" si="6"/>
        <v>Office Supplies</v>
      </c>
      <c r="E116" t="s">
        <v>62</v>
      </c>
      <c r="F116" s="11">
        <v>9758</v>
      </c>
      <c r="G116">
        <f t="shared" ca="1" si="7"/>
        <v>10</v>
      </c>
      <c r="H116" s="11">
        <f ca="1">IF(Table1[[#This Row],[Category]]="Electronics",Table1[[#This Row],[Sales]]*0.6,
IF(Table1[[#This Row],[Category]]="Furniture",Table1[[#This Row],[Sales]]*0.75,
IF(Table1[[#This Row],[Category]]="Clothing",Table1[[#This Row],[Sales]]*0.65,
Table1[[#This Row],[Sales]]*0.7)))</f>
        <v>6830.5999999999995</v>
      </c>
      <c r="I116" s="11">
        <f ca="1">Table1[[#This Row],[Sales]]-H116</f>
        <v>2927.4000000000005</v>
      </c>
      <c r="J116" s="2">
        <f ca="1">Table1[[#This Row],[Profit]]/Table1[[#This Row],[Sales]]</f>
        <v>0.30000000000000004</v>
      </c>
      <c r="K116" t="str">
        <f ca="1">TEXT(Table1[[#This Row],[Order_Date]],"mmm")</f>
        <v>Jan</v>
      </c>
      <c r="L116">
        <f ca="1">YEAR(Table1[[#This Row],[Order_Date]])</f>
        <v>2023</v>
      </c>
    </row>
    <row r="117" spans="1:12" x14ac:dyDescent="0.3">
      <c r="A117">
        <f t="shared" si="4"/>
        <v>116</v>
      </c>
      <c r="B117" s="1">
        <f t="shared" ca="1" si="5"/>
        <v>45281</v>
      </c>
      <c r="C117" t="s">
        <v>10</v>
      </c>
      <c r="D117" t="str">
        <f t="shared" ca="1" si="6"/>
        <v>Electronics</v>
      </c>
      <c r="E117" t="s">
        <v>42</v>
      </c>
      <c r="F117" s="11">
        <v>2209</v>
      </c>
      <c r="G117">
        <f t="shared" ca="1" si="7"/>
        <v>4</v>
      </c>
      <c r="H117" s="11">
        <f ca="1">IF(Table1[[#This Row],[Category]]="Electronics",Table1[[#This Row],[Sales]]*0.6,
IF(Table1[[#This Row],[Category]]="Furniture",Table1[[#This Row],[Sales]]*0.75,
IF(Table1[[#This Row],[Category]]="Clothing",Table1[[#This Row],[Sales]]*0.65,
Table1[[#This Row],[Sales]]*0.7)))</f>
        <v>1325.3999999999999</v>
      </c>
      <c r="I117" s="11">
        <f ca="1">Table1[[#This Row],[Sales]]-H117</f>
        <v>883.60000000000014</v>
      </c>
      <c r="J117" s="2">
        <f ca="1">Table1[[#This Row],[Profit]]/Table1[[#This Row],[Sales]]</f>
        <v>0.40000000000000008</v>
      </c>
      <c r="K117" t="str">
        <f ca="1">TEXT(Table1[[#This Row],[Order_Date]],"mmm")</f>
        <v>Dec</v>
      </c>
      <c r="L117">
        <f ca="1">YEAR(Table1[[#This Row],[Order_Date]])</f>
        <v>2023</v>
      </c>
    </row>
    <row r="118" spans="1:12" x14ac:dyDescent="0.3">
      <c r="A118">
        <f t="shared" si="4"/>
        <v>117</v>
      </c>
      <c r="B118" s="1">
        <f t="shared" ca="1" si="5"/>
        <v>44927</v>
      </c>
      <c r="C118" t="s">
        <v>7</v>
      </c>
      <c r="D118" t="str">
        <f t="shared" ca="1" si="6"/>
        <v>Clothing</v>
      </c>
      <c r="E118" t="s">
        <v>41</v>
      </c>
      <c r="F118" s="11">
        <v>11680</v>
      </c>
      <c r="G118">
        <f t="shared" ca="1" si="7"/>
        <v>2</v>
      </c>
      <c r="H118" s="11">
        <f ca="1">IF(Table1[[#This Row],[Category]]="Electronics",Table1[[#This Row],[Sales]]*0.6,
IF(Table1[[#This Row],[Category]]="Furniture",Table1[[#This Row],[Sales]]*0.75,
IF(Table1[[#This Row],[Category]]="Clothing",Table1[[#This Row],[Sales]]*0.65,
Table1[[#This Row],[Sales]]*0.7)))</f>
        <v>7592</v>
      </c>
      <c r="I118" s="11">
        <f ca="1">Table1[[#This Row],[Sales]]-H118</f>
        <v>4088</v>
      </c>
      <c r="J118" s="2">
        <f ca="1">Table1[[#This Row],[Profit]]/Table1[[#This Row],[Sales]]</f>
        <v>0.35</v>
      </c>
      <c r="K118" t="str">
        <f ca="1">TEXT(Table1[[#This Row],[Order_Date]],"mmm")</f>
        <v>Jan</v>
      </c>
      <c r="L118">
        <f ca="1">YEAR(Table1[[#This Row],[Order_Date]])</f>
        <v>2023</v>
      </c>
    </row>
    <row r="119" spans="1:12" x14ac:dyDescent="0.3">
      <c r="A119">
        <f t="shared" si="4"/>
        <v>118</v>
      </c>
      <c r="B119" s="1">
        <f t="shared" ca="1" si="5"/>
        <v>44950</v>
      </c>
      <c r="C119" t="s">
        <v>8</v>
      </c>
      <c r="D119" t="str">
        <f t="shared" ca="1" si="6"/>
        <v>Clothing</v>
      </c>
      <c r="E119" t="s">
        <v>54</v>
      </c>
      <c r="F119" s="11">
        <v>12526</v>
      </c>
      <c r="G119">
        <f t="shared" ca="1" si="7"/>
        <v>1</v>
      </c>
      <c r="H119" s="11">
        <f ca="1">IF(Table1[[#This Row],[Category]]="Electronics",Table1[[#This Row],[Sales]]*0.6,
IF(Table1[[#This Row],[Category]]="Furniture",Table1[[#This Row],[Sales]]*0.75,
IF(Table1[[#This Row],[Category]]="Clothing",Table1[[#This Row],[Sales]]*0.65,
Table1[[#This Row],[Sales]]*0.7)))</f>
        <v>8141.9000000000005</v>
      </c>
      <c r="I119" s="11">
        <f ca="1">Table1[[#This Row],[Sales]]-H119</f>
        <v>4384.0999999999995</v>
      </c>
      <c r="J119" s="2">
        <f ca="1">Table1[[#This Row],[Profit]]/Table1[[#This Row],[Sales]]</f>
        <v>0.35</v>
      </c>
      <c r="K119" t="str">
        <f ca="1">TEXT(Table1[[#This Row],[Order_Date]],"mmm")</f>
        <v>Jan</v>
      </c>
      <c r="L119">
        <f ca="1">YEAR(Table1[[#This Row],[Order_Date]])</f>
        <v>2023</v>
      </c>
    </row>
    <row r="120" spans="1:12" x14ac:dyDescent="0.3">
      <c r="A120">
        <f t="shared" si="4"/>
        <v>119</v>
      </c>
      <c r="B120" s="1">
        <f t="shared" ca="1" si="5"/>
        <v>44927</v>
      </c>
      <c r="C120" t="s">
        <v>9</v>
      </c>
      <c r="D120" t="str">
        <f t="shared" ca="1" si="6"/>
        <v>Furniture</v>
      </c>
      <c r="E120" t="s">
        <v>63</v>
      </c>
      <c r="F120" s="11">
        <v>7875</v>
      </c>
      <c r="G120">
        <f t="shared" ca="1" si="7"/>
        <v>2</v>
      </c>
      <c r="H120" s="11">
        <f ca="1">IF(Table1[[#This Row],[Category]]="Electronics",Table1[[#This Row],[Sales]]*0.6,
IF(Table1[[#This Row],[Category]]="Furniture",Table1[[#This Row],[Sales]]*0.75,
IF(Table1[[#This Row],[Category]]="Clothing",Table1[[#This Row],[Sales]]*0.65,
Table1[[#This Row],[Sales]]*0.7)))</f>
        <v>5906.25</v>
      </c>
      <c r="I120" s="11">
        <f ca="1">Table1[[#This Row],[Sales]]-H120</f>
        <v>1968.75</v>
      </c>
      <c r="J120" s="2">
        <f ca="1">Table1[[#This Row],[Profit]]/Table1[[#This Row],[Sales]]</f>
        <v>0.25</v>
      </c>
      <c r="K120" t="str">
        <f ca="1">TEXT(Table1[[#This Row],[Order_Date]],"mmm")</f>
        <v>Jan</v>
      </c>
      <c r="L120">
        <f ca="1">YEAR(Table1[[#This Row],[Order_Date]])</f>
        <v>2023</v>
      </c>
    </row>
    <row r="121" spans="1:12" x14ac:dyDescent="0.3">
      <c r="A121">
        <f t="shared" si="4"/>
        <v>120</v>
      </c>
      <c r="B121" s="1">
        <f t="shared" ca="1" si="5"/>
        <v>45133</v>
      </c>
      <c r="C121" t="s">
        <v>10</v>
      </c>
      <c r="D121" t="str">
        <f t="shared" ca="1" si="6"/>
        <v>Furniture</v>
      </c>
      <c r="E121" t="s">
        <v>58</v>
      </c>
      <c r="F121" s="11">
        <v>13742</v>
      </c>
      <c r="G121">
        <f t="shared" ca="1" si="7"/>
        <v>8</v>
      </c>
      <c r="H121" s="11">
        <f ca="1">IF(Table1[[#This Row],[Category]]="Electronics",Table1[[#This Row],[Sales]]*0.6,
IF(Table1[[#This Row],[Category]]="Furniture",Table1[[#This Row],[Sales]]*0.75,
IF(Table1[[#This Row],[Category]]="Clothing",Table1[[#This Row],[Sales]]*0.65,
Table1[[#This Row],[Sales]]*0.7)))</f>
        <v>10306.5</v>
      </c>
      <c r="I121" s="11">
        <f ca="1">Table1[[#This Row],[Sales]]-H121</f>
        <v>3435.5</v>
      </c>
      <c r="J121" s="2">
        <f ca="1">Table1[[#This Row],[Profit]]/Table1[[#This Row],[Sales]]</f>
        <v>0.25</v>
      </c>
      <c r="K121" t="str">
        <f ca="1">TEXT(Table1[[#This Row],[Order_Date]],"mmm")</f>
        <v>Jul</v>
      </c>
      <c r="L121">
        <f ca="1">YEAR(Table1[[#This Row],[Order_Date]])</f>
        <v>2023</v>
      </c>
    </row>
    <row r="122" spans="1:12" x14ac:dyDescent="0.3">
      <c r="A122">
        <f t="shared" si="4"/>
        <v>121</v>
      </c>
      <c r="B122" s="1">
        <f t="shared" ca="1" si="5"/>
        <v>44954</v>
      </c>
      <c r="C122" t="s">
        <v>7</v>
      </c>
      <c r="D122" t="str">
        <f t="shared" ca="1" si="6"/>
        <v>Clothing</v>
      </c>
      <c r="E122" t="s">
        <v>50</v>
      </c>
      <c r="F122" s="11">
        <v>6433</v>
      </c>
      <c r="G122">
        <f t="shared" ca="1" si="7"/>
        <v>9</v>
      </c>
      <c r="H122" s="11">
        <f ca="1">IF(Table1[[#This Row],[Category]]="Electronics",Table1[[#This Row],[Sales]]*0.6,
IF(Table1[[#This Row],[Category]]="Furniture",Table1[[#This Row],[Sales]]*0.75,
IF(Table1[[#This Row],[Category]]="Clothing",Table1[[#This Row],[Sales]]*0.65,
Table1[[#This Row],[Sales]]*0.7)))</f>
        <v>4181.45</v>
      </c>
      <c r="I122" s="11">
        <f ca="1">Table1[[#This Row],[Sales]]-H122</f>
        <v>2251.5500000000002</v>
      </c>
      <c r="J122" s="2">
        <f ca="1">Table1[[#This Row],[Profit]]/Table1[[#This Row],[Sales]]</f>
        <v>0.35000000000000003</v>
      </c>
      <c r="K122" t="str">
        <f ca="1">TEXT(Table1[[#This Row],[Order_Date]],"mmm")</f>
        <v>Jan</v>
      </c>
      <c r="L122">
        <f ca="1">YEAR(Table1[[#This Row],[Order_Date]])</f>
        <v>2023</v>
      </c>
    </row>
    <row r="123" spans="1:12" x14ac:dyDescent="0.3">
      <c r="A123">
        <f t="shared" si="4"/>
        <v>122</v>
      </c>
      <c r="B123" s="1">
        <f t="shared" ca="1" si="5"/>
        <v>44961</v>
      </c>
      <c r="C123" t="s">
        <v>8</v>
      </c>
      <c r="D123" t="str">
        <f t="shared" ca="1" si="6"/>
        <v>Electronics</v>
      </c>
      <c r="E123" t="s">
        <v>56</v>
      </c>
      <c r="F123" s="11">
        <v>10800</v>
      </c>
      <c r="G123">
        <f t="shared" ca="1" si="7"/>
        <v>3</v>
      </c>
      <c r="H123" s="11">
        <f ca="1">IF(Table1[[#This Row],[Category]]="Electronics",Table1[[#This Row],[Sales]]*0.6,
IF(Table1[[#This Row],[Category]]="Furniture",Table1[[#This Row],[Sales]]*0.75,
IF(Table1[[#This Row],[Category]]="Clothing",Table1[[#This Row],[Sales]]*0.65,
Table1[[#This Row],[Sales]]*0.7)))</f>
        <v>6480</v>
      </c>
      <c r="I123" s="11">
        <f ca="1">Table1[[#This Row],[Sales]]-H123</f>
        <v>4320</v>
      </c>
      <c r="J123" s="2">
        <f ca="1">Table1[[#This Row],[Profit]]/Table1[[#This Row],[Sales]]</f>
        <v>0.4</v>
      </c>
      <c r="K123" t="str">
        <f ca="1">TEXT(Table1[[#This Row],[Order_Date]],"mmm")</f>
        <v>Feb</v>
      </c>
      <c r="L123">
        <f ca="1">YEAR(Table1[[#This Row],[Order_Date]])</f>
        <v>2023</v>
      </c>
    </row>
    <row r="124" spans="1:12" x14ac:dyDescent="0.3">
      <c r="A124">
        <f t="shared" si="4"/>
        <v>123</v>
      </c>
      <c r="B124" s="1">
        <f t="shared" ca="1" si="5"/>
        <v>45144</v>
      </c>
      <c r="C124" t="s">
        <v>9</v>
      </c>
      <c r="D124" t="str">
        <f t="shared" ca="1" si="6"/>
        <v>Furniture</v>
      </c>
      <c r="E124" t="s">
        <v>73</v>
      </c>
      <c r="F124" s="11">
        <v>808</v>
      </c>
      <c r="G124">
        <f t="shared" ca="1" si="7"/>
        <v>5</v>
      </c>
      <c r="H124" s="11">
        <f ca="1">IF(Table1[[#This Row],[Category]]="Electronics",Table1[[#This Row],[Sales]]*0.6,
IF(Table1[[#This Row],[Category]]="Furniture",Table1[[#This Row],[Sales]]*0.75,
IF(Table1[[#This Row],[Category]]="Clothing",Table1[[#This Row],[Sales]]*0.65,
Table1[[#This Row],[Sales]]*0.7)))</f>
        <v>606</v>
      </c>
      <c r="I124" s="11">
        <f ca="1">Table1[[#This Row],[Sales]]-H124</f>
        <v>202</v>
      </c>
      <c r="J124" s="2">
        <f ca="1">Table1[[#This Row],[Profit]]/Table1[[#This Row],[Sales]]</f>
        <v>0.25</v>
      </c>
      <c r="K124" t="str">
        <f ca="1">TEXT(Table1[[#This Row],[Order_Date]],"mmm")</f>
        <v>Aug</v>
      </c>
      <c r="L124">
        <f ca="1">YEAR(Table1[[#This Row],[Order_Date]])</f>
        <v>2023</v>
      </c>
    </row>
    <row r="125" spans="1:12" x14ac:dyDescent="0.3">
      <c r="A125">
        <f t="shared" si="4"/>
        <v>124</v>
      </c>
      <c r="B125" s="1">
        <f t="shared" ca="1" si="5"/>
        <v>45135</v>
      </c>
      <c r="C125" t="s">
        <v>10</v>
      </c>
      <c r="D125" t="str">
        <f t="shared" ca="1" si="6"/>
        <v>Furniture</v>
      </c>
      <c r="E125" t="s">
        <v>61</v>
      </c>
      <c r="F125" s="11">
        <v>10379</v>
      </c>
      <c r="G125">
        <f t="shared" ca="1" si="7"/>
        <v>4</v>
      </c>
      <c r="H125" s="11">
        <f ca="1">IF(Table1[[#This Row],[Category]]="Electronics",Table1[[#This Row],[Sales]]*0.6,
IF(Table1[[#This Row],[Category]]="Furniture",Table1[[#This Row],[Sales]]*0.75,
IF(Table1[[#This Row],[Category]]="Clothing",Table1[[#This Row],[Sales]]*0.65,
Table1[[#This Row],[Sales]]*0.7)))</f>
        <v>7784.25</v>
      </c>
      <c r="I125" s="11">
        <f ca="1">Table1[[#This Row],[Sales]]-H125</f>
        <v>2594.75</v>
      </c>
      <c r="J125" s="2">
        <f ca="1">Table1[[#This Row],[Profit]]/Table1[[#This Row],[Sales]]</f>
        <v>0.25</v>
      </c>
      <c r="K125" t="str">
        <f ca="1">TEXT(Table1[[#This Row],[Order_Date]],"mmm")</f>
        <v>Jul</v>
      </c>
      <c r="L125">
        <f ca="1">YEAR(Table1[[#This Row],[Order_Date]])</f>
        <v>2023</v>
      </c>
    </row>
    <row r="126" spans="1:12" x14ac:dyDescent="0.3">
      <c r="A126">
        <f t="shared" si="4"/>
        <v>125</v>
      </c>
      <c r="B126" s="1">
        <f t="shared" ca="1" si="5"/>
        <v>44994</v>
      </c>
      <c r="C126" t="s">
        <v>7</v>
      </c>
      <c r="D126" t="str">
        <f t="shared" ca="1" si="6"/>
        <v>Office Supplies</v>
      </c>
      <c r="E126" t="s">
        <v>54</v>
      </c>
      <c r="F126" s="11">
        <v>18404</v>
      </c>
      <c r="G126">
        <f t="shared" ca="1" si="7"/>
        <v>1</v>
      </c>
      <c r="H126" s="11">
        <f ca="1">IF(Table1[[#This Row],[Category]]="Electronics",Table1[[#This Row],[Sales]]*0.6,
IF(Table1[[#This Row],[Category]]="Furniture",Table1[[#This Row],[Sales]]*0.75,
IF(Table1[[#This Row],[Category]]="Clothing",Table1[[#This Row],[Sales]]*0.65,
Table1[[#This Row],[Sales]]*0.7)))</f>
        <v>12882.8</v>
      </c>
      <c r="I126" s="11">
        <f ca="1">Table1[[#This Row],[Sales]]-H126</f>
        <v>5521.2000000000007</v>
      </c>
      <c r="J126" s="2">
        <f ca="1">Table1[[#This Row],[Profit]]/Table1[[#This Row],[Sales]]</f>
        <v>0.30000000000000004</v>
      </c>
      <c r="K126" t="str">
        <f ca="1">TEXT(Table1[[#This Row],[Order_Date]],"mmm")</f>
        <v>Mar</v>
      </c>
      <c r="L126">
        <f ca="1">YEAR(Table1[[#This Row],[Order_Date]])</f>
        <v>2023</v>
      </c>
    </row>
    <row r="127" spans="1:12" x14ac:dyDescent="0.3">
      <c r="A127">
        <f t="shared" si="4"/>
        <v>126</v>
      </c>
      <c r="B127" s="1">
        <f t="shared" ca="1" si="5"/>
        <v>45103</v>
      </c>
      <c r="C127" t="s">
        <v>8</v>
      </c>
      <c r="D127" t="str">
        <f t="shared" ca="1" si="6"/>
        <v>Office Supplies</v>
      </c>
      <c r="E127" t="s">
        <v>43</v>
      </c>
      <c r="F127" s="11">
        <v>5873</v>
      </c>
      <c r="G127">
        <f t="shared" ca="1" si="7"/>
        <v>5</v>
      </c>
      <c r="H127" s="11">
        <f ca="1">IF(Table1[[#This Row],[Category]]="Electronics",Table1[[#This Row],[Sales]]*0.6,
IF(Table1[[#This Row],[Category]]="Furniture",Table1[[#This Row],[Sales]]*0.75,
IF(Table1[[#This Row],[Category]]="Clothing",Table1[[#This Row],[Sales]]*0.65,
Table1[[#This Row],[Sales]]*0.7)))</f>
        <v>4111.0999999999995</v>
      </c>
      <c r="I127" s="11">
        <f ca="1">Table1[[#This Row],[Sales]]-H127</f>
        <v>1761.9000000000005</v>
      </c>
      <c r="J127" s="2">
        <f ca="1">Table1[[#This Row],[Profit]]/Table1[[#This Row],[Sales]]</f>
        <v>0.3000000000000001</v>
      </c>
      <c r="K127" t="str">
        <f ca="1">TEXT(Table1[[#This Row],[Order_Date]],"mmm")</f>
        <v>Jun</v>
      </c>
      <c r="L127">
        <f ca="1">YEAR(Table1[[#This Row],[Order_Date]])</f>
        <v>2023</v>
      </c>
    </row>
    <row r="128" spans="1:12" x14ac:dyDescent="0.3">
      <c r="A128">
        <f t="shared" si="4"/>
        <v>127</v>
      </c>
      <c r="B128" s="1">
        <f t="shared" ca="1" si="5"/>
        <v>44987</v>
      </c>
      <c r="C128" t="s">
        <v>9</v>
      </c>
      <c r="D128" t="str">
        <f t="shared" ca="1" si="6"/>
        <v>Office Supplies</v>
      </c>
      <c r="E128" t="s">
        <v>70</v>
      </c>
      <c r="F128" s="11">
        <v>14502</v>
      </c>
      <c r="G128">
        <f t="shared" ca="1" si="7"/>
        <v>2</v>
      </c>
      <c r="H128" s="11">
        <f ca="1">IF(Table1[[#This Row],[Category]]="Electronics",Table1[[#This Row],[Sales]]*0.6,
IF(Table1[[#This Row],[Category]]="Furniture",Table1[[#This Row],[Sales]]*0.75,
IF(Table1[[#This Row],[Category]]="Clothing",Table1[[#This Row],[Sales]]*0.65,
Table1[[#This Row],[Sales]]*0.7)))</f>
        <v>10151.4</v>
      </c>
      <c r="I128" s="11">
        <f ca="1">Table1[[#This Row],[Sales]]-H128</f>
        <v>4350.6000000000004</v>
      </c>
      <c r="J128" s="2">
        <f ca="1">Table1[[#This Row],[Profit]]/Table1[[#This Row],[Sales]]</f>
        <v>0.30000000000000004</v>
      </c>
      <c r="K128" t="str">
        <f ca="1">TEXT(Table1[[#This Row],[Order_Date]],"mmm")</f>
        <v>Mar</v>
      </c>
      <c r="L128">
        <f ca="1">YEAR(Table1[[#This Row],[Order_Date]])</f>
        <v>2023</v>
      </c>
    </row>
    <row r="129" spans="1:12" x14ac:dyDescent="0.3">
      <c r="A129">
        <f t="shared" si="4"/>
        <v>128</v>
      </c>
      <c r="B129" s="1">
        <f t="shared" ca="1" si="5"/>
        <v>45110</v>
      </c>
      <c r="C129" t="s">
        <v>10</v>
      </c>
      <c r="D129" t="str">
        <f t="shared" ca="1" si="6"/>
        <v>Office Supplies</v>
      </c>
      <c r="E129" t="s">
        <v>61</v>
      </c>
      <c r="F129" s="11">
        <v>19367</v>
      </c>
      <c r="G129">
        <f t="shared" ca="1" si="7"/>
        <v>8</v>
      </c>
      <c r="H129" s="11">
        <f ca="1">IF(Table1[[#This Row],[Category]]="Electronics",Table1[[#This Row],[Sales]]*0.6,
IF(Table1[[#This Row],[Category]]="Furniture",Table1[[#This Row],[Sales]]*0.75,
IF(Table1[[#This Row],[Category]]="Clothing",Table1[[#This Row],[Sales]]*0.65,
Table1[[#This Row],[Sales]]*0.7)))</f>
        <v>13556.9</v>
      </c>
      <c r="I129" s="11">
        <f ca="1">Table1[[#This Row],[Sales]]-H129</f>
        <v>5810.1</v>
      </c>
      <c r="J129" s="2">
        <f ca="1">Table1[[#This Row],[Profit]]/Table1[[#This Row],[Sales]]</f>
        <v>0.30000000000000004</v>
      </c>
      <c r="K129" t="str">
        <f ca="1">TEXT(Table1[[#This Row],[Order_Date]],"mmm")</f>
        <v>Jul</v>
      </c>
      <c r="L129">
        <f ca="1">YEAR(Table1[[#This Row],[Order_Date]])</f>
        <v>2023</v>
      </c>
    </row>
    <row r="130" spans="1:12" x14ac:dyDescent="0.3">
      <c r="A130">
        <f t="shared" si="4"/>
        <v>129</v>
      </c>
      <c r="B130" s="1">
        <f t="shared" ca="1" si="5"/>
        <v>45081</v>
      </c>
      <c r="C130" t="s">
        <v>7</v>
      </c>
      <c r="D130" t="str">
        <f t="shared" ca="1" si="6"/>
        <v>Clothing</v>
      </c>
      <c r="E130" t="s">
        <v>39</v>
      </c>
      <c r="F130" s="11">
        <v>5752</v>
      </c>
      <c r="G130">
        <f t="shared" ca="1" si="7"/>
        <v>1</v>
      </c>
      <c r="H130" s="11">
        <f ca="1">IF(Table1[[#This Row],[Category]]="Electronics",Table1[[#This Row],[Sales]]*0.6,
IF(Table1[[#This Row],[Category]]="Furniture",Table1[[#This Row],[Sales]]*0.75,
IF(Table1[[#This Row],[Category]]="Clothing",Table1[[#This Row],[Sales]]*0.65,
Table1[[#This Row],[Sales]]*0.7)))</f>
        <v>3738.8</v>
      </c>
      <c r="I130" s="11">
        <f ca="1">Table1[[#This Row],[Sales]]-H130</f>
        <v>2013.1999999999998</v>
      </c>
      <c r="J130" s="2">
        <f ca="1">Table1[[#This Row],[Profit]]/Table1[[#This Row],[Sales]]</f>
        <v>0.35</v>
      </c>
      <c r="K130" t="str">
        <f ca="1">TEXT(Table1[[#This Row],[Order_Date]],"mmm")</f>
        <v>Jun</v>
      </c>
      <c r="L130">
        <f ca="1">YEAR(Table1[[#This Row],[Order_Date]])</f>
        <v>2023</v>
      </c>
    </row>
    <row r="131" spans="1:12" x14ac:dyDescent="0.3">
      <c r="A131">
        <f t="shared" ref="A131:A194" si="8">ROW()-1</f>
        <v>130</v>
      </c>
      <c r="B131" s="1">
        <f t="shared" ref="B131:B194" ca="1" si="9">DATE(2023, RANDBETWEEN(1,12), RANDBETWEEN(1,28))</f>
        <v>44927</v>
      </c>
      <c r="C131" t="s">
        <v>8</v>
      </c>
      <c r="D131" t="str">
        <f t="shared" ref="D131:D194" ca="1" si="10">CHOOSE(RANDBETWEEN(1,4),"Electronics","Furniture","Clothing","Office Supplies")</f>
        <v>Office Supplies</v>
      </c>
      <c r="E131" t="s">
        <v>73</v>
      </c>
      <c r="F131" s="11">
        <v>3757</v>
      </c>
      <c r="G131">
        <f t="shared" ref="G131:G194" ca="1" si="11">RANDBETWEEN(1,10)</f>
        <v>5</v>
      </c>
      <c r="H131" s="11">
        <f ca="1">IF(Table1[[#This Row],[Category]]="Electronics",Table1[[#This Row],[Sales]]*0.6,
IF(Table1[[#This Row],[Category]]="Furniture",Table1[[#This Row],[Sales]]*0.75,
IF(Table1[[#This Row],[Category]]="Clothing",Table1[[#This Row],[Sales]]*0.65,
Table1[[#This Row],[Sales]]*0.7)))</f>
        <v>2629.8999999999996</v>
      </c>
      <c r="I131" s="11">
        <f ca="1">Table1[[#This Row],[Sales]]-H131</f>
        <v>1127.1000000000004</v>
      </c>
      <c r="J131" s="2">
        <f ca="1">Table1[[#This Row],[Profit]]/Table1[[#This Row],[Sales]]</f>
        <v>0.3000000000000001</v>
      </c>
      <c r="K131" t="str">
        <f ca="1">TEXT(Table1[[#This Row],[Order_Date]],"mmm")</f>
        <v>Jan</v>
      </c>
      <c r="L131">
        <f ca="1">YEAR(Table1[[#This Row],[Order_Date]])</f>
        <v>2023</v>
      </c>
    </row>
    <row r="132" spans="1:12" x14ac:dyDescent="0.3">
      <c r="A132">
        <f t="shared" si="8"/>
        <v>131</v>
      </c>
      <c r="B132" s="1">
        <f t="shared" ca="1" si="9"/>
        <v>45227</v>
      </c>
      <c r="C132" t="s">
        <v>9</v>
      </c>
      <c r="D132" t="str">
        <f t="shared" ca="1" si="10"/>
        <v>Clothing</v>
      </c>
      <c r="E132" t="s">
        <v>79</v>
      </c>
      <c r="F132" s="11">
        <v>17887</v>
      </c>
      <c r="G132">
        <f t="shared" ca="1" si="11"/>
        <v>10</v>
      </c>
      <c r="H132" s="11">
        <f ca="1">IF(Table1[[#This Row],[Category]]="Electronics",Table1[[#This Row],[Sales]]*0.6,
IF(Table1[[#This Row],[Category]]="Furniture",Table1[[#This Row],[Sales]]*0.75,
IF(Table1[[#This Row],[Category]]="Clothing",Table1[[#This Row],[Sales]]*0.65,
Table1[[#This Row],[Sales]]*0.7)))</f>
        <v>11626.550000000001</v>
      </c>
      <c r="I132" s="11">
        <f ca="1">Table1[[#This Row],[Sales]]-H132</f>
        <v>6260.4499999999989</v>
      </c>
      <c r="J132" s="2">
        <f ca="1">Table1[[#This Row],[Profit]]/Table1[[#This Row],[Sales]]</f>
        <v>0.34999999999999992</v>
      </c>
      <c r="K132" t="str">
        <f ca="1">TEXT(Table1[[#This Row],[Order_Date]],"mmm")</f>
        <v>Oct</v>
      </c>
      <c r="L132">
        <f ca="1">YEAR(Table1[[#This Row],[Order_Date]])</f>
        <v>2023</v>
      </c>
    </row>
    <row r="133" spans="1:12" x14ac:dyDescent="0.3">
      <c r="A133">
        <f t="shared" si="8"/>
        <v>132</v>
      </c>
      <c r="B133" s="1">
        <f t="shared" ca="1" si="9"/>
        <v>45238</v>
      </c>
      <c r="C133" t="s">
        <v>10</v>
      </c>
      <c r="D133" t="str">
        <f t="shared" ca="1" si="10"/>
        <v>Furniture</v>
      </c>
      <c r="E133" t="s">
        <v>37</v>
      </c>
      <c r="F133" s="11">
        <v>6673</v>
      </c>
      <c r="G133">
        <f t="shared" ca="1" si="11"/>
        <v>7</v>
      </c>
      <c r="H133" s="11">
        <f ca="1">IF(Table1[[#This Row],[Category]]="Electronics",Table1[[#This Row],[Sales]]*0.6,
IF(Table1[[#This Row],[Category]]="Furniture",Table1[[#This Row],[Sales]]*0.75,
IF(Table1[[#This Row],[Category]]="Clothing",Table1[[#This Row],[Sales]]*0.65,
Table1[[#This Row],[Sales]]*0.7)))</f>
        <v>5004.75</v>
      </c>
      <c r="I133" s="11">
        <f ca="1">Table1[[#This Row],[Sales]]-H133</f>
        <v>1668.25</v>
      </c>
      <c r="J133" s="2">
        <f ca="1">Table1[[#This Row],[Profit]]/Table1[[#This Row],[Sales]]</f>
        <v>0.25</v>
      </c>
      <c r="K133" t="str">
        <f ca="1">TEXT(Table1[[#This Row],[Order_Date]],"mmm")</f>
        <v>Nov</v>
      </c>
      <c r="L133">
        <f ca="1">YEAR(Table1[[#This Row],[Order_Date]])</f>
        <v>2023</v>
      </c>
    </row>
    <row r="134" spans="1:12" x14ac:dyDescent="0.3">
      <c r="A134">
        <f t="shared" si="8"/>
        <v>133</v>
      </c>
      <c r="B134" s="1">
        <f t="shared" ca="1" si="9"/>
        <v>44972</v>
      </c>
      <c r="C134" t="s">
        <v>7</v>
      </c>
      <c r="D134" t="str">
        <f t="shared" ca="1" si="10"/>
        <v>Office Supplies</v>
      </c>
      <c r="E134" t="s">
        <v>37</v>
      </c>
      <c r="F134" s="11">
        <v>13238</v>
      </c>
      <c r="G134">
        <f t="shared" ca="1" si="11"/>
        <v>3</v>
      </c>
      <c r="H134" s="11">
        <f ca="1">IF(Table1[[#This Row],[Category]]="Electronics",Table1[[#This Row],[Sales]]*0.6,
IF(Table1[[#This Row],[Category]]="Furniture",Table1[[#This Row],[Sales]]*0.75,
IF(Table1[[#This Row],[Category]]="Clothing",Table1[[#This Row],[Sales]]*0.65,
Table1[[#This Row],[Sales]]*0.7)))</f>
        <v>9266.5999999999985</v>
      </c>
      <c r="I134" s="11">
        <f ca="1">Table1[[#This Row],[Sales]]-H134</f>
        <v>3971.4000000000015</v>
      </c>
      <c r="J134" s="2">
        <f ca="1">Table1[[#This Row],[Profit]]/Table1[[#This Row],[Sales]]</f>
        <v>0.3000000000000001</v>
      </c>
      <c r="K134" t="str">
        <f ca="1">TEXT(Table1[[#This Row],[Order_Date]],"mmm")</f>
        <v>Feb</v>
      </c>
      <c r="L134">
        <f ca="1">YEAR(Table1[[#This Row],[Order_Date]])</f>
        <v>2023</v>
      </c>
    </row>
    <row r="135" spans="1:12" x14ac:dyDescent="0.3">
      <c r="A135">
        <f t="shared" si="8"/>
        <v>134</v>
      </c>
      <c r="B135" s="1">
        <f t="shared" ca="1" si="9"/>
        <v>45203</v>
      </c>
      <c r="C135" t="s">
        <v>8</v>
      </c>
      <c r="D135" t="str">
        <f t="shared" ca="1" si="10"/>
        <v>Office Supplies</v>
      </c>
      <c r="E135" t="s">
        <v>39</v>
      </c>
      <c r="F135" s="11">
        <v>16743</v>
      </c>
      <c r="G135">
        <f t="shared" ca="1" si="11"/>
        <v>9</v>
      </c>
      <c r="H135" s="11">
        <f ca="1">IF(Table1[[#This Row],[Category]]="Electronics",Table1[[#This Row],[Sales]]*0.6,
IF(Table1[[#This Row],[Category]]="Furniture",Table1[[#This Row],[Sales]]*0.75,
IF(Table1[[#This Row],[Category]]="Clothing",Table1[[#This Row],[Sales]]*0.65,
Table1[[#This Row],[Sales]]*0.7)))</f>
        <v>11720.099999999999</v>
      </c>
      <c r="I135" s="11">
        <f ca="1">Table1[[#This Row],[Sales]]-H135</f>
        <v>5022.9000000000015</v>
      </c>
      <c r="J135" s="2">
        <f ca="1">Table1[[#This Row],[Profit]]/Table1[[#This Row],[Sales]]</f>
        <v>0.3000000000000001</v>
      </c>
      <c r="K135" t="str">
        <f ca="1">TEXT(Table1[[#This Row],[Order_Date]],"mmm")</f>
        <v>Oct</v>
      </c>
      <c r="L135">
        <f ca="1">YEAR(Table1[[#This Row],[Order_Date]])</f>
        <v>2023</v>
      </c>
    </row>
    <row r="136" spans="1:12" x14ac:dyDescent="0.3">
      <c r="A136">
        <f t="shared" si="8"/>
        <v>135</v>
      </c>
      <c r="B136" s="1">
        <f t="shared" ca="1" si="9"/>
        <v>44952</v>
      </c>
      <c r="C136" t="s">
        <v>9</v>
      </c>
      <c r="D136" t="str">
        <f t="shared" ca="1" si="10"/>
        <v>Office Supplies</v>
      </c>
      <c r="E136" t="s">
        <v>83</v>
      </c>
      <c r="F136" s="11">
        <v>17357</v>
      </c>
      <c r="G136">
        <f t="shared" ca="1" si="11"/>
        <v>2</v>
      </c>
      <c r="H136" s="11">
        <f ca="1">IF(Table1[[#This Row],[Category]]="Electronics",Table1[[#This Row],[Sales]]*0.6,
IF(Table1[[#This Row],[Category]]="Furniture",Table1[[#This Row],[Sales]]*0.75,
IF(Table1[[#This Row],[Category]]="Clothing",Table1[[#This Row],[Sales]]*0.65,
Table1[[#This Row],[Sales]]*0.7)))</f>
        <v>12149.9</v>
      </c>
      <c r="I136" s="11">
        <f ca="1">Table1[[#This Row],[Sales]]-H136</f>
        <v>5207.1000000000004</v>
      </c>
      <c r="J136" s="2">
        <f ca="1">Table1[[#This Row],[Profit]]/Table1[[#This Row],[Sales]]</f>
        <v>0.30000000000000004</v>
      </c>
      <c r="K136" t="str">
        <f ca="1">TEXT(Table1[[#This Row],[Order_Date]],"mmm")</f>
        <v>Jan</v>
      </c>
      <c r="L136">
        <f ca="1">YEAR(Table1[[#This Row],[Order_Date]])</f>
        <v>2023</v>
      </c>
    </row>
    <row r="137" spans="1:12" x14ac:dyDescent="0.3">
      <c r="A137">
        <f t="shared" si="8"/>
        <v>136</v>
      </c>
      <c r="B137" s="1">
        <f t="shared" ca="1" si="9"/>
        <v>45181</v>
      </c>
      <c r="C137" t="s">
        <v>10</v>
      </c>
      <c r="D137" t="str">
        <f t="shared" ca="1" si="10"/>
        <v>Furniture</v>
      </c>
      <c r="E137" t="s">
        <v>85</v>
      </c>
      <c r="F137" s="11">
        <v>8092</v>
      </c>
      <c r="G137">
        <f t="shared" ca="1" si="11"/>
        <v>10</v>
      </c>
      <c r="H137" s="11">
        <f ca="1">IF(Table1[[#This Row],[Category]]="Electronics",Table1[[#This Row],[Sales]]*0.6,
IF(Table1[[#This Row],[Category]]="Furniture",Table1[[#This Row],[Sales]]*0.75,
IF(Table1[[#This Row],[Category]]="Clothing",Table1[[#This Row],[Sales]]*0.65,
Table1[[#This Row],[Sales]]*0.7)))</f>
        <v>6069</v>
      </c>
      <c r="I137" s="11">
        <f ca="1">Table1[[#This Row],[Sales]]-H137</f>
        <v>2023</v>
      </c>
      <c r="J137" s="2">
        <f ca="1">Table1[[#This Row],[Profit]]/Table1[[#This Row],[Sales]]</f>
        <v>0.25</v>
      </c>
      <c r="K137" t="str">
        <f ca="1">TEXT(Table1[[#This Row],[Order_Date]],"mmm")</f>
        <v>Sep</v>
      </c>
      <c r="L137">
        <f ca="1">YEAR(Table1[[#This Row],[Order_Date]])</f>
        <v>2023</v>
      </c>
    </row>
    <row r="138" spans="1:12" x14ac:dyDescent="0.3">
      <c r="A138">
        <f t="shared" si="8"/>
        <v>137</v>
      </c>
      <c r="B138" s="1">
        <f t="shared" ca="1" si="9"/>
        <v>45116</v>
      </c>
      <c r="C138" t="s">
        <v>7</v>
      </c>
      <c r="D138" t="str">
        <f t="shared" ca="1" si="10"/>
        <v>Furniture</v>
      </c>
      <c r="E138" t="s">
        <v>45</v>
      </c>
      <c r="F138" s="11">
        <v>19274</v>
      </c>
      <c r="G138">
        <f t="shared" ca="1" si="11"/>
        <v>9</v>
      </c>
      <c r="H138" s="11">
        <f ca="1">IF(Table1[[#This Row],[Category]]="Electronics",Table1[[#This Row],[Sales]]*0.6,
IF(Table1[[#This Row],[Category]]="Furniture",Table1[[#This Row],[Sales]]*0.75,
IF(Table1[[#This Row],[Category]]="Clothing",Table1[[#This Row],[Sales]]*0.65,
Table1[[#This Row],[Sales]]*0.7)))</f>
        <v>14455.5</v>
      </c>
      <c r="I138" s="11">
        <f ca="1">Table1[[#This Row],[Sales]]-H138</f>
        <v>4818.5</v>
      </c>
      <c r="J138" s="2">
        <f ca="1">Table1[[#This Row],[Profit]]/Table1[[#This Row],[Sales]]</f>
        <v>0.25</v>
      </c>
      <c r="K138" t="str">
        <f ca="1">TEXT(Table1[[#This Row],[Order_Date]],"mmm")</f>
        <v>Jul</v>
      </c>
      <c r="L138">
        <f ca="1">YEAR(Table1[[#This Row],[Order_Date]])</f>
        <v>2023</v>
      </c>
    </row>
    <row r="139" spans="1:12" x14ac:dyDescent="0.3">
      <c r="A139">
        <f t="shared" si="8"/>
        <v>138</v>
      </c>
      <c r="B139" s="1">
        <f t="shared" ca="1" si="9"/>
        <v>45271</v>
      </c>
      <c r="C139" t="s">
        <v>8</v>
      </c>
      <c r="D139" t="str">
        <f t="shared" ca="1" si="10"/>
        <v>Furniture</v>
      </c>
      <c r="E139" t="s">
        <v>67</v>
      </c>
      <c r="F139" s="11">
        <v>1833</v>
      </c>
      <c r="G139">
        <f t="shared" ca="1" si="11"/>
        <v>9</v>
      </c>
      <c r="H139" s="11">
        <f ca="1">IF(Table1[[#This Row],[Category]]="Electronics",Table1[[#This Row],[Sales]]*0.6,
IF(Table1[[#This Row],[Category]]="Furniture",Table1[[#This Row],[Sales]]*0.75,
IF(Table1[[#This Row],[Category]]="Clothing",Table1[[#This Row],[Sales]]*0.65,
Table1[[#This Row],[Sales]]*0.7)))</f>
        <v>1374.75</v>
      </c>
      <c r="I139" s="11">
        <f ca="1">Table1[[#This Row],[Sales]]-H139</f>
        <v>458.25</v>
      </c>
      <c r="J139" s="2">
        <f ca="1">Table1[[#This Row],[Profit]]/Table1[[#This Row],[Sales]]</f>
        <v>0.25</v>
      </c>
      <c r="K139" t="str">
        <f ca="1">TEXT(Table1[[#This Row],[Order_Date]],"mmm")</f>
        <v>Dec</v>
      </c>
      <c r="L139">
        <f ca="1">YEAR(Table1[[#This Row],[Order_Date]])</f>
        <v>2023</v>
      </c>
    </row>
    <row r="140" spans="1:12" x14ac:dyDescent="0.3">
      <c r="A140">
        <f t="shared" si="8"/>
        <v>139</v>
      </c>
      <c r="B140" s="1">
        <f t="shared" ca="1" si="9"/>
        <v>44998</v>
      </c>
      <c r="C140" t="s">
        <v>9</v>
      </c>
      <c r="D140" t="str">
        <f t="shared" ca="1" si="10"/>
        <v>Clothing</v>
      </c>
      <c r="E140" t="s">
        <v>67</v>
      </c>
      <c r="F140" s="11">
        <v>7557</v>
      </c>
      <c r="G140">
        <f t="shared" ca="1" si="11"/>
        <v>6</v>
      </c>
      <c r="H140" s="11">
        <f ca="1">IF(Table1[[#This Row],[Category]]="Electronics",Table1[[#This Row],[Sales]]*0.6,
IF(Table1[[#This Row],[Category]]="Furniture",Table1[[#This Row],[Sales]]*0.75,
IF(Table1[[#This Row],[Category]]="Clothing",Table1[[#This Row],[Sales]]*0.65,
Table1[[#This Row],[Sales]]*0.7)))</f>
        <v>4912.05</v>
      </c>
      <c r="I140" s="11">
        <f ca="1">Table1[[#This Row],[Sales]]-H140</f>
        <v>2644.95</v>
      </c>
      <c r="J140" s="2">
        <f ca="1">Table1[[#This Row],[Profit]]/Table1[[#This Row],[Sales]]</f>
        <v>0.35</v>
      </c>
      <c r="K140" t="str">
        <f ca="1">TEXT(Table1[[#This Row],[Order_Date]],"mmm")</f>
        <v>Mar</v>
      </c>
      <c r="L140">
        <f ca="1">YEAR(Table1[[#This Row],[Order_Date]])</f>
        <v>2023</v>
      </c>
    </row>
    <row r="141" spans="1:12" x14ac:dyDescent="0.3">
      <c r="A141">
        <f t="shared" si="8"/>
        <v>140</v>
      </c>
      <c r="B141" s="1">
        <f t="shared" ca="1" si="9"/>
        <v>45053</v>
      </c>
      <c r="C141" t="s">
        <v>10</v>
      </c>
      <c r="D141" t="str">
        <f t="shared" ca="1" si="10"/>
        <v>Clothing</v>
      </c>
      <c r="E141" t="s">
        <v>81</v>
      </c>
      <c r="F141" s="11">
        <v>2784</v>
      </c>
      <c r="G141">
        <f t="shared" ca="1" si="11"/>
        <v>8</v>
      </c>
      <c r="H141" s="11">
        <f ca="1">IF(Table1[[#This Row],[Category]]="Electronics",Table1[[#This Row],[Sales]]*0.6,
IF(Table1[[#This Row],[Category]]="Furniture",Table1[[#This Row],[Sales]]*0.75,
IF(Table1[[#This Row],[Category]]="Clothing",Table1[[#This Row],[Sales]]*0.65,
Table1[[#This Row],[Sales]]*0.7)))</f>
        <v>1809.6000000000001</v>
      </c>
      <c r="I141" s="11">
        <f ca="1">Table1[[#This Row],[Sales]]-H141</f>
        <v>974.39999999999986</v>
      </c>
      <c r="J141" s="2">
        <f ca="1">Table1[[#This Row],[Profit]]/Table1[[#This Row],[Sales]]</f>
        <v>0.35</v>
      </c>
      <c r="K141" t="str">
        <f ca="1">TEXT(Table1[[#This Row],[Order_Date]],"mmm")</f>
        <v>May</v>
      </c>
      <c r="L141">
        <f ca="1">YEAR(Table1[[#This Row],[Order_Date]])</f>
        <v>2023</v>
      </c>
    </row>
    <row r="142" spans="1:12" x14ac:dyDescent="0.3">
      <c r="A142">
        <f t="shared" si="8"/>
        <v>141</v>
      </c>
      <c r="B142" s="1">
        <f t="shared" ca="1" si="9"/>
        <v>45190</v>
      </c>
      <c r="C142" t="s">
        <v>7</v>
      </c>
      <c r="D142" t="str">
        <f t="shared" ca="1" si="10"/>
        <v>Clothing</v>
      </c>
      <c r="E142" t="s">
        <v>38</v>
      </c>
      <c r="F142" s="11">
        <v>19186</v>
      </c>
      <c r="G142">
        <f t="shared" ca="1" si="11"/>
        <v>2</v>
      </c>
      <c r="H142" s="11">
        <f ca="1">IF(Table1[[#This Row],[Category]]="Electronics",Table1[[#This Row],[Sales]]*0.6,
IF(Table1[[#This Row],[Category]]="Furniture",Table1[[#This Row],[Sales]]*0.75,
IF(Table1[[#This Row],[Category]]="Clothing",Table1[[#This Row],[Sales]]*0.65,
Table1[[#This Row],[Sales]]*0.7)))</f>
        <v>12470.9</v>
      </c>
      <c r="I142" s="11">
        <f ca="1">Table1[[#This Row],[Sales]]-H142</f>
        <v>6715.1</v>
      </c>
      <c r="J142" s="2">
        <f ca="1">Table1[[#This Row],[Profit]]/Table1[[#This Row],[Sales]]</f>
        <v>0.35000000000000003</v>
      </c>
      <c r="K142" t="str">
        <f ca="1">TEXT(Table1[[#This Row],[Order_Date]],"mmm")</f>
        <v>Sep</v>
      </c>
      <c r="L142">
        <f ca="1">YEAR(Table1[[#This Row],[Order_Date]])</f>
        <v>2023</v>
      </c>
    </row>
    <row r="143" spans="1:12" x14ac:dyDescent="0.3">
      <c r="A143">
        <f t="shared" si="8"/>
        <v>142</v>
      </c>
      <c r="B143" s="1">
        <f t="shared" ca="1" si="9"/>
        <v>45268</v>
      </c>
      <c r="C143" t="s">
        <v>8</v>
      </c>
      <c r="D143" t="str">
        <f t="shared" ca="1" si="10"/>
        <v>Furniture</v>
      </c>
      <c r="E143" t="s">
        <v>62</v>
      </c>
      <c r="F143" s="11">
        <v>13878</v>
      </c>
      <c r="G143">
        <f t="shared" ca="1" si="11"/>
        <v>3</v>
      </c>
      <c r="H143" s="11">
        <f ca="1">IF(Table1[[#This Row],[Category]]="Electronics",Table1[[#This Row],[Sales]]*0.6,
IF(Table1[[#This Row],[Category]]="Furniture",Table1[[#This Row],[Sales]]*0.75,
IF(Table1[[#This Row],[Category]]="Clothing",Table1[[#This Row],[Sales]]*0.65,
Table1[[#This Row],[Sales]]*0.7)))</f>
        <v>10408.5</v>
      </c>
      <c r="I143" s="11">
        <f ca="1">Table1[[#This Row],[Sales]]-H143</f>
        <v>3469.5</v>
      </c>
      <c r="J143" s="2">
        <f ca="1">Table1[[#This Row],[Profit]]/Table1[[#This Row],[Sales]]</f>
        <v>0.25</v>
      </c>
      <c r="K143" t="str">
        <f ca="1">TEXT(Table1[[#This Row],[Order_Date]],"mmm")</f>
        <v>Dec</v>
      </c>
      <c r="L143">
        <f ca="1">YEAR(Table1[[#This Row],[Order_Date]])</f>
        <v>2023</v>
      </c>
    </row>
    <row r="144" spans="1:12" x14ac:dyDescent="0.3">
      <c r="A144">
        <f t="shared" si="8"/>
        <v>143</v>
      </c>
      <c r="B144" s="1">
        <f t="shared" ca="1" si="9"/>
        <v>45088</v>
      </c>
      <c r="C144" t="s">
        <v>9</v>
      </c>
      <c r="D144" t="str">
        <f t="shared" ca="1" si="10"/>
        <v>Electronics</v>
      </c>
      <c r="E144" t="s">
        <v>66</v>
      </c>
      <c r="F144" s="11">
        <v>13493</v>
      </c>
      <c r="G144">
        <f t="shared" ca="1" si="11"/>
        <v>9</v>
      </c>
      <c r="H144" s="11">
        <f ca="1">IF(Table1[[#This Row],[Category]]="Electronics",Table1[[#This Row],[Sales]]*0.6,
IF(Table1[[#This Row],[Category]]="Furniture",Table1[[#This Row],[Sales]]*0.75,
IF(Table1[[#This Row],[Category]]="Clothing",Table1[[#This Row],[Sales]]*0.65,
Table1[[#This Row],[Sales]]*0.7)))</f>
        <v>8095.7999999999993</v>
      </c>
      <c r="I144" s="11">
        <f ca="1">Table1[[#This Row],[Sales]]-H144</f>
        <v>5397.2000000000007</v>
      </c>
      <c r="J144" s="2">
        <f ca="1">Table1[[#This Row],[Profit]]/Table1[[#This Row],[Sales]]</f>
        <v>0.40000000000000008</v>
      </c>
      <c r="K144" t="str">
        <f ca="1">TEXT(Table1[[#This Row],[Order_Date]],"mmm")</f>
        <v>Jun</v>
      </c>
      <c r="L144">
        <f ca="1">YEAR(Table1[[#This Row],[Order_Date]])</f>
        <v>2023</v>
      </c>
    </row>
    <row r="145" spans="1:12" x14ac:dyDescent="0.3">
      <c r="A145">
        <f t="shared" si="8"/>
        <v>144</v>
      </c>
      <c r="B145" s="1">
        <f t="shared" ca="1" si="9"/>
        <v>45246</v>
      </c>
      <c r="C145" t="s">
        <v>10</v>
      </c>
      <c r="D145" t="str">
        <f t="shared" ca="1" si="10"/>
        <v>Office Supplies</v>
      </c>
      <c r="E145" t="s">
        <v>48</v>
      </c>
      <c r="F145" s="11">
        <v>18230</v>
      </c>
      <c r="G145">
        <f t="shared" ca="1" si="11"/>
        <v>10</v>
      </c>
      <c r="H145" s="11">
        <f ca="1">IF(Table1[[#This Row],[Category]]="Electronics",Table1[[#This Row],[Sales]]*0.6,
IF(Table1[[#This Row],[Category]]="Furniture",Table1[[#This Row],[Sales]]*0.75,
IF(Table1[[#This Row],[Category]]="Clothing",Table1[[#This Row],[Sales]]*0.65,
Table1[[#This Row],[Sales]]*0.7)))</f>
        <v>12761</v>
      </c>
      <c r="I145" s="11">
        <f ca="1">Table1[[#This Row],[Sales]]-H145</f>
        <v>5469</v>
      </c>
      <c r="J145" s="2">
        <f ca="1">Table1[[#This Row],[Profit]]/Table1[[#This Row],[Sales]]</f>
        <v>0.3</v>
      </c>
      <c r="K145" t="str">
        <f ca="1">TEXT(Table1[[#This Row],[Order_Date]],"mmm")</f>
        <v>Nov</v>
      </c>
      <c r="L145">
        <f ca="1">YEAR(Table1[[#This Row],[Order_Date]])</f>
        <v>2023</v>
      </c>
    </row>
    <row r="146" spans="1:12" x14ac:dyDescent="0.3">
      <c r="A146">
        <f t="shared" si="8"/>
        <v>145</v>
      </c>
      <c r="B146" s="1">
        <f t="shared" ca="1" si="9"/>
        <v>45148</v>
      </c>
      <c r="C146" t="s">
        <v>7</v>
      </c>
      <c r="D146" t="str">
        <f t="shared" ca="1" si="10"/>
        <v>Furniture</v>
      </c>
      <c r="E146" t="s">
        <v>75</v>
      </c>
      <c r="F146" s="11">
        <v>4074</v>
      </c>
      <c r="G146">
        <f t="shared" ca="1" si="11"/>
        <v>8</v>
      </c>
      <c r="H146" s="11">
        <f ca="1">IF(Table1[[#This Row],[Category]]="Electronics",Table1[[#This Row],[Sales]]*0.6,
IF(Table1[[#This Row],[Category]]="Furniture",Table1[[#This Row],[Sales]]*0.75,
IF(Table1[[#This Row],[Category]]="Clothing",Table1[[#This Row],[Sales]]*0.65,
Table1[[#This Row],[Sales]]*0.7)))</f>
        <v>3055.5</v>
      </c>
      <c r="I146" s="11">
        <f ca="1">Table1[[#This Row],[Sales]]-H146</f>
        <v>1018.5</v>
      </c>
      <c r="J146" s="2">
        <f ca="1">Table1[[#This Row],[Profit]]/Table1[[#This Row],[Sales]]</f>
        <v>0.25</v>
      </c>
      <c r="K146" t="str">
        <f ca="1">TEXT(Table1[[#This Row],[Order_Date]],"mmm")</f>
        <v>Aug</v>
      </c>
      <c r="L146">
        <f ca="1">YEAR(Table1[[#This Row],[Order_Date]])</f>
        <v>2023</v>
      </c>
    </row>
    <row r="147" spans="1:12" x14ac:dyDescent="0.3">
      <c r="A147">
        <f t="shared" si="8"/>
        <v>146</v>
      </c>
      <c r="B147" s="1">
        <f t="shared" ca="1" si="9"/>
        <v>45216</v>
      </c>
      <c r="C147" t="s">
        <v>8</v>
      </c>
      <c r="D147" t="str">
        <f t="shared" ca="1" si="10"/>
        <v>Clothing</v>
      </c>
      <c r="E147" t="s">
        <v>60</v>
      </c>
      <c r="F147" s="11">
        <v>14932</v>
      </c>
      <c r="G147">
        <f t="shared" ca="1" si="11"/>
        <v>3</v>
      </c>
      <c r="H147" s="11">
        <f ca="1">IF(Table1[[#This Row],[Category]]="Electronics",Table1[[#This Row],[Sales]]*0.6,
IF(Table1[[#This Row],[Category]]="Furniture",Table1[[#This Row],[Sales]]*0.75,
IF(Table1[[#This Row],[Category]]="Clothing",Table1[[#This Row],[Sales]]*0.65,
Table1[[#This Row],[Sales]]*0.7)))</f>
        <v>9705.8000000000011</v>
      </c>
      <c r="I147" s="11">
        <f ca="1">Table1[[#This Row],[Sales]]-H147</f>
        <v>5226.1999999999989</v>
      </c>
      <c r="J147" s="2">
        <f ca="1">Table1[[#This Row],[Profit]]/Table1[[#This Row],[Sales]]</f>
        <v>0.34999999999999992</v>
      </c>
      <c r="K147" t="str">
        <f ca="1">TEXT(Table1[[#This Row],[Order_Date]],"mmm")</f>
        <v>Oct</v>
      </c>
      <c r="L147">
        <f ca="1">YEAR(Table1[[#This Row],[Order_Date]])</f>
        <v>2023</v>
      </c>
    </row>
    <row r="148" spans="1:12" x14ac:dyDescent="0.3">
      <c r="A148">
        <f t="shared" si="8"/>
        <v>147</v>
      </c>
      <c r="B148" s="1">
        <f t="shared" ca="1" si="9"/>
        <v>45191</v>
      </c>
      <c r="C148" t="s">
        <v>9</v>
      </c>
      <c r="D148" t="str">
        <f t="shared" ca="1" si="10"/>
        <v>Office Supplies</v>
      </c>
      <c r="E148" t="s">
        <v>55</v>
      </c>
      <c r="F148" s="11">
        <v>9684</v>
      </c>
      <c r="G148">
        <f t="shared" ca="1" si="11"/>
        <v>2</v>
      </c>
      <c r="H148" s="11">
        <f ca="1">IF(Table1[[#This Row],[Category]]="Electronics",Table1[[#This Row],[Sales]]*0.6,
IF(Table1[[#This Row],[Category]]="Furniture",Table1[[#This Row],[Sales]]*0.75,
IF(Table1[[#This Row],[Category]]="Clothing",Table1[[#This Row],[Sales]]*0.65,
Table1[[#This Row],[Sales]]*0.7)))</f>
        <v>6778.7999999999993</v>
      </c>
      <c r="I148" s="11">
        <f ca="1">Table1[[#This Row],[Sales]]-H148</f>
        <v>2905.2000000000007</v>
      </c>
      <c r="J148" s="2">
        <f ca="1">Table1[[#This Row],[Profit]]/Table1[[#This Row],[Sales]]</f>
        <v>0.3000000000000001</v>
      </c>
      <c r="K148" t="str">
        <f ca="1">TEXT(Table1[[#This Row],[Order_Date]],"mmm")</f>
        <v>Sep</v>
      </c>
      <c r="L148">
        <f ca="1">YEAR(Table1[[#This Row],[Order_Date]])</f>
        <v>2023</v>
      </c>
    </row>
    <row r="149" spans="1:12" x14ac:dyDescent="0.3">
      <c r="A149">
        <f t="shared" si="8"/>
        <v>148</v>
      </c>
      <c r="B149" s="1">
        <f t="shared" ca="1" si="9"/>
        <v>44958</v>
      </c>
      <c r="C149" t="s">
        <v>10</v>
      </c>
      <c r="D149" t="str">
        <f t="shared" ca="1" si="10"/>
        <v>Office Supplies</v>
      </c>
      <c r="E149" t="s">
        <v>44</v>
      </c>
      <c r="F149" s="11">
        <v>9835</v>
      </c>
      <c r="G149">
        <f t="shared" ca="1" si="11"/>
        <v>3</v>
      </c>
      <c r="H149" s="11">
        <f ca="1">IF(Table1[[#This Row],[Category]]="Electronics",Table1[[#This Row],[Sales]]*0.6,
IF(Table1[[#This Row],[Category]]="Furniture",Table1[[#This Row],[Sales]]*0.75,
IF(Table1[[#This Row],[Category]]="Clothing",Table1[[#This Row],[Sales]]*0.65,
Table1[[#This Row],[Sales]]*0.7)))</f>
        <v>6884.5</v>
      </c>
      <c r="I149" s="11">
        <f ca="1">Table1[[#This Row],[Sales]]-H149</f>
        <v>2950.5</v>
      </c>
      <c r="J149" s="2">
        <f ca="1">Table1[[#This Row],[Profit]]/Table1[[#This Row],[Sales]]</f>
        <v>0.3</v>
      </c>
      <c r="K149" t="str">
        <f ca="1">TEXT(Table1[[#This Row],[Order_Date]],"mmm")</f>
        <v>Feb</v>
      </c>
      <c r="L149">
        <f ca="1">YEAR(Table1[[#This Row],[Order_Date]])</f>
        <v>2023</v>
      </c>
    </row>
    <row r="150" spans="1:12" x14ac:dyDescent="0.3">
      <c r="A150">
        <f t="shared" si="8"/>
        <v>149</v>
      </c>
      <c r="B150" s="1">
        <f t="shared" ca="1" si="9"/>
        <v>45088</v>
      </c>
      <c r="C150" t="s">
        <v>7</v>
      </c>
      <c r="D150" t="str">
        <f t="shared" ca="1" si="10"/>
        <v>Clothing</v>
      </c>
      <c r="E150" t="s">
        <v>58</v>
      </c>
      <c r="F150" s="11">
        <v>12012</v>
      </c>
      <c r="G150">
        <f t="shared" ca="1" si="11"/>
        <v>2</v>
      </c>
      <c r="H150" s="11">
        <f ca="1">IF(Table1[[#This Row],[Category]]="Electronics",Table1[[#This Row],[Sales]]*0.6,
IF(Table1[[#This Row],[Category]]="Furniture",Table1[[#This Row],[Sales]]*0.75,
IF(Table1[[#This Row],[Category]]="Clothing",Table1[[#This Row],[Sales]]*0.65,
Table1[[#This Row],[Sales]]*0.7)))</f>
        <v>7807.8</v>
      </c>
      <c r="I150" s="11">
        <f ca="1">Table1[[#This Row],[Sales]]-H150</f>
        <v>4204.2</v>
      </c>
      <c r="J150" s="2">
        <f ca="1">Table1[[#This Row],[Profit]]/Table1[[#This Row],[Sales]]</f>
        <v>0.35</v>
      </c>
      <c r="K150" t="str">
        <f ca="1">TEXT(Table1[[#This Row],[Order_Date]],"mmm")</f>
        <v>Jun</v>
      </c>
      <c r="L150">
        <f ca="1">YEAR(Table1[[#This Row],[Order_Date]])</f>
        <v>2023</v>
      </c>
    </row>
    <row r="151" spans="1:12" x14ac:dyDescent="0.3">
      <c r="A151">
        <f t="shared" si="8"/>
        <v>150</v>
      </c>
      <c r="B151" s="1">
        <f t="shared" ca="1" si="9"/>
        <v>45004</v>
      </c>
      <c r="C151" t="s">
        <v>8</v>
      </c>
      <c r="D151" t="str">
        <f t="shared" ca="1" si="10"/>
        <v>Clothing</v>
      </c>
      <c r="E151" t="s">
        <v>78</v>
      </c>
      <c r="F151" s="11">
        <v>4876</v>
      </c>
      <c r="G151">
        <f t="shared" ca="1" si="11"/>
        <v>1</v>
      </c>
      <c r="H151" s="11">
        <f ca="1">IF(Table1[[#This Row],[Category]]="Electronics",Table1[[#This Row],[Sales]]*0.6,
IF(Table1[[#This Row],[Category]]="Furniture",Table1[[#This Row],[Sales]]*0.75,
IF(Table1[[#This Row],[Category]]="Clothing",Table1[[#This Row],[Sales]]*0.65,
Table1[[#This Row],[Sales]]*0.7)))</f>
        <v>3169.4</v>
      </c>
      <c r="I151" s="11">
        <f ca="1">Table1[[#This Row],[Sales]]-H151</f>
        <v>1706.6</v>
      </c>
      <c r="J151" s="2">
        <f ca="1">Table1[[#This Row],[Profit]]/Table1[[#This Row],[Sales]]</f>
        <v>0.35</v>
      </c>
      <c r="K151" t="str">
        <f ca="1">TEXT(Table1[[#This Row],[Order_Date]],"mmm")</f>
        <v>Mar</v>
      </c>
      <c r="L151">
        <f ca="1">YEAR(Table1[[#This Row],[Order_Date]])</f>
        <v>2023</v>
      </c>
    </row>
    <row r="152" spans="1:12" x14ac:dyDescent="0.3">
      <c r="A152">
        <f t="shared" si="8"/>
        <v>151</v>
      </c>
      <c r="B152" s="1">
        <f t="shared" ca="1" si="9"/>
        <v>44998</v>
      </c>
      <c r="C152" t="s">
        <v>9</v>
      </c>
      <c r="D152" t="str">
        <f t="shared" ca="1" si="10"/>
        <v>Clothing</v>
      </c>
      <c r="E152" t="s">
        <v>36</v>
      </c>
      <c r="F152" s="11">
        <v>3409</v>
      </c>
      <c r="G152">
        <f t="shared" ca="1" si="11"/>
        <v>5</v>
      </c>
      <c r="H152" s="11">
        <f ca="1">IF(Table1[[#This Row],[Category]]="Electronics",Table1[[#This Row],[Sales]]*0.6,
IF(Table1[[#This Row],[Category]]="Furniture",Table1[[#This Row],[Sales]]*0.75,
IF(Table1[[#This Row],[Category]]="Clothing",Table1[[#This Row],[Sales]]*0.65,
Table1[[#This Row],[Sales]]*0.7)))</f>
        <v>2215.85</v>
      </c>
      <c r="I152" s="11">
        <f ca="1">Table1[[#This Row],[Sales]]-H152</f>
        <v>1193.1500000000001</v>
      </c>
      <c r="J152" s="2">
        <f ca="1">Table1[[#This Row],[Profit]]/Table1[[#This Row],[Sales]]</f>
        <v>0.35000000000000003</v>
      </c>
      <c r="K152" t="str">
        <f ca="1">TEXT(Table1[[#This Row],[Order_Date]],"mmm")</f>
        <v>Mar</v>
      </c>
      <c r="L152">
        <f ca="1">YEAR(Table1[[#This Row],[Order_Date]])</f>
        <v>2023</v>
      </c>
    </row>
    <row r="153" spans="1:12" x14ac:dyDescent="0.3">
      <c r="A153">
        <f t="shared" si="8"/>
        <v>152</v>
      </c>
      <c r="B153" s="1">
        <f t="shared" ca="1" si="9"/>
        <v>44962</v>
      </c>
      <c r="C153" t="s">
        <v>10</v>
      </c>
      <c r="D153" t="str">
        <f t="shared" ca="1" si="10"/>
        <v>Electronics</v>
      </c>
      <c r="E153" t="s">
        <v>60</v>
      </c>
      <c r="F153" s="11">
        <v>12727</v>
      </c>
      <c r="G153">
        <f t="shared" ca="1" si="11"/>
        <v>9</v>
      </c>
      <c r="H153" s="11">
        <f ca="1">IF(Table1[[#This Row],[Category]]="Electronics",Table1[[#This Row],[Sales]]*0.6,
IF(Table1[[#This Row],[Category]]="Furniture",Table1[[#This Row],[Sales]]*0.75,
IF(Table1[[#This Row],[Category]]="Clothing",Table1[[#This Row],[Sales]]*0.65,
Table1[[#This Row],[Sales]]*0.7)))</f>
        <v>7636.2</v>
      </c>
      <c r="I153" s="11">
        <f ca="1">Table1[[#This Row],[Sales]]-H153</f>
        <v>5090.8</v>
      </c>
      <c r="J153" s="2">
        <f ca="1">Table1[[#This Row],[Profit]]/Table1[[#This Row],[Sales]]</f>
        <v>0.4</v>
      </c>
      <c r="K153" t="str">
        <f ca="1">TEXT(Table1[[#This Row],[Order_Date]],"mmm")</f>
        <v>Feb</v>
      </c>
      <c r="L153">
        <f ca="1">YEAR(Table1[[#This Row],[Order_Date]])</f>
        <v>2023</v>
      </c>
    </row>
    <row r="154" spans="1:12" x14ac:dyDescent="0.3">
      <c r="A154">
        <f t="shared" si="8"/>
        <v>153</v>
      </c>
      <c r="B154" s="1">
        <f t="shared" ca="1" si="9"/>
        <v>45243</v>
      </c>
      <c r="C154" t="s">
        <v>7</v>
      </c>
      <c r="D154" t="str">
        <f t="shared" ca="1" si="10"/>
        <v>Electronics</v>
      </c>
      <c r="E154" t="s">
        <v>72</v>
      </c>
      <c r="F154" s="11">
        <v>6909</v>
      </c>
      <c r="G154">
        <f t="shared" ca="1" si="11"/>
        <v>6</v>
      </c>
      <c r="H154" s="11">
        <f ca="1">IF(Table1[[#This Row],[Category]]="Electronics",Table1[[#This Row],[Sales]]*0.6,
IF(Table1[[#This Row],[Category]]="Furniture",Table1[[#This Row],[Sales]]*0.75,
IF(Table1[[#This Row],[Category]]="Clothing",Table1[[#This Row],[Sales]]*0.65,
Table1[[#This Row],[Sales]]*0.7)))</f>
        <v>4145.3999999999996</v>
      </c>
      <c r="I154" s="11">
        <f ca="1">Table1[[#This Row],[Sales]]-H154</f>
        <v>2763.6000000000004</v>
      </c>
      <c r="J154" s="2">
        <f ca="1">Table1[[#This Row],[Profit]]/Table1[[#This Row],[Sales]]</f>
        <v>0.40000000000000008</v>
      </c>
      <c r="K154" t="str">
        <f ca="1">TEXT(Table1[[#This Row],[Order_Date]],"mmm")</f>
        <v>Nov</v>
      </c>
      <c r="L154">
        <f ca="1">YEAR(Table1[[#This Row],[Order_Date]])</f>
        <v>2023</v>
      </c>
    </row>
    <row r="155" spans="1:12" x14ac:dyDescent="0.3">
      <c r="A155">
        <f t="shared" si="8"/>
        <v>154</v>
      </c>
      <c r="B155" s="1">
        <f t="shared" ca="1" si="9"/>
        <v>44986</v>
      </c>
      <c r="C155" t="s">
        <v>8</v>
      </c>
      <c r="D155" t="str">
        <f t="shared" ca="1" si="10"/>
        <v>Furniture</v>
      </c>
      <c r="E155" t="s">
        <v>78</v>
      </c>
      <c r="F155" s="11">
        <v>18961</v>
      </c>
      <c r="G155">
        <f t="shared" ca="1" si="11"/>
        <v>2</v>
      </c>
      <c r="H155" s="11">
        <f ca="1">IF(Table1[[#This Row],[Category]]="Electronics",Table1[[#This Row],[Sales]]*0.6,
IF(Table1[[#This Row],[Category]]="Furniture",Table1[[#This Row],[Sales]]*0.75,
IF(Table1[[#This Row],[Category]]="Clothing",Table1[[#This Row],[Sales]]*0.65,
Table1[[#This Row],[Sales]]*0.7)))</f>
        <v>14220.75</v>
      </c>
      <c r="I155" s="11">
        <f ca="1">Table1[[#This Row],[Sales]]-H155</f>
        <v>4740.25</v>
      </c>
      <c r="J155" s="2">
        <f ca="1">Table1[[#This Row],[Profit]]/Table1[[#This Row],[Sales]]</f>
        <v>0.25</v>
      </c>
      <c r="K155" t="str">
        <f ca="1">TEXT(Table1[[#This Row],[Order_Date]],"mmm")</f>
        <v>Mar</v>
      </c>
      <c r="L155">
        <f ca="1">YEAR(Table1[[#This Row],[Order_Date]])</f>
        <v>2023</v>
      </c>
    </row>
    <row r="156" spans="1:12" x14ac:dyDescent="0.3">
      <c r="A156">
        <f t="shared" si="8"/>
        <v>155</v>
      </c>
      <c r="B156" s="1">
        <f t="shared" ca="1" si="9"/>
        <v>44967</v>
      </c>
      <c r="C156" t="s">
        <v>9</v>
      </c>
      <c r="D156" t="str">
        <f t="shared" ca="1" si="10"/>
        <v>Office Supplies</v>
      </c>
      <c r="E156" t="s">
        <v>69</v>
      </c>
      <c r="F156" s="11">
        <v>12976</v>
      </c>
      <c r="G156">
        <f t="shared" ca="1" si="11"/>
        <v>6</v>
      </c>
      <c r="H156" s="11">
        <f ca="1">IF(Table1[[#This Row],[Category]]="Electronics",Table1[[#This Row],[Sales]]*0.6,
IF(Table1[[#This Row],[Category]]="Furniture",Table1[[#This Row],[Sales]]*0.75,
IF(Table1[[#This Row],[Category]]="Clothing",Table1[[#This Row],[Sales]]*0.65,
Table1[[#This Row],[Sales]]*0.7)))</f>
        <v>9083.1999999999989</v>
      </c>
      <c r="I156" s="11">
        <f ca="1">Table1[[#This Row],[Sales]]-H156</f>
        <v>3892.8000000000011</v>
      </c>
      <c r="J156" s="2">
        <f ca="1">Table1[[#This Row],[Profit]]/Table1[[#This Row],[Sales]]</f>
        <v>0.3000000000000001</v>
      </c>
      <c r="K156" t="str">
        <f ca="1">TEXT(Table1[[#This Row],[Order_Date]],"mmm")</f>
        <v>Feb</v>
      </c>
      <c r="L156">
        <f ca="1">YEAR(Table1[[#This Row],[Order_Date]])</f>
        <v>2023</v>
      </c>
    </row>
    <row r="157" spans="1:12" x14ac:dyDescent="0.3">
      <c r="A157">
        <f t="shared" si="8"/>
        <v>156</v>
      </c>
      <c r="B157" s="1">
        <f t="shared" ca="1" si="9"/>
        <v>45150</v>
      </c>
      <c r="C157" t="s">
        <v>10</v>
      </c>
      <c r="D157" t="str">
        <f t="shared" ca="1" si="10"/>
        <v>Office Supplies</v>
      </c>
      <c r="E157" t="s">
        <v>77</v>
      </c>
      <c r="F157" s="11">
        <v>12328</v>
      </c>
      <c r="G157">
        <f t="shared" ca="1" si="11"/>
        <v>5</v>
      </c>
      <c r="H157" s="11">
        <f ca="1">IF(Table1[[#This Row],[Category]]="Electronics",Table1[[#This Row],[Sales]]*0.6,
IF(Table1[[#This Row],[Category]]="Furniture",Table1[[#This Row],[Sales]]*0.75,
IF(Table1[[#This Row],[Category]]="Clothing",Table1[[#This Row],[Sales]]*0.65,
Table1[[#This Row],[Sales]]*0.7)))</f>
        <v>8629.5999999999985</v>
      </c>
      <c r="I157" s="11">
        <f ca="1">Table1[[#This Row],[Sales]]-H157</f>
        <v>3698.4000000000015</v>
      </c>
      <c r="J157" s="2">
        <f ca="1">Table1[[#This Row],[Profit]]/Table1[[#This Row],[Sales]]</f>
        <v>0.3000000000000001</v>
      </c>
      <c r="K157" t="str">
        <f ca="1">TEXT(Table1[[#This Row],[Order_Date]],"mmm")</f>
        <v>Aug</v>
      </c>
      <c r="L157">
        <f ca="1">YEAR(Table1[[#This Row],[Order_Date]])</f>
        <v>2023</v>
      </c>
    </row>
    <row r="158" spans="1:12" x14ac:dyDescent="0.3">
      <c r="A158">
        <f t="shared" si="8"/>
        <v>157</v>
      </c>
      <c r="B158" s="1">
        <f t="shared" ca="1" si="9"/>
        <v>45126</v>
      </c>
      <c r="C158" t="s">
        <v>7</v>
      </c>
      <c r="D158" t="str">
        <f t="shared" ca="1" si="10"/>
        <v>Office Supplies</v>
      </c>
      <c r="E158" t="s">
        <v>84</v>
      </c>
      <c r="F158" s="11">
        <v>13398</v>
      </c>
      <c r="G158">
        <f t="shared" ca="1" si="11"/>
        <v>8</v>
      </c>
      <c r="H158" s="11">
        <f ca="1">IF(Table1[[#This Row],[Category]]="Electronics",Table1[[#This Row],[Sales]]*0.6,
IF(Table1[[#This Row],[Category]]="Furniture",Table1[[#This Row],[Sales]]*0.75,
IF(Table1[[#This Row],[Category]]="Clothing",Table1[[#This Row],[Sales]]*0.65,
Table1[[#This Row],[Sales]]*0.7)))</f>
        <v>9378.5999999999985</v>
      </c>
      <c r="I158" s="11">
        <f ca="1">Table1[[#This Row],[Sales]]-H158</f>
        <v>4019.4000000000015</v>
      </c>
      <c r="J158" s="2">
        <f ca="1">Table1[[#This Row],[Profit]]/Table1[[#This Row],[Sales]]</f>
        <v>0.3000000000000001</v>
      </c>
      <c r="K158" t="str">
        <f ca="1">TEXT(Table1[[#This Row],[Order_Date]],"mmm")</f>
        <v>Jul</v>
      </c>
      <c r="L158">
        <f ca="1">YEAR(Table1[[#This Row],[Order_Date]])</f>
        <v>2023</v>
      </c>
    </row>
    <row r="159" spans="1:12" x14ac:dyDescent="0.3">
      <c r="A159">
        <f t="shared" si="8"/>
        <v>158</v>
      </c>
      <c r="B159" s="1">
        <f t="shared" ca="1" si="9"/>
        <v>45012</v>
      </c>
      <c r="C159" t="s">
        <v>8</v>
      </c>
      <c r="D159" t="str">
        <f t="shared" ca="1" si="10"/>
        <v>Furniture</v>
      </c>
      <c r="E159" t="s">
        <v>70</v>
      </c>
      <c r="F159" s="11">
        <v>16265</v>
      </c>
      <c r="G159">
        <f t="shared" ca="1" si="11"/>
        <v>9</v>
      </c>
      <c r="H159" s="11">
        <f ca="1">IF(Table1[[#This Row],[Category]]="Electronics",Table1[[#This Row],[Sales]]*0.6,
IF(Table1[[#This Row],[Category]]="Furniture",Table1[[#This Row],[Sales]]*0.75,
IF(Table1[[#This Row],[Category]]="Clothing",Table1[[#This Row],[Sales]]*0.65,
Table1[[#This Row],[Sales]]*0.7)))</f>
        <v>12198.75</v>
      </c>
      <c r="I159" s="11">
        <f ca="1">Table1[[#This Row],[Sales]]-H159</f>
        <v>4066.25</v>
      </c>
      <c r="J159" s="2">
        <f ca="1">Table1[[#This Row],[Profit]]/Table1[[#This Row],[Sales]]</f>
        <v>0.25</v>
      </c>
      <c r="K159" t="str">
        <f ca="1">TEXT(Table1[[#This Row],[Order_Date]],"mmm")</f>
        <v>Mar</v>
      </c>
      <c r="L159">
        <f ca="1">YEAR(Table1[[#This Row],[Order_Date]])</f>
        <v>2023</v>
      </c>
    </row>
    <row r="160" spans="1:12" x14ac:dyDescent="0.3">
      <c r="A160">
        <f t="shared" si="8"/>
        <v>159</v>
      </c>
      <c r="B160" s="1">
        <f t="shared" ca="1" si="9"/>
        <v>45127</v>
      </c>
      <c r="C160" t="s">
        <v>9</v>
      </c>
      <c r="D160" t="str">
        <f t="shared" ca="1" si="10"/>
        <v>Electronics</v>
      </c>
      <c r="E160" t="s">
        <v>67</v>
      </c>
      <c r="F160" s="11">
        <v>3870</v>
      </c>
      <c r="G160">
        <f t="shared" ca="1" si="11"/>
        <v>6</v>
      </c>
      <c r="H160" s="11">
        <f ca="1">IF(Table1[[#This Row],[Category]]="Electronics",Table1[[#This Row],[Sales]]*0.6,
IF(Table1[[#This Row],[Category]]="Furniture",Table1[[#This Row],[Sales]]*0.75,
IF(Table1[[#This Row],[Category]]="Clothing",Table1[[#This Row],[Sales]]*0.65,
Table1[[#This Row],[Sales]]*0.7)))</f>
        <v>2322</v>
      </c>
      <c r="I160" s="11">
        <f ca="1">Table1[[#This Row],[Sales]]-H160</f>
        <v>1548</v>
      </c>
      <c r="J160" s="2">
        <f ca="1">Table1[[#This Row],[Profit]]/Table1[[#This Row],[Sales]]</f>
        <v>0.4</v>
      </c>
      <c r="K160" t="str">
        <f ca="1">TEXT(Table1[[#This Row],[Order_Date]],"mmm")</f>
        <v>Jul</v>
      </c>
      <c r="L160">
        <f ca="1">YEAR(Table1[[#This Row],[Order_Date]])</f>
        <v>2023</v>
      </c>
    </row>
    <row r="161" spans="1:12" x14ac:dyDescent="0.3">
      <c r="A161">
        <f t="shared" si="8"/>
        <v>160</v>
      </c>
      <c r="B161" s="1">
        <f t="shared" ca="1" si="9"/>
        <v>45129</v>
      </c>
      <c r="C161" t="s">
        <v>10</v>
      </c>
      <c r="D161" t="str">
        <f t="shared" ca="1" si="10"/>
        <v>Clothing</v>
      </c>
      <c r="E161" t="s">
        <v>58</v>
      </c>
      <c r="F161" s="11">
        <v>3331</v>
      </c>
      <c r="G161">
        <f t="shared" ca="1" si="11"/>
        <v>6</v>
      </c>
      <c r="H161" s="11">
        <f ca="1">IF(Table1[[#This Row],[Category]]="Electronics",Table1[[#This Row],[Sales]]*0.6,
IF(Table1[[#This Row],[Category]]="Furniture",Table1[[#This Row],[Sales]]*0.75,
IF(Table1[[#This Row],[Category]]="Clothing",Table1[[#This Row],[Sales]]*0.65,
Table1[[#This Row],[Sales]]*0.7)))</f>
        <v>2165.15</v>
      </c>
      <c r="I161" s="11">
        <f ca="1">Table1[[#This Row],[Sales]]-H161</f>
        <v>1165.8499999999999</v>
      </c>
      <c r="J161" s="2">
        <f ca="1">Table1[[#This Row],[Profit]]/Table1[[#This Row],[Sales]]</f>
        <v>0.35</v>
      </c>
      <c r="K161" t="str">
        <f ca="1">TEXT(Table1[[#This Row],[Order_Date]],"mmm")</f>
        <v>Jul</v>
      </c>
      <c r="L161">
        <f ca="1">YEAR(Table1[[#This Row],[Order_Date]])</f>
        <v>2023</v>
      </c>
    </row>
    <row r="162" spans="1:12" x14ac:dyDescent="0.3">
      <c r="A162">
        <f t="shared" si="8"/>
        <v>161</v>
      </c>
      <c r="B162" s="1">
        <f t="shared" ca="1" si="9"/>
        <v>45101</v>
      </c>
      <c r="C162" t="s">
        <v>7</v>
      </c>
      <c r="D162" t="str">
        <f t="shared" ca="1" si="10"/>
        <v>Electronics</v>
      </c>
      <c r="E162" t="s">
        <v>36</v>
      </c>
      <c r="F162" s="11">
        <v>16675</v>
      </c>
      <c r="G162">
        <f t="shared" ca="1" si="11"/>
        <v>2</v>
      </c>
      <c r="H162" s="11">
        <f ca="1">IF(Table1[[#This Row],[Category]]="Electronics",Table1[[#This Row],[Sales]]*0.6,
IF(Table1[[#This Row],[Category]]="Furniture",Table1[[#This Row],[Sales]]*0.75,
IF(Table1[[#This Row],[Category]]="Clothing",Table1[[#This Row],[Sales]]*0.65,
Table1[[#This Row],[Sales]]*0.7)))</f>
        <v>10005</v>
      </c>
      <c r="I162" s="11">
        <f ca="1">Table1[[#This Row],[Sales]]-H162</f>
        <v>6670</v>
      </c>
      <c r="J162" s="2">
        <f ca="1">Table1[[#This Row],[Profit]]/Table1[[#This Row],[Sales]]</f>
        <v>0.4</v>
      </c>
      <c r="K162" t="str">
        <f ca="1">TEXT(Table1[[#This Row],[Order_Date]],"mmm")</f>
        <v>Jun</v>
      </c>
      <c r="L162">
        <f ca="1">YEAR(Table1[[#This Row],[Order_Date]])</f>
        <v>2023</v>
      </c>
    </row>
    <row r="163" spans="1:12" x14ac:dyDescent="0.3">
      <c r="A163">
        <f t="shared" si="8"/>
        <v>162</v>
      </c>
      <c r="B163" s="1">
        <f t="shared" ca="1" si="9"/>
        <v>45193</v>
      </c>
      <c r="C163" t="s">
        <v>8</v>
      </c>
      <c r="D163" t="str">
        <f t="shared" ca="1" si="10"/>
        <v>Furniture</v>
      </c>
      <c r="E163" t="s">
        <v>51</v>
      </c>
      <c r="F163" s="11">
        <v>1880</v>
      </c>
      <c r="G163">
        <f t="shared" ca="1" si="11"/>
        <v>8</v>
      </c>
      <c r="H163" s="11">
        <f ca="1">IF(Table1[[#This Row],[Category]]="Electronics",Table1[[#This Row],[Sales]]*0.6,
IF(Table1[[#This Row],[Category]]="Furniture",Table1[[#This Row],[Sales]]*0.75,
IF(Table1[[#This Row],[Category]]="Clothing",Table1[[#This Row],[Sales]]*0.65,
Table1[[#This Row],[Sales]]*0.7)))</f>
        <v>1410</v>
      </c>
      <c r="I163" s="11">
        <f ca="1">Table1[[#This Row],[Sales]]-H163</f>
        <v>470</v>
      </c>
      <c r="J163" s="2">
        <f ca="1">Table1[[#This Row],[Profit]]/Table1[[#This Row],[Sales]]</f>
        <v>0.25</v>
      </c>
      <c r="K163" t="str">
        <f ca="1">TEXT(Table1[[#This Row],[Order_Date]],"mmm")</f>
        <v>Sep</v>
      </c>
      <c r="L163">
        <f ca="1">YEAR(Table1[[#This Row],[Order_Date]])</f>
        <v>2023</v>
      </c>
    </row>
    <row r="164" spans="1:12" x14ac:dyDescent="0.3">
      <c r="A164">
        <f t="shared" si="8"/>
        <v>163</v>
      </c>
      <c r="B164" s="1">
        <f t="shared" ca="1" si="9"/>
        <v>44961</v>
      </c>
      <c r="C164" t="s">
        <v>9</v>
      </c>
      <c r="D164" t="str">
        <f t="shared" ca="1" si="10"/>
        <v>Office Supplies</v>
      </c>
      <c r="E164" t="s">
        <v>56</v>
      </c>
      <c r="F164" s="11">
        <v>1960</v>
      </c>
      <c r="G164">
        <f t="shared" ca="1" si="11"/>
        <v>10</v>
      </c>
      <c r="H164" s="11">
        <f ca="1">IF(Table1[[#This Row],[Category]]="Electronics",Table1[[#This Row],[Sales]]*0.6,
IF(Table1[[#This Row],[Category]]="Furniture",Table1[[#This Row],[Sales]]*0.75,
IF(Table1[[#This Row],[Category]]="Clothing",Table1[[#This Row],[Sales]]*0.65,
Table1[[#This Row],[Sales]]*0.7)))</f>
        <v>1372</v>
      </c>
      <c r="I164" s="11">
        <f ca="1">Table1[[#This Row],[Sales]]-H164</f>
        <v>588</v>
      </c>
      <c r="J164" s="2">
        <f ca="1">Table1[[#This Row],[Profit]]/Table1[[#This Row],[Sales]]</f>
        <v>0.3</v>
      </c>
      <c r="K164" t="str">
        <f ca="1">TEXT(Table1[[#This Row],[Order_Date]],"mmm")</f>
        <v>Feb</v>
      </c>
      <c r="L164">
        <f ca="1">YEAR(Table1[[#This Row],[Order_Date]])</f>
        <v>2023</v>
      </c>
    </row>
    <row r="165" spans="1:12" x14ac:dyDescent="0.3">
      <c r="A165">
        <f t="shared" si="8"/>
        <v>164</v>
      </c>
      <c r="B165" s="1">
        <f t="shared" ca="1" si="9"/>
        <v>45050</v>
      </c>
      <c r="C165" t="s">
        <v>10</v>
      </c>
      <c r="D165" t="str">
        <f t="shared" ca="1" si="10"/>
        <v>Clothing</v>
      </c>
      <c r="E165" t="s">
        <v>45</v>
      </c>
      <c r="F165" s="11">
        <v>17815</v>
      </c>
      <c r="G165">
        <f t="shared" ca="1" si="11"/>
        <v>9</v>
      </c>
      <c r="H165" s="11">
        <f ca="1">IF(Table1[[#This Row],[Category]]="Electronics",Table1[[#This Row],[Sales]]*0.6,
IF(Table1[[#This Row],[Category]]="Furniture",Table1[[#This Row],[Sales]]*0.75,
IF(Table1[[#This Row],[Category]]="Clothing",Table1[[#This Row],[Sales]]*0.65,
Table1[[#This Row],[Sales]]*0.7)))</f>
        <v>11579.75</v>
      </c>
      <c r="I165" s="11">
        <f ca="1">Table1[[#This Row],[Sales]]-H165</f>
        <v>6235.25</v>
      </c>
      <c r="J165" s="2">
        <f ca="1">Table1[[#This Row],[Profit]]/Table1[[#This Row],[Sales]]</f>
        <v>0.35</v>
      </c>
      <c r="K165" t="str">
        <f ca="1">TEXT(Table1[[#This Row],[Order_Date]],"mmm")</f>
        <v>May</v>
      </c>
      <c r="L165">
        <f ca="1">YEAR(Table1[[#This Row],[Order_Date]])</f>
        <v>2023</v>
      </c>
    </row>
    <row r="166" spans="1:12" x14ac:dyDescent="0.3">
      <c r="A166">
        <f t="shared" si="8"/>
        <v>165</v>
      </c>
      <c r="B166" s="1">
        <f t="shared" ca="1" si="9"/>
        <v>45242</v>
      </c>
      <c r="C166" t="s">
        <v>7</v>
      </c>
      <c r="D166" t="str">
        <f t="shared" ca="1" si="10"/>
        <v>Furniture</v>
      </c>
      <c r="E166" t="s">
        <v>58</v>
      </c>
      <c r="F166" s="11">
        <v>7631</v>
      </c>
      <c r="G166">
        <f t="shared" ca="1" si="11"/>
        <v>2</v>
      </c>
      <c r="H166" s="11">
        <f ca="1">IF(Table1[[#This Row],[Category]]="Electronics",Table1[[#This Row],[Sales]]*0.6,
IF(Table1[[#This Row],[Category]]="Furniture",Table1[[#This Row],[Sales]]*0.75,
IF(Table1[[#This Row],[Category]]="Clothing",Table1[[#This Row],[Sales]]*0.65,
Table1[[#This Row],[Sales]]*0.7)))</f>
        <v>5723.25</v>
      </c>
      <c r="I166" s="11">
        <f ca="1">Table1[[#This Row],[Sales]]-H166</f>
        <v>1907.75</v>
      </c>
      <c r="J166" s="2">
        <f ca="1">Table1[[#This Row],[Profit]]/Table1[[#This Row],[Sales]]</f>
        <v>0.25</v>
      </c>
      <c r="K166" t="str">
        <f ca="1">TEXT(Table1[[#This Row],[Order_Date]],"mmm")</f>
        <v>Nov</v>
      </c>
      <c r="L166">
        <f ca="1">YEAR(Table1[[#This Row],[Order_Date]])</f>
        <v>2023</v>
      </c>
    </row>
    <row r="167" spans="1:12" x14ac:dyDescent="0.3">
      <c r="A167">
        <f t="shared" si="8"/>
        <v>166</v>
      </c>
      <c r="B167" s="1">
        <f t="shared" ca="1" si="9"/>
        <v>44930</v>
      </c>
      <c r="C167" t="s">
        <v>8</v>
      </c>
      <c r="D167" t="str">
        <f t="shared" ca="1" si="10"/>
        <v>Office Supplies</v>
      </c>
      <c r="E167" t="s">
        <v>75</v>
      </c>
      <c r="F167" s="11">
        <v>7968</v>
      </c>
      <c r="G167">
        <f t="shared" ca="1" si="11"/>
        <v>1</v>
      </c>
      <c r="H167" s="11">
        <f ca="1">IF(Table1[[#This Row],[Category]]="Electronics",Table1[[#This Row],[Sales]]*0.6,
IF(Table1[[#This Row],[Category]]="Furniture",Table1[[#This Row],[Sales]]*0.75,
IF(Table1[[#This Row],[Category]]="Clothing",Table1[[#This Row],[Sales]]*0.65,
Table1[[#This Row],[Sales]]*0.7)))</f>
        <v>5577.5999999999995</v>
      </c>
      <c r="I167" s="11">
        <f ca="1">Table1[[#This Row],[Sales]]-H167</f>
        <v>2390.4000000000005</v>
      </c>
      <c r="J167" s="2">
        <f ca="1">Table1[[#This Row],[Profit]]/Table1[[#This Row],[Sales]]</f>
        <v>0.30000000000000004</v>
      </c>
      <c r="K167" t="str">
        <f ca="1">TEXT(Table1[[#This Row],[Order_Date]],"mmm")</f>
        <v>Jan</v>
      </c>
      <c r="L167">
        <f ca="1">YEAR(Table1[[#This Row],[Order_Date]])</f>
        <v>2023</v>
      </c>
    </row>
    <row r="168" spans="1:12" x14ac:dyDescent="0.3">
      <c r="A168">
        <f t="shared" si="8"/>
        <v>167</v>
      </c>
      <c r="B168" s="1">
        <f t="shared" ca="1" si="9"/>
        <v>45266</v>
      </c>
      <c r="C168" t="s">
        <v>9</v>
      </c>
      <c r="D168" t="str">
        <f t="shared" ca="1" si="10"/>
        <v>Furniture</v>
      </c>
      <c r="E168" t="s">
        <v>60</v>
      </c>
      <c r="F168" s="11">
        <v>15130</v>
      </c>
      <c r="G168">
        <f t="shared" ca="1" si="11"/>
        <v>4</v>
      </c>
      <c r="H168" s="11">
        <f ca="1">IF(Table1[[#This Row],[Category]]="Electronics",Table1[[#This Row],[Sales]]*0.6,
IF(Table1[[#This Row],[Category]]="Furniture",Table1[[#This Row],[Sales]]*0.75,
IF(Table1[[#This Row],[Category]]="Clothing",Table1[[#This Row],[Sales]]*0.65,
Table1[[#This Row],[Sales]]*0.7)))</f>
        <v>11347.5</v>
      </c>
      <c r="I168" s="11">
        <f ca="1">Table1[[#This Row],[Sales]]-H168</f>
        <v>3782.5</v>
      </c>
      <c r="J168" s="2">
        <f ca="1">Table1[[#This Row],[Profit]]/Table1[[#This Row],[Sales]]</f>
        <v>0.25</v>
      </c>
      <c r="K168" t="str">
        <f ca="1">TEXT(Table1[[#This Row],[Order_Date]],"mmm")</f>
        <v>Dec</v>
      </c>
      <c r="L168">
        <f ca="1">YEAR(Table1[[#This Row],[Order_Date]])</f>
        <v>2023</v>
      </c>
    </row>
    <row r="169" spans="1:12" x14ac:dyDescent="0.3">
      <c r="A169">
        <f t="shared" si="8"/>
        <v>168</v>
      </c>
      <c r="B169" s="1">
        <f t="shared" ca="1" si="9"/>
        <v>45206</v>
      </c>
      <c r="C169" t="s">
        <v>10</v>
      </c>
      <c r="D169" t="str">
        <f t="shared" ca="1" si="10"/>
        <v>Furniture</v>
      </c>
      <c r="E169" t="s">
        <v>66</v>
      </c>
      <c r="F169" s="11">
        <v>15863</v>
      </c>
      <c r="G169">
        <f t="shared" ca="1" si="11"/>
        <v>1</v>
      </c>
      <c r="H169" s="11">
        <f ca="1">IF(Table1[[#This Row],[Category]]="Electronics",Table1[[#This Row],[Sales]]*0.6,
IF(Table1[[#This Row],[Category]]="Furniture",Table1[[#This Row],[Sales]]*0.75,
IF(Table1[[#This Row],[Category]]="Clothing",Table1[[#This Row],[Sales]]*0.65,
Table1[[#This Row],[Sales]]*0.7)))</f>
        <v>11897.25</v>
      </c>
      <c r="I169" s="11">
        <f ca="1">Table1[[#This Row],[Sales]]-H169</f>
        <v>3965.75</v>
      </c>
      <c r="J169" s="2">
        <f ca="1">Table1[[#This Row],[Profit]]/Table1[[#This Row],[Sales]]</f>
        <v>0.25</v>
      </c>
      <c r="K169" t="str">
        <f ca="1">TEXT(Table1[[#This Row],[Order_Date]],"mmm")</f>
        <v>Oct</v>
      </c>
      <c r="L169">
        <f ca="1">YEAR(Table1[[#This Row],[Order_Date]])</f>
        <v>2023</v>
      </c>
    </row>
    <row r="170" spans="1:12" x14ac:dyDescent="0.3">
      <c r="A170">
        <f t="shared" si="8"/>
        <v>169</v>
      </c>
      <c r="B170" s="1">
        <f t="shared" ca="1" si="9"/>
        <v>45218</v>
      </c>
      <c r="C170" t="s">
        <v>7</v>
      </c>
      <c r="D170" t="str">
        <f t="shared" ca="1" si="10"/>
        <v>Electronics</v>
      </c>
      <c r="E170" t="s">
        <v>67</v>
      </c>
      <c r="F170" s="11">
        <v>16148</v>
      </c>
      <c r="G170">
        <f t="shared" ca="1" si="11"/>
        <v>2</v>
      </c>
      <c r="H170" s="11">
        <f ca="1">IF(Table1[[#This Row],[Category]]="Electronics",Table1[[#This Row],[Sales]]*0.6,
IF(Table1[[#This Row],[Category]]="Furniture",Table1[[#This Row],[Sales]]*0.75,
IF(Table1[[#This Row],[Category]]="Clothing",Table1[[#This Row],[Sales]]*0.65,
Table1[[#This Row],[Sales]]*0.7)))</f>
        <v>9688.7999999999993</v>
      </c>
      <c r="I170" s="11">
        <f ca="1">Table1[[#This Row],[Sales]]-H170</f>
        <v>6459.2000000000007</v>
      </c>
      <c r="J170" s="2">
        <f ca="1">Table1[[#This Row],[Profit]]/Table1[[#This Row],[Sales]]</f>
        <v>0.4</v>
      </c>
      <c r="K170" t="str">
        <f ca="1">TEXT(Table1[[#This Row],[Order_Date]],"mmm")</f>
        <v>Oct</v>
      </c>
      <c r="L170">
        <f ca="1">YEAR(Table1[[#This Row],[Order_Date]])</f>
        <v>2023</v>
      </c>
    </row>
    <row r="171" spans="1:12" x14ac:dyDescent="0.3">
      <c r="A171">
        <f t="shared" si="8"/>
        <v>170</v>
      </c>
      <c r="B171" s="1">
        <f t="shared" ca="1" si="9"/>
        <v>45065</v>
      </c>
      <c r="C171" t="s">
        <v>8</v>
      </c>
      <c r="D171" t="str">
        <f t="shared" ca="1" si="10"/>
        <v>Office Supplies</v>
      </c>
      <c r="E171" t="s">
        <v>78</v>
      </c>
      <c r="F171" s="11">
        <v>10076</v>
      </c>
      <c r="G171">
        <f t="shared" ca="1" si="11"/>
        <v>7</v>
      </c>
      <c r="H171" s="11">
        <f ca="1">IF(Table1[[#This Row],[Category]]="Electronics",Table1[[#This Row],[Sales]]*0.6,
IF(Table1[[#This Row],[Category]]="Furniture",Table1[[#This Row],[Sales]]*0.75,
IF(Table1[[#This Row],[Category]]="Clothing",Table1[[#This Row],[Sales]]*0.65,
Table1[[#This Row],[Sales]]*0.7)))</f>
        <v>7053.2</v>
      </c>
      <c r="I171" s="11">
        <f ca="1">Table1[[#This Row],[Sales]]-H171</f>
        <v>3022.8</v>
      </c>
      <c r="J171" s="2">
        <f ca="1">Table1[[#This Row],[Profit]]/Table1[[#This Row],[Sales]]</f>
        <v>0.30000000000000004</v>
      </c>
      <c r="K171" t="str">
        <f ca="1">TEXT(Table1[[#This Row],[Order_Date]],"mmm")</f>
        <v>May</v>
      </c>
      <c r="L171">
        <f ca="1">YEAR(Table1[[#This Row],[Order_Date]])</f>
        <v>2023</v>
      </c>
    </row>
    <row r="172" spans="1:12" x14ac:dyDescent="0.3">
      <c r="A172">
        <f t="shared" si="8"/>
        <v>171</v>
      </c>
      <c r="B172" s="1">
        <f t="shared" ca="1" si="9"/>
        <v>45109</v>
      </c>
      <c r="C172" t="s">
        <v>9</v>
      </c>
      <c r="D172" t="str">
        <f t="shared" ca="1" si="10"/>
        <v>Office Supplies</v>
      </c>
      <c r="E172" t="s">
        <v>36</v>
      </c>
      <c r="F172" s="11">
        <v>15208</v>
      </c>
      <c r="G172">
        <f t="shared" ca="1" si="11"/>
        <v>7</v>
      </c>
      <c r="H172" s="11">
        <f ca="1">IF(Table1[[#This Row],[Category]]="Electronics",Table1[[#This Row],[Sales]]*0.6,
IF(Table1[[#This Row],[Category]]="Furniture",Table1[[#This Row],[Sales]]*0.75,
IF(Table1[[#This Row],[Category]]="Clothing",Table1[[#This Row],[Sales]]*0.65,
Table1[[#This Row],[Sales]]*0.7)))</f>
        <v>10645.599999999999</v>
      </c>
      <c r="I172" s="11">
        <f ca="1">Table1[[#This Row],[Sales]]-H172</f>
        <v>4562.4000000000015</v>
      </c>
      <c r="J172" s="2">
        <f ca="1">Table1[[#This Row],[Profit]]/Table1[[#This Row],[Sales]]</f>
        <v>0.3000000000000001</v>
      </c>
      <c r="K172" t="str">
        <f ca="1">TEXT(Table1[[#This Row],[Order_Date]],"mmm")</f>
        <v>Jul</v>
      </c>
      <c r="L172">
        <f ca="1">YEAR(Table1[[#This Row],[Order_Date]])</f>
        <v>2023</v>
      </c>
    </row>
    <row r="173" spans="1:12" x14ac:dyDescent="0.3">
      <c r="A173">
        <f t="shared" si="8"/>
        <v>172</v>
      </c>
      <c r="B173" s="1">
        <f t="shared" ca="1" si="9"/>
        <v>45159</v>
      </c>
      <c r="C173" t="s">
        <v>10</v>
      </c>
      <c r="D173" t="str">
        <f t="shared" ca="1" si="10"/>
        <v>Furniture</v>
      </c>
      <c r="E173" t="s">
        <v>79</v>
      </c>
      <c r="F173" s="11">
        <v>14388</v>
      </c>
      <c r="G173">
        <f t="shared" ca="1" si="11"/>
        <v>3</v>
      </c>
      <c r="H173" s="11">
        <f ca="1">IF(Table1[[#This Row],[Category]]="Electronics",Table1[[#This Row],[Sales]]*0.6,
IF(Table1[[#This Row],[Category]]="Furniture",Table1[[#This Row],[Sales]]*0.75,
IF(Table1[[#This Row],[Category]]="Clothing",Table1[[#This Row],[Sales]]*0.65,
Table1[[#This Row],[Sales]]*0.7)))</f>
        <v>10791</v>
      </c>
      <c r="I173" s="11">
        <f ca="1">Table1[[#This Row],[Sales]]-H173</f>
        <v>3597</v>
      </c>
      <c r="J173" s="2">
        <f ca="1">Table1[[#This Row],[Profit]]/Table1[[#This Row],[Sales]]</f>
        <v>0.25</v>
      </c>
      <c r="K173" t="str">
        <f ca="1">TEXT(Table1[[#This Row],[Order_Date]],"mmm")</f>
        <v>Aug</v>
      </c>
      <c r="L173">
        <f ca="1">YEAR(Table1[[#This Row],[Order_Date]])</f>
        <v>2023</v>
      </c>
    </row>
    <row r="174" spans="1:12" x14ac:dyDescent="0.3">
      <c r="A174">
        <f t="shared" si="8"/>
        <v>173</v>
      </c>
      <c r="B174" s="1">
        <f t="shared" ca="1" si="9"/>
        <v>45246</v>
      </c>
      <c r="C174" t="s">
        <v>7</v>
      </c>
      <c r="D174" t="str">
        <f t="shared" ca="1" si="10"/>
        <v>Clothing</v>
      </c>
      <c r="E174" t="s">
        <v>76</v>
      </c>
      <c r="F174" s="11">
        <v>8502</v>
      </c>
      <c r="G174">
        <f t="shared" ca="1" si="11"/>
        <v>10</v>
      </c>
      <c r="H174" s="11">
        <f ca="1">IF(Table1[[#This Row],[Category]]="Electronics",Table1[[#This Row],[Sales]]*0.6,
IF(Table1[[#This Row],[Category]]="Furniture",Table1[[#This Row],[Sales]]*0.75,
IF(Table1[[#This Row],[Category]]="Clothing",Table1[[#This Row],[Sales]]*0.65,
Table1[[#This Row],[Sales]]*0.7)))</f>
        <v>5526.3</v>
      </c>
      <c r="I174" s="11">
        <f ca="1">Table1[[#This Row],[Sales]]-H174</f>
        <v>2975.7</v>
      </c>
      <c r="J174" s="2">
        <f ca="1">Table1[[#This Row],[Profit]]/Table1[[#This Row],[Sales]]</f>
        <v>0.35</v>
      </c>
      <c r="K174" t="str">
        <f ca="1">TEXT(Table1[[#This Row],[Order_Date]],"mmm")</f>
        <v>Nov</v>
      </c>
      <c r="L174">
        <f ca="1">YEAR(Table1[[#This Row],[Order_Date]])</f>
        <v>2023</v>
      </c>
    </row>
    <row r="175" spans="1:12" x14ac:dyDescent="0.3">
      <c r="A175">
        <f t="shared" si="8"/>
        <v>174</v>
      </c>
      <c r="B175" s="1">
        <f t="shared" ca="1" si="9"/>
        <v>45224</v>
      </c>
      <c r="C175" t="s">
        <v>8</v>
      </c>
      <c r="D175" t="str">
        <f t="shared" ca="1" si="10"/>
        <v>Clothing</v>
      </c>
      <c r="E175" t="s">
        <v>68</v>
      </c>
      <c r="F175" s="11">
        <v>12070</v>
      </c>
      <c r="G175">
        <f t="shared" ca="1" si="11"/>
        <v>10</v>
      </c>
      <c r="H175" s="11">
        <f ca="1">IF(Table1[[#This Row],[Category]]="Electronics",Table1[[#This Row],[Sales]]*0.6,
IF(Table1[[#This Row],[Category]]="Furniture",Table1[[#This Row],[Sales]]*0.75,
IF(Table1[[#This Row],[Category]]="Clothing",Table1[[#This Row],[Sales]]*0.65,
Table1[[#This Row],[Sales]]*0.7)))</f>
        <v>7845.5</v>
      </c>
      <c r="I175" s="11">
        <f ca="1">Table1[[#This Row],[Sales]]-H175</f>
        <v>4224.5</v>
      </c>
      <c r="J175" s="2">
        <f ca="1">Table1[[#This Row],[Profit]]/Table1[[#This Row],[Sales]]</f>
        <v>0.35</v>
      </c>
      <c r="K175" t="str">
        <f ca="1">TEXT(Table1[[#This Row],[Order_Date]],"mmm")</f>
        <v>Oct</v>
      </c>
      <c r="L175">
        <f ca="1">YEAR(Table1[[#This Row],[Order_Date]])</f>
        <v>2023</v>
      </c>
    </row>
    <row r="176" spans="1:12" x14ac:dyDescent="0.3">
      <c r="A176">
        <f t="shared" si="8"/>
        <v>175</v>
      </c>
      <c r="B176" s="1">
        <f t="shared" ca="1" si="9"/>
        <v>45033</v>
      </c>
      <c r="C176" t="s">
        <v>9</v>
      </c>
      <c r="D176" t="str">
        <f t="shared" ca="1" si="10"/>
        <v>Clothing</v>
      </c>
      <c r="E176" t="s">
        <v>40</v>
      </c>
      <c r="F176" s="11">
        <v>11801</v>
      </c>
      <c r="G176">
        <f t="shared" ca="1" si="11"/>
        <v>1</v>
      </c>
      <c r="H176" s="11">
        <f ca="1">IF(Table1[[#This Row],[Category]]="Electronics",Table1[[#This Row],[Sales]]*0.6,
IF(Table1[[#This Row],[Category]]="Furniture",Table1[[#This Row],[Sales]]*0.75,
IF(Table1[[#This Row],[Category]]="Clothing",Table1[[#This Row],[Sales]]*0.65,
Table1[[#This Row],[Sales]]*0.7)))</f>
        <v>7670.6500000000005</v>
      </c>
      <c r="I176" s="11">
        <f ca="1">Table1[[#This Row],[Sales]]-H176</f>
        <v>4130.3499999999995</v>
      </c>
      <c r="J176" s="2">
        <f ca="1">Table1[[#This Row],[Profit]]/Table1[[#This Row],[Sales]]</f>
        <v>0.35</v>
      </c>
      <c r="K176" t="str">
        <f ca="1">TEXT(Table1[[#This Row],[Order_Date]],"mmm")</f>
        <v>Apr</v>
      </c>
      <c r="L176">
        <f ca="1">YEAR(Table1[[#This Row],[Order_Date]])</f>
        <v>2023</v>
      </c>
    </row>
    <row r="177" spans="1:12" x14ac:dyDescent="0.3">
      <c r="A177">
        <f t="shared" si="8"/>
        <v>176</v>
      </c>
      <c r="B177" s="1">
        <f t="shared" ca="1" si="9"/>
        <v>45018</v>
      </c>
      <c r="C177" t="s">
        <v>10</v>
      </c>
      <c r="D177" t="str">
        <f t="shared" ca="1" si="10"/>
        <v>Electronics</v>
      </c>
      <c r="E177" t="s">
        <v>70</v>
      </c>
      <c r="F177" s="11">
        <v>14197</v>
      </c>
      <c r="G177">
        <f t="shared" ca="1" si="11"/>
        <v>2</v>
      </c>
      <c r="H177" s="11">
        <f ca="1">IF(Table1[[#This Row],[Category]]="Electronics",Table1[[#This Row],[Sales]]*0.6,
IF(Table1[[#This Row],[Category]]="Furniture",Table1[[#This Row],[Sales]]*0.75,
IF(Table1[[#This Row],[Category]]="Clothing",Table1[[#This Row],[Sales]]*0.65,
Table1[[#This Row],[Sales]]*0.7)))</f>
        <v>8518.1999999999989</v>
      </c>
      <c r="I177" s="11">
        <f ca="1">Table1[[#This Row],[Sales]]-H177</f>
        <v>5678.8000000000011</v>
      </c>
      <c r="J177" s="2">
        <f ca="1">Table1[[#This Row],[Profit]]/Table1[[#This Row],[Sales]]</f>
        <v>0.40000000000000008</v>
      </c>
      <c r="K177" t="str">
        <f ca="1">TEXT(Table1[[#This Row],[Order_Date]],"mmm")</f>
        <v>Apr</v>
      </c>
      <c r="L177">
        <f ca="1">YEAR(Table1[[#This Row],[Order_Date]])</f>
        <v>2023</v>
      </c>
    </row>
    <row r="178" spans="1:12" x14ac:dyDescent="0.3">
      <c r="A178">
        <f t="shared" si="8"/>
        <v>177</v>
      </c>
      <c r="B178" s="1">
        <f t="shared" ca="1" si="9"/>
        <v>45177</v>
      </c>
      <c r="C178" t="s">
        <v>7</v>
      </c>
      <c r="D178" t="str">
        <f t="shared" ca="1" si="10"/>
        <v>Electronics</v>
      </c>
      <c r="E178" t="s">
        <v>77</v>
      </c>
      <c r="F178" s="11">
        <v>18280</v>
      </c>
      <c r="G178">
        <f t="shared" ca="1" si="11"/>
        <v>6</v>
      </c>
      <c r="H178" s="11">
        <f ca="1">IF(Table1[[#This Row],[Category]]="Electronics",Table1[[#This Row],[Sales]]*0.6,
IF(Table1[[#This Row],[Category]]="Furniture",Table1[[#This Row],[Sales]]*0.75,
IF(Table1[[#This Row],[Category]]="Clothing",Table1[[#This Row],[Sales]]*0.65,
Table1[[#This Row],[Sales]]*0.7)))</f>
        <v>10968</v>
      </c>
      <c r="I178" s="11">
        <f ca="1">Table1[[#This Row],[Sales]]-H178</f>
        <v>7312</v>
      </c>
      <c r="J178" s="2">
        <f ca="1">Table1[[#This Row],[Profit]]/Table1[[#This Row],[Sales]]</f>
        <v>0.4</v>
      </c>
      <c r="K178" t="str">
        <f ca="1">TEXT(Table1[[#This Row],[Order_Date]],"mmm")</f>
        <v>Sep</v>
      </c>
      <c r="L178">
        <f ca="1">YEAR(Table1[[#This Row],[Order_Date]])</f>
        <v>2023</v>
      </c>
    </row>
    <row r="179" spans="1:12" x14ac:dyDescent="0.3">
      <c r="A179">
        <f t="shared" si="8"/>
        <v>178</v>
      </c>
      <c r="B179" s="1">
        <f t="shared" ca="1" si="9"/>
        <v>45012</v>
      </c>
      <c r="C179" t="s">
        <v>8</v>
      </c>
      <c r="D179" t="str">
        <f t="shared" ca="1" si="10"/>
        <v>Electronics</v>
      </c>
      <c r="E179" t="s">
        <v>40</v>
      </c>
      <c r="F179" s="11">
        <v>5817</v>
      </c>
      <c r="G179">
        <f t="shared" ca="1" si="11"/>
        <v>9</v>
      </c>
      <c r="H179" s="11">
        <f ca="1">IF(Table1[[#This Row],[Category]]="Electronics",Table1[[#This Row],[Sales]]*0.6,
IF(Table1[[#This Row],[Category]]="Furniture",Table1[[#This Row],[Sales]]*0.75,
IF(Table1[[#This Row],[Category]]="Clothing",Table1[[#This Row],[Sales]]*0.65,
Table1[[#This Row],[Sales]]*0.7)))</f>
        <v>3490.2</v>
      </c>
      <c r="I179" s="11">
        <f ca="1">Table1[[#This Row],[Sales]]-H179</f>
        <v>2326.8000000000002</v>
      </c>
      <c r="J179" s="2">
        <f ca="1">Table1[[#This Row],[Profit]]/Table1[[#This Row],[Sales]]</f>
        <v>0.4</v>
      </c>
      <c r="K179" t="str">
        <f ca="1">TEXT(Table1[[#This Row],[Order_Date]],"mmm")</f>
        <v>Mar</v>
      </c>
      <c r="L179">
        <f ca="1">YEAR(Table1[[#This Row],[Order_Date]])</f>
        <v>2023</v>
      </c>
    </row>
    <row r="180" spans="1:12" x14ac:dyDescent="0.3">
      <c r="A180">
        <f t="shared" si="8"/>
        <v>179</v>
      </c>
      <c r="B180" s="1">
        <f t="shared" ca="1" si="9"/>
        <v>45161</v>
      </c>
      <c r="C180" t="s">
        <v>9</v>
      </c>
      <c r="D180" t="str">
        <f t="shared" ca="1" si="10"/>
        <v>Office Supplies</v>
      </c>
      <c r="E180" t="s">
        <v>73</v>
      </c>
      <c r="F180" s="11">
        <v>18534</v>
      </c>
      <c r="G180">
        <f t="shared" ca="1" si="11"/>
        <v>4</v>
      </c>
      <c r="H180" s="11">
        <f ca="1">IF(Table1[[#This Row],[Category]]="Electronics",Table1[[#This Row],[Sales]]*0.6,
IF(Table1[[#This Row],[Category]]="Furniture",Table1[[#This Row],[Sales]]*0.75,
IF(Table1[[#This Row],[Category]]="Clothing",Table1[[#This Row],[Sales]]*0.65,
Table1[[#This Row],[Sales]]*0.7)))</f>
        <v>12973.8</v>
      </c>
      <c r="I180" s="11">
        <f ca="1">Table1[[#This Row],[Sales]]-H180</f>
        <v>5560.2000000000007</v>
      </c>
      <c r="J180" s="2">
        <f ca="1">Table1[[#This Row],[Profit]]/Table1[[#This Row],[Sales]]</f>
        <v>0.30000000000000004</v>
      </c>
      <c r="K180" t="str">
        <f ca="1">TEXT(Table1[[#This Row],[Order_Date]],"mmm")</f>
        <v>Aug</v>
      </c>
      <c r="L180">
        <f ca="1">YEAR(Table1[[#This Row],[Order_Date]])</f>
        <v>2023</v>
      </c>
    </row>
    <row r="181" spans="1:12" x14ac:dyDescent="0.3">
      <c r="A181">
        <f t="shared" si="8"/>
        <v>180</v>
      </c>
      <c r="B181" s="1">
        <f t="shared" ca="1" si="9"/>
        <v>44999</v>
      </c>
      <c r="C181" t="s">
        <v>10</v>
      </c>
      <c r="D181" t="str">
        <f t="shared" ca="1" si="10"/>
        <v>Clothing</v>
      </c>
      <c r="E181" t="s">
        <v>84</v>
      </c>
      <c r="F181" s="11">
        <v>16178</v>
      </c>
      <c r="G181">
        <f t="shared" ca="1" si="11"/>
        <v>4</v>
      </c>
      <c r="H181" s="11">
        <f ca="1">IF(Table1[[#This Row],[Category]]="Electronics",Table1[[#This Row],[Sales]]*0.6,
IF(Table1[[#This Row],[Category]]="Furniture",Table1[[#This Row],[Sales]]*0.75,
IF(Table1[[#This Row],[Category]]="Clothing",Table1[[#This Row],[Sales]]*0.65,
Table1[[#This Row],[Sales]]*0.7)))</f>
        <v>10515.7</v>
      </c>
      <c r="I181" s="11">
        <f ca="1">Table1[[#This Row],[Sales]]-H181</f>
        <v>5662.2999999999993</v>
      </c>
      <c r="J181" s="2">
        <f ca="1">Table1[[#This Row],[Profit]]/Table1[[#This Row],[Sales]]</f>
        <v>0.35</v>
      </c>
      <c r="K181" t="str">
        <f ca="1">TEXT(Table1[[#This Row],[Order_Date]],"mmm")</f>
        <v>Mar</v>
      </c>
      <c r="L181">
        <f ca="1">YEAR(Table1[[#This Row],[Order_Date]])</f>
        <v>2023</v>
      </c>
    </row>
    <row r="182" spans="1:12" x14ac:dyDescent="0.3">
      <c r="A182">
        <f t="shared" si="8"/>
        <v>181</v>
      </c>
      <c r="B182" s="1">
        <f t="shared" ca="1" si="9"/>
        <v>45055</v>
      </c>
      <c r="C182" t="s">
        <v>7</v>
      </c>
      <c r="D182" t="str">
        <f t="shared" ca="1" si="10"/>
        <v>Office Supplies</v>
      </c>
      <c r="E182" t="s">
        <v>68</v>
      </c>
      <c r="F182" s="11">
        <v>9481</v>
      </c>
      <c r="G182">
        <f t="shared" ca="1" si="11"/>
        <v>7</v>
      </c>
      <c r="H182" s="11">
        <f ca="1">IF(Table1[[#This Row],[Category]]="Electronics",Table1[[#This Row],[Sales]]*0.6,
IF(Table1[[#This Row],[Category]]="Furniture",Table1[[#This Row],[Sales]]*0.75,
IF(Table1[[#This Row],[Category]]="Clothing",Table1[[#This Row],[Sales]]*0.65,
Table1[[#This Row],[Sales]]*0.7)))</f>
        <v>6636.7</v>
      </c>
      <c r="I182" s="11">
        <f ca="1">Table1[[#This Row],[Sales]]-H182</f>
        <v>2844.3</v>
      </c>
      <c r="J182" s="2">
        <f ca="1">Table1[[#This Row],[Profit]]/Table1[[#This Row],[Sales]]</f>
        <v>0.30000000000000004</v>
      </c>
      <c r="K182" t="str">
        <f ca="1">TEXT(Table1[[#This Row],[Order_Date]],"mmm")</f>
        <v>May</v>
      </c>
      <c r="L182">
        <f ca="1">YEAR(Table1[[#This Row],[Order_Date]])</f>
        <v>2023</v>
      </c>
    </row>
    <row r="183" spans="1:12" x14ac:dyDescent="0.3">
      <c r="A183">
        <f t="shared" si="8"/>
        <v>182</v>
      </c>
      <c r="B183" s="1">
        <f t="shared" ca="1" si="9"/>
        <v>45185</v>
      </c>
      <c r="C183" t="s">
        <v>8</v>
      </c>
      <c r="D183" t="str">
        <f t="shared" ca="1" si="10"/>
        <v>Office Supplies</v>
      </c>
      <c r="E183" t="s">
        <v>44</v>
      </c>
      <c r="F183" s="11">
        <v>6147</v>
      </c>
      <c r="G183">
        <f t="shared" ca="1" si="11"/>
        <v>1</v>
      </c>
      <c r="H183" s="11">
        <f ca="1">IF(Table1[[#This Row],[Category]]="Electronics",Table1[[#This Row],[Sales]]*0.6,
IF(Table1[[#This Row],[Category]]="Furniture",Table1[[#This Row],[Sales]]*0.75,
IF(Table1[[#This Row],[Category]]="Clothing",Table1[[#This Row],[Sales]]*0.65,
Table1[[#This Row],[Sales]]*0.7)))</f>
        <v>4302.8999999999996</v>
      </c>
      <c r="I183" s="11">
        <f ca="1">Table1[[#This Row],[Sales]]-H183</f>
        <v>1844.1000000000004</v>
      </c>
      <c r="J183" s="2">
        <f ca="1">Table1[[#This Row],[Profit]]/Table1[[#This Row],[Sales]]</f>
        <v>0.30000000000000004</v>
      </c>
      <c r="K183" t="str">
        <f ca="1">TEXT(Table1[[#This Row],[Order_Date]],"mmm")</f>
        <v>Sep</v>
      </c>
      <c r="L183">
        <f ca="1">YEAR(Table1[[#This Row],[Order_Date]])</f>
        <v>2023</v>
      </c>
    </row>
    <row r="184" spans="1:12" x14ac:dyDescent="0.3">
      <c r="A184">
        <f t="shared" si="8"/>
        <v>183</v>
      </c>
      <c r="B184" s="1">
        <f t="shared" ca="1" si="9"/>
        <v>45182</v>
      </c>
      <c r="C184" t="s">
        <v>9</v>
      </c>
      <c r="D184" t="str">
        <f t="shared" ca="1" si="10"/>
        <v>Electronics</v>
      </c>
      <c r="E184" t="s">
        <v>55</v>
      </c>
      <c r="F184" s="11">
        <v>909</v>
      </c>
      <c r="G184">
        <f t="shared" ca="1" si="11"/>
        <v>7</v>
      </c>
      <c r="H184" s="11">
        <f ca="1">IF(Table1[[#This Row],[Category]]="Electronics",Table1[[#This Row],[Sales]]*0.6,
IF(Table1[[#This Row],[Category]]="Furniture",Table1[[#This Row],[Sales]]*0.75,
IF(Table1[[#This Row],[Category]]="Clothing",Table1[[#This Row],[Sales]]*0.65,
Table1[[#This Row],[Sales]]*0.7)))</f>
        <v>545.4</v>
      </c>
      <c r="I184" s="11">
        <f ca="1">Table1[[#This Row],[Sales]]-H184</f>
        <v>363.6</v>
      </c>
      <c r="J184" s="2">
        <f ca="1">Table1[[#This Row],[Profit]]/Table1[[#This Row],[Sales]]</f>
        <v>0.4</v>
      </c>
      <c r="K184" t="str">
        <f ca="1">TEXT(Table1[[#This Row],[Order_Date]],"mmm")</f>
        <v>Sep</v>
      </c>
      <c r="L184">
        <f ca="1">YEAR(Table1[[#This Row],[Order_Date]])</f>
        <v>2023</v>
      </c>
    </row>
    <row r="185" spans="1:12" x14ac:dyDescent="0.3">
      <c r="A185">
        <f t="shared" si="8"/>
        <v>184</v>
      </c>
      <c r="B185" s="1">
        <f t="shared" ca="1" si="9"/>
        <v>44947</v>
      </c>
      <c r="C185" t="s">
        <v>10</v>
      </c>
      <c r="D185" t="str">
        <f t="shared" ca="1" si="10"/>
        <v>Electronics</v>
      </c>
      <c r="E185" t="s">
        <v>84</v>
      </c>
      <c r="F185" s="11">
        <v>11093</v>
      </c>
      <c r="G185">
        <f t="shared" ca="1" si="11"/>
        <v>5</v>
      </c>
      <c r="H185" s="11">
        <f ca="1">IF(Table1[[#This Row],[Category]]="Electronics",Table1[[#This Row],[Sales]]*0.6,
IF(Table1[[#This Row],[Category]]="Furniture",Table1[[#This Row],[Sales]]*0.75,
IF(Table1[[#This Row],[Category]]="Clothing",Table1[[#This Row],[Sales]]*0.65,
Table1[[#This Row],[Sales]]*0.7)))</f>
        <v>6655.8</v>
      </c>
      <c r="I185" s="11">
        <f ca="1">Table1[[#This Row],[Sales]]-H185</f>
        <v>4437.2</v>
      </c>
      <c r="J185" s="2">
        <f ca="1">Table1[[#This Row],[Profit]]/Table1[[#This Row],[Sales]]</f>
        <v>0.39999999999999997</v>
      </c>
      <c r="K185" t="str">
        <f ca="1">TEXT(Table1[[#This Row],[Order_Date]],"mmm")</f>
        <v>Jan</v>
      </c>
      <c r="L185">
        <f ca="1">YEAR(Table1[[#This Row],[Order_Date]])</f>
        <v>2023</v>
      </c>
    </row>
    <row r="186" spans="1:12" x14ac:dyDescent="0.3">
      <c r="A186">
        <f t="shared" si="8"/>
        <v>185</v>
      </c>
      <c r="B186" s="1">
        <f t="shared" ca="1" si="9"/>
        <v>45114</v>
      </c>
      <c r="C186" t="s">
        <v>7</v>
      </c>
      <c r="D186" t="str">
        <f t="shared" ca="1" si="10"/>
        <v>Electronics</v>
      </c>
      <c r="E186" t="s">
        <v>49</v>
      </c>
      <c r="F186" s="11">
        <v>718</v>
      </c>
      <c r="G186">
        <f t="shared" ca="1" si="11"/>
        <v>6</v>
      </c>
      <c r="H186" s="11">
        <f ca="1">IF(Table1[[#This Row],[Category]]="Electronics",Table1[[#This Row],[Sales]]*0.6,
IF(Table1[[#This Row],[Category]]="Furniture",Table1[[#This Row],[Sales]]*0.75,
IF(Table1[[#This Row],[Category]]="Clothing",Table1[[#This Row],[Sales]]*0.65,
Table1[[#This Row],[Sales]]*0.7)))</f>
        <v>430.8</v>
      </c>
      <c r="I186" s="11">
        <f ca="1">Table1[[#This Row],[Sales]]-H186</f>
        <v>287.2</v>
      </c>
      <c r="J186" s="2">
        <f ca="1">Table1[[#This Row],[Profit]]/Table1[[#This Row],[Sales]]</f>
        <v>0.39999999999999997</v>
      </c>
      <c r="K186" t="str">
        <f ca="1">TEXT(Table1[[#This Row],[Order_Date]],"mmm")</f>
        <v>Jul</v>
      </c>
      <c r="L186">
        <f ca="1">YEAR(Table1[[#This Row],[Order_Date]])</f>
        <v>2023</v>
      </c>
    </row>
    <row r="187" spans="1:12" x14ac:dyDescent="0.3">
      <c r="A187">
        <f t="shared" si="8"/>
        <v>186</v>
      </c>
      <c r="B187" s="1">
        <f t="shared" ca="1" si="9"/>
        <v>45189</v>
      </c>
      <c r="C187" t="s">
        <v>8</v>
      </c>
      <c r="D187" t="str">
        <f t="shared" ca="1" si="10"/>
        <v>Clothing</v>
      </c>
      <c r="E187" t="s">
        <v>65</v>
      </c>
      <c r="F187" s="11">
        <v>4455</v>
      </c>
      <c r="G187">
        <f t="shared" ca="1" si="11"/>
        <v>7</v>
      </c>
      <c r="H187" s="11">
        <f ca="1">IF(Table1[[#This Row],[Category]]="Electronics",Table1[[#This Row],[Sales]]*0.6,
IF(Table1[[#This Row],[Category]]="Furniture",Table1[[#This Row],[Sales]]*0.75,
IF(Table1[[#This Row],[Category]]="Clothing",Table1[[#This Row],[Sales]]*0.65,
Table1[[#This Row],[Sales]]*0.7)))</f>
        <v>2895.75</v>
      </c>
      <c r="I187" s="11">
        <f ca="1">Table1[[#This Row],[Sales]]-H187</f>
        <v>1559.25</v>
      </c>
      <c r="J187" s="2">
        <f ca="1">Table1[[#This Row],[Profit]]/Table1[[#This Row],[Sales]]</f>
        <v>0.35</v>
      </c>
      <c r="K187" t="str">
        <f ca="1">TEXT(Table1[[#This Row],[Order_Date]],"mmm")</f>
        <v>Sep</v>
      </c>
      <c r="L187">
        <f ca="1">YEAR(Table1[[#This Row],[Order_Date]])</f>
        <v>2023</v>
      </c>
    </row>
    <row r="188" spans="1:12" x14ac:dyDescent="0.3">
      <c r="A188">
        <f t="shared" si="8"/>
        <v>187</v>
      </c>
      <c r="B188" s="1">
        <f t="shared" ca="1" si="9"/>
        <v>45191</v>
      </c>
      <c r="C188" t="s">
        <v>9</v>
      </c>
      <c r="D188" t="str">
        <f t="shared" ca="1" si="10"/>
        <v>Electronics</v>
      </c>
      <c r="E188" t="s">
        <v>69</v>
      </c>
      <c r="F188" s="11">
        <v>9346</v>
      </c>
      <c r="G188">
        <f t="shared" ca="1" si="11"/>
        <v>5</v>
      </c>
      <c r="H188" s="11">
        <f ca="1">IF(Table1[[#This Row],[Category]]="Electronics",Table1[[#This Row],[Sales]]*0.6,
IF(Table1[[#This Row],[Category]]="Furniture",Table1[[#This Row],[Sales]]*0.75,
IF(Table1[[#This Row],[Category]]="Clothing",Table1[[#This Row],[Sales]]*0.65,
Table1[[#This Row],[Sales]]*0.7)))</f>
        <v>5607.5999999999995</v>
      </c>
      <c r="I188" s="11">
        <f ca="1">Table1[[#This Row],[Sales]]-H188</f>
        <v>3738.4000000000005</v>
      </c>
      <c r="J188" s="2">
        <f ca="1">Table1[[#This Row],[Profit]]/Table1[[#This Row],[Sales]]</f>
        <v>0.40000000000000008</v>
      </c>
      <c r="K188" t="str">
        <f ca="1">TEXT(Table1[[#This Row],[Order_Date]],"mmm")</f>
        <v>Sep</v>
      </c>
      <c r="L188">
        <f ca="1">YEAR(Table1[[#This Row],[Order_Date]])</f>
        <v>2023</v>
      </c>
    </row>
    <row r="189" spans="1:12" x14ac:dyDescent="0.3">
      <c r="A189">
        <f t="shared" si="8"/>
        <v>188</v>
      </c>
      <c r="B189" s="1">
        <f t="shared" ca="1" si="9"/>
        <v>45266</v>
      </c>
      <c r="C189" t="s">
        <v>10</v>
      </c>
      <c r="D189" t="str">
        <f t="shared" ca="1" si="10"/>
        <v>Clothing</v>
      </c>
      <c r="E189" t="s">
        <v>57</v>
      </c>
      <c r="F189" s="11">
        <v>17861</v>
      </c>
      <c r="G189">
        <f t="shared" ca="1" si="11"/>
        <v>1</v>
      </c>
      <c r="H189" s="11">
        <f ca="1">IF(Table1[[#This Row],[Category]]="Electronics",Table1[[#This Row],[Sales]]*0.6,
IF(Table1[[#This Row],[Category]]="Furniture",Table1[[#This Row],[Sales]]*0.75,
IF(Table1[[#This Row],[Category]]="Clothing",Table1[[#This Row],[Sales]]*0.65,
Table1[[#This Row],[Sales]]*0.7)))</f>
        <v>11609.65</v>
      </c>
      <c r="I189" s="11">
        <f ca="1">Table1[[#This Row],[Sales]]-H189</f>
        <v>6251.35</v>
      </c>
      <c r="J189" s="2">
        <f ca="1">Table1[[#This Row],[Profit]]/Table1[[#This Row],[Sales]]</f>
        <v>0.35000000000000003</v>
      </c>
      <c r="K189" t="str">
        <f ca="1">TEXT(Table1[[#This Row],[Order_Date]],"mmm")</f>
        <v>Dec</v>
      </c>
      <c r="L189">
        <f ca="1">YEAR(Table1[[#This Row],[Order_Date]])</f>
        <v>2023</v>
      </c>
    </row>
    <row r="190" spans="1:12" x14ac:dyDescent="0.3">
      <c r="A190">
        <f t="shared" si="8"/>
        <v>189</v>
      </c>
      <c r="B190" s="1">
        <f t="shared" ca="1" si="9"/>
        <v>45006</v>
      </c>
      <c r="C190" t="s">
        <v>7</v>
      </c>
      <c r="D190" t="str">
        <f t="shared" ca="1" si="10"/>
        <v>Clothing</v>
      </c>
      <c r="E190" t="s">
        <v>84</v>
      </c>
      <c r="F190" s="11">
        <v>18088</v>
      </c>
      <c r="G190">
        <f t="shared" ca="1" si="11"/>
        <v>7</v>
      </c>
      <c r="H190" s="11">
        <f ca="1">IF(Table1[[#This Row],[Category]]="Electronics",Table1[[#This Row],[Sales]]*0.6,
IF(Table1[[#This Row],[Category]]="Furniture",Table1[[#This Row],[Sales]]*0.75,
IF(Table1[[#This Row],[Category]]="Clothing",Table1[[#This Row],[Sales]]*0.65,
Table1[[#This Row],[Sales]]*0.7)))</f>
        <v>11757.2</v>
      </c>
      <c r="I190" s="11">
        <f ca="1">Table1[[#This Row],[Sales]]-H190</f>
        <v>6330.7999999999993</v>
      </c>
      <c r="J190" s="2">
        <f ca="1">Table1[[#This Row],[Profit]]/Table1[[#This Row],[Sales]]</f>
        <v>0.35</v>
      </c>
      <c r="K190" t="str">
        <f ca="1">TEXT(Table1[[#This Row],[Order_Date]],"mmm")</f>
        <v>Mar</v>
      </c>
      <c r="L190">
        <f ca="1">YEAR(Table1[[#This Row],[Order_Date]])</f>
        <v>2023</v>
      </c>
    </row>
    <row r="191" spans="1:12" x14ac:dyDescent="0.3">
      <c r="A191">
        <f t="shared" si="8"/>
        <v>190</v>
      </c>
      <c r="B191" s="1">
        <f t="shared" ca="1" si="9"/>
        <v>45176</v>
      </c>
      <c r="C191" t="s">
        <v>8</v>
      </c>
      <c r="D191" t="str">
        <f t="shared" ca="1" si="10"/>
        <v>Clothing</v>
      </c>
      <c r="E191" t="s">
        <v>79</v>
      </c>
      <c r="F191" s="11">
        <v>4252</v>
      </c>
      <c r="G191">
        <f t="shared" ca="1" si="11"/>
        <v>9</v>
      </c>
      <c r="H191" s="11">
        <f ca="1">IF(Table1[[#This Row],[Category]]="Electronics",Table1[[#This Row],[Sales]]*0.6,
IF(Table1[[#This Row],[Category]]="Furniture",Table1[[#This Row],[Sales]]*0.75,
IF(Table1[[#This Row],[Category]]="Clothing",Table1[[#This Row],[Sales]]*0.65,
Table1[[#This Row],[Sales]]*0.7)))</f>
        <v>2763.8</v>
      </c>
      <c r="I191" s="11">
        <f ca="1">Table1[[#This Row],[Sales]]-H191</f>
        <v>1488.1999999999998</v>
      </c>
      <c r="J191" s="2">
        <f ca="1">Table1[[#This Row],[Profit]]/Table1[[#This Row],[Sales]]</f>
        <v>0.35</v>
      </c>
      <c r="K191" t="str">
        <f ca="1">TEXT(Table1[[#This Row],[Order_Date]],"mmm")</f>
        <v>Sep</v>
      </c>
      <c r="L191">
        <f ca="1">YEAR(Table1[[#This Row],[Order_Date]])</f>
        <v>2023</v>
      </c>
    </row>
    <row r="192" spans="1:12" x14ac:dyDescent="0.3">
      <c r="A192">
        <f t="shared" si="8"/>
        <v>191</v>
      </c>
      <c r="B192" s="1">
        <f t="shared" ca="1" si="9"/>
        <v>45095</v>
      </c>
      <c r="C192" t="s">
        <v>9</v>
      </c>
      <c r="D192" t="str">
        <f t="shared" ca="1" si="10"/>
        <v>Office Supplies</v>
      </c>
      <c r="E192" t="s">
        <v>85</v>
      </c>
      <c r="F192" s="11">
        <v>11107</v>
      </c>
      <c r="G192">
        <f t="shared" ca="1" si="11"/>
        <v>6</v>
      </c>
      <c r="H192" s="11">
        <f ca="1">IF(Table1[[#This Row],[Category]]="Electronics",Table1[[#This Row],[Sales]]*0.6,
IF(Table1[[#This Row],[Category]]="Furniture",Table1[[#This Row],[Sales]]*0.75,
IF(Table1[[#This Row],[Category]]="Clothing",Table1[[#This Row],[Sales]]*0.65,
Table1[[#This Row],[Sales]]*0.7)))</f>
        <v>7774.9</v>
      </c>
      <c r="I192" s="11">
        <f ca="1">Table1[[#This Row],[Sales]]-H192</f>
        <v>3332.1000000000004</v>
      </c>
      <c r="J192" s="2">
        <f ca="1">Table1[[#This Row],[Profit]]/Table1[[#This Row],[Sales]]</f>
        <v>0.30000000000000004</v>
      </c>
      <c r="K192" t="str">
        <f ca="1">TEXT(Table1[[#This Row],[Order_Date]],"mmm")</f>
        <v>Jun</v>
      </c>
      <c r="L192">
        <f ca="1">YEAR(Table1[[#This Row],[Order_Date]])</f>
        <v>2023</v>
      </c>
    </row>
    <row r="193" spans="1:12" x14ac:dyDescent="0.3">
      <c r="A193">
        <f t="shared" si="8"/>
        <v>192</v>
      </c>
      <c r="B193" s="1">
        <f t="shared" ca="1" si="9"/>
        <v>45057</v>
      </c>
      <c r="C193" t="s">
        <v>10</v>
      </c>
      <c r="D193" t="str">
        <f t="shared" ca="1" si="10"/>
        <v>Clothing</v>
      </c>
      <c r="E193" t="s">
        <v>69</v>
      </c>
      <c r="F193" s="11">
        <v>12470</v>
      </c>
      <c r="G193">
        <f t="shared" ca="1" si="11"/>
        <v>5</v>
      </c>
      <c r="H193" s="11">
        <f ca="1">IF(Table1[[#This Row],[Category]]="Electronics",Table1[[#This Row],[Sales]]*0.6,
IF(Table1[[#This Row],[Category]]="Furniture",Table1[[#This Row],[Sales]]*0.75,
IF(Table1[[#This Row],[Category]]="Clothing",Table1[[#This Row],[Sales]]*0.65,
Table1[[#This Row],[Sales]]*0.7)))</f>
        <v>8105.5</v>
      </c>
      <c r="I193" s="11">
        <f ca="1">Table1[[#This Row],[Sales]]-H193</f>
        <v>4364.5</v>
      </c>
      <c r="J193" s="2">
        <f ca="1">Table1[[#This Row],[Profit]]/Table1[[#This Row],[Sales]]</f>
        <v>0.35</v>
      </c>
      <c r="K193" t="str">
        <f ca="1">TEXT(Table1[[#This Row],[Order_Date]],"mmm")</f>
        <v>May</v>
      </c>
      <c r="L193">
        <f ca="1">YEAR(Table1[[#This Row],[Order_Date]])</f>
        <v>2023</v>
      </c>
    </row>
    <row r="194" spans="1:12" x14ac:dyDescent="0.3">
      <c r="A194">
        <f t="shared" si="8"/>
        <v>193</v>
      </c>
      <c r="B194" s="1">
        <f t="shared" ca="1" si="9"/>
        <v>45037</v>
      </c>
      <c r="C194" t="s">
        <v>7</v>
      </c>
      <c r="D194" t="str">
        <f t="shared" ca="1" si="10"/>
        <v>Electronics</v>
      </c>
      <c r="E194" t="s">
        <v>53</v>
      </c>
      <c r="F194" s="11">
        <v>7384</v>
      </c>
      <c r="G194">
        <f t="shared" ca="1" si="11"/>
        <v>10</v>
      </c>
      <c r="H194" s="11">
        <f ca="1">IF(Table1[[#This Row],[Category]]="Electronics",Table1[[#This Row],[Sales]]*0.6,
IF(Table1[[#This Row],[Category]]="Furniture",Table1[[#This Row],[Sales]]*0.75,
IF(Table1[[#This Row],[Category]]="Clothing",Table1[[#This Row],[Sales]]*0.65,
Table1[[#This Row],[Sales]]*0.7)))</f>
        <v>4430.3999999999996</v>
      </c>
      <c r="I194" s="11">
        <f ca="1">Table1[[#This Row],[Sales]]-H194</f>
        <v>2953.6000000000004</v>
      </c>
      <c r="J194" s="2">
        <f ca="1">Table1[[#This Row],[Profit]]/Table1[[#This Row],[Sales]]</f>
        <v>0.4</v>
      </c>
      <c r="K194" t="str">
        <f ca="1">TEXT(Table1[[#This Row],[Order_Date]],"mmm")</f>
        <v>Apr</v>
      </c>
      <c r="L194">
        <f ca="1">YEAR(Table1[[#This Row],[Order_Date]])</f>
        <v>2023</v>
      </c>
    </row>
    <row r="195" spans="1:12" x14ac:dyDescent="0.3">
      <c r="A195">
        <f t="shared" ref="A195:A258" si="12">ROW()-1</f>
        <v>194</v>
      </c>
      <c r="B195" s="1">
        <f t="shared" ref="B195:B258" ca="1" si="13">DATE(2023, RANDBETWEEN(1,12), RANDBETWEEN(1,28))</f>
        <v>45084</v>
      </c>
      <c r="C195" t="s">
        <v>8</v>
      </c>
      <c r="D195" t="str">
        <f t="shared" ref="D195:D258" ca="1" si="14">CHOOSE(RANDBETWEEN(1,4),"Electronics","Furniture","Clothing","Office Supplies")</f>
        <v>Office Supplies</v>
      </c>
      <c r="E195" t="s">
        <v>60</v>
      </c>
      <c r="F195" s="11">
        <v>15519</v>
      </c>
      <c r="G195">
        <f t="shared" ref="G195:G258" ca="1" si="15">RANDBETWEEN(1,10)</f>
        <v>4</v>
      </c>
      <c r="H195" s="11">
        <f ca="1">IF(Table1[[#This Row],[Category]]="Electronics",Table1[[#This Row],[Sales]]*0.6,
IF(Table1[[#This Row],[Category]]="Furniture",Table1[[#This Row],[Sales]]*0.75,
IF(Table1[[#This Row],[Category]]="Clothing",Table1[[#This Row],[Sales]]*0.65,
Table1[[#This Row],[Sales]]*0.7)))</f>
        <v>10863.3</v>
      </c>
      <c r="I195" s="11">
        <f ca="1">Table1[[#This Row],[Sales]]-H195</f>
        <v>4655.7000000000007</v>
      </c>
      <c r="J195" s="2">
        <f ca="1">Table1[[#This Row],[Profit]]/Table1[[#This Row],[Sales]]</f>
        <v>0.30000000000000004</v>
      </c>
      <c r="K195" t="str">
        <f ca="1">TEXT(Table1[[#This Row],[Order_Date]],"mmm")</f>
        <v>Jun</v>
      </c>
      <c r="L195">
        <f ca="1">YEAR(Table1[[#This Row],[Order_Date]])</f>
        <v>2023</v>
      </c>
    </row>
    <row r="196" spans="1:12" x14ac:dyDescent="0.3">
      <c r="A196">
        <f t="shared" si="12"/>
        <v>195</v>
      </c>
      <c r="B196" s="1">
        <f t="shared" ca="1" si="13"/>
        <v>44997</v>
      </c>
      <c r="C196" t="s">
        <v>9</v>
      </c>
      <c r="D196" t="str">
        <f t="shared" ca="1" si="14"/>
        <v>Clothing</v>
      </c>
      <c r="E196" t="s">
        <v>50</v>
      </c>
      <c r="F196" s="11">
        <v>5437</v>
      </c>
      <c r="G196">
        <f t="shared" ca="1" si="15"/>
        <v>3</v>
      </c>
      <c r="H196" s="11">
        <f ca="1">IF(Table1[[#This Row],[Category]]="Electronics",Table1[[#This Row],[Sales]]*0.6,
IF(Table1[[#This Row],[Category]]="Furniture",Table1[[#This Row],[Sales]]*0.75,
IF(Table1[[#This Row],[Category]]="Clothing",Table1[[#This Row],[Sales]]*0.65,
Table1[[#This Row],[Sales]]*0.7)))</f>
        <v>3534.05</v>
      </c>
      <c r="I196" s="11">
        <f ca="1">Table1[[#This Row],[Sales]]-H196</f>
        <v>1902.9499999999998</v>
      </c>
      <c r="J196" s="2">
        <f ca="1">Table1[[#This Row],[Profit]]/Table1[[#This Row],[Sales]]</f>
        <v>0.35</v>
      </c>
      <c r="K196" t="str">
        <f ca="1">TEXT(Table1[[#This Row],[Order_Date]],"mmm")</f>
        <v>Mar</v>
      </c>
      <c r="L196">
        <f ca="1">YEAR(Table1[[#This Row],[Order_Date]])</f>
        <v>2023</v>
      </c>
    </row>
    <row r="197" spans="1:12" x14ac:dyDescent="0.3">
      <c r="A197">
        <f t="shared" si="12"/>
        <v>196</v>
      </c>
      <c r="B197" s="1">
        <f t="shared" ca="1" si="13"/>
        <v>45146</v>
      </c>
      <c r="C197" t="s">
        <v>10</v>
      </c>
      <c r="D197" t="str">
        <f t="shared" ca="1" si="14"/>
        <v>Clothing</v>
      </c>
      <c r="E197" t="s">
        <v>50</v>
      </c>
      <c r="F197" s="11">
        <v>17472</v>
      </c>
      <c r="G197">
        <f t="shared" ca="1" si="15"/>
        <v>6</v>
      </c>
      <c r="H197" s="11">
        <f ca="1">IF(Table1[[#This Row],[Category]]="Electronics",Table1[[#This Row],[Sales]]*0.6,
IF(Table1[[#This Row],[Category]]="Furniture",Table1[[#This Row],[Sales]]*0.75,
IF(Table1[[#This Row],[Category]]="Clothing",Table1[[#This Row],[Sales]]*0.65,
Table1[[#This Row],[Sales]]*0.7)))</f>
        <v>11356.800000000001</v>
      </c>
      <c r="I197" s="11">
        <f ca="1">Table1[[#This Row],[Sales]]-H197</f>
        <v>6115.1999999999989</v>
      </c>
      <c r="J197" s="2">
        <f ca="1">Table1[[#This Row],[Profit]]/Table1[[#This Row],[Sales]]</f>
        <v>0.34999999999999992</v>
      </c>
      <c r="K197" t="str">
        <f ca="1">TEXT(Table1[[#This Row],[Order_Date]],"mmm")</f>
        <v>Aug</v>
      </c>
      <c r="L197">
        <f ca="1">YEAR(Table1[[#This Row],[Order_Date]])</f>
        <v>2023</v>
      </c>
    </row>
    <row r="198" spans="1:12" x14ac:dyDescent="0.3">
      <c r="A198">
        <f t="shared" si="12"/>
        <v>197</v>
      </c>
      <c r="B198" s="1">
        <f t="shared" ca="1" si="13"/>
        <v>45235</v>
      </c>
      <c r="C198" t="s">
        <v>7</v>
      </c>
      <c r="D198" t="str">
        <f t="shared" ca="1" si="14"/>
        <v>Electronics</v>
      </c>
      <c r="E198" t="s">
        <v>47</v>
      </c>
      <c r="F198" s="11">
        <v>12848</v>
      </c>
      <c r="G198">
        <f t="shared" ca="1" si="15"/>
        <v>8</v>
      </c>
      <c r="H198" s="11">
        <f ca="1">IF(Table1[[#This Row],[Category]]="Electronics",Table1[[#This Row],[Sales]]*0.6,
IF(Table1[[#This Row],[Category]]="Furniture",Table1[[#This Row],[Sales]]*0.75,
IF(Table1[[#This Row],[Category]]="Clothing",Table1[[#This Row],[Sales]]*0.65,
Table1[[#This Row],[Sales]]*0.7)))</f>
        <v>7708.7999999999993</v>
      </c>
      <c r="I198" s="11">
        <f ca="1">Table1[[#This Row],[Sales]]-H198</f>
        <v>5139.2000000000007</v>
      </c>
      <c r="J198" s="2">
        <f ca="1">Table1[[#This Row],[Profit]]/Table1[[#This Row],[Sales]]</f>
        <v>0.40000000000000008</v>
      </c>
      <c r="K198" t="str">
        <f ca="1">TEXT(Table1[[#This Row],[Order_Date]],"mmm")</f>
        <v>Nov</v>
      </c>
      <c r="L198">
        <f ca="1">YEAR(Table1[[#This Row],[Order_Date]])</f>
        <v>2023</v>
      </c>
    </row>
    <row r="199" spans="1:12" x14ac:dyDescent="0.3">
      <c r="A199">
        <f t="shared" si="12"/>
        <v>198</v>
      </c>
      <c r="B199" s="1">
        <f t="shared" ca="1" si="13"/>
        <v>45248</v>
      </c>
      <c r="C199" t="s">
        <v>8</v>
      </c>
      <c r="D199" t="str">
        <f t="shared" ca="1" si="14"/>
        <v>Clothing</v>
      </c>
      <c r="E199" t="s">
        <v>73</v>
      </c>
      <c r="F199" s="11">
        <v>10543</v>
      </c>
      <c r="G199">
        <f t="shared" ca="1" si="15"/>
        <v>3</v>
      </c>
      <c r="H199" s="11">
        <f ca="1">IF(Table1[[#This Row],[Category]]="Electronics",Table1[[#This Row],[Sales]]*0.6,
IF(Table1[[#This Row],[Category]]="Furniture",Table1[[#This Row],[Sales]]*0.75,
IF(Table1[[#This Row],[Category]]="Clothing",Table1[[#This Row],[Sales]]*0.65,
Table1[[#This Row],[Sales]]*0.7)))</f>
        <v>6852.95</v>
      </c>
      <c r="I199" s="11">
        <f ca="1">Table1[[#This Row],[Sales]]-H199</f>
        <v>3690.05</v>
      </c>
      <c r="J199" s="2">
        <f ca="1">Table1[[#This Row],[Profit]]/Table1[[#This Row],[Sales]]</f>
        <v>0.35000000000000003</v>
      </c>
      <c r="K199" t="str">
        <f ca="1">TEXT(Table1[[#This Row],[Order_Date]],"mmm")</f>
        <v>Nov</v>
      </c>
      <c r="L199">
        <f ca="1">YEAR(Table1[[#This Row],[Order_Date]])</f>
        <v>2023</v>
      </c>
    </row>
    <row r="200" spans="1:12" x14ac:dyDescent="0.3">
      <c r="A200">
        <f t="shared" si="12"/>
        <v>199</v>
      </c>
      <c r="B200" s="1">
        <f t="shared" ca="1" si="13"/>
        <v>45246</v>
      </c>
      <c r="C200" t="s">
        <v>9</v>
      </c>
      <c r="D200" t="str">
        <f t="shared" ca="1" si="14"/>
        <v>Furniture</v>
      </c>
      <c r="E200" t="s">
        <v>38</v>
      </c>
      <c r="F200" s="11">
        <v>10095</v>
      </c>
      <c r="G200">
        <f t="shared" ca="1" si="15"/>
        <v>4</v>
      </c>
      <c r="H200" s="11">
        <f ca="1">IF(Table1[[#This Row],[Category]]="Electronics",Table1[[#This Row],[Sales]]*0.6,
IF(Table1[[#This Row],[Category]]="Furniture",Table1[[#This Row],[Sales]]*0.75,
IF(Table1[[#This Row],[Category]]="Clothing",Table1[[#This Row],[Sales]]*0.65,
Table1[[#This Row],[Sales]]*0.7)))</f>
        <v>7571.25</v>
      </c>
      <c r="I200" s="11">
        <f ca="1">Table1[[#This Row],[Sales]]-H200</f>
        <v>2523.75</v>
      </c>
      <c r="J200" s="2">
        <f ca="1">Table1[[#This Row],[Profit]]/Table1[[#This Row],[Sales]]</f>
        <v>0.25</v>
      </c>
      <c r="K200" t="str">
        <f ca="1">TEXT(Table1[[#This Row],[Order_Date]],"mmm")</f>
        <v>Nov</v>
      </c>
      <c r="L200">
        <f ca="1">YEAR(Table1[[#This Row],[Order_Date]])</f>
        <v>2023</v>
      </c>
    </row>
    <row r="201" spans="1:12" x14ac:dyDescent="0.3">
      <c r="A201">
        <f t="shared" si="12"/>
        <v>200</v>
      </c>
      <c r="B201" s="1">
        <f t="shared" ca="1" si="13"/>
        <v>44965</v>
      </c>
      <c r="C201" t="s">
        <v>10</v>
      </c>
      <c r="D201" t="str">
        <f t="shared" ca="1" si="14"/>
        <v>Furniture</v>
      </c>
      <c r="E201" t="s">
        <v>83</v>
      </c>
      <c r="F201" s="11">
        <v>7215</v>
      </c>
      <c r="G201">
        <f t="shared" ca="1" si="15"/>
        <v>7</v>
      </c>
      <c r="H201" s="11">
        <f ca="1">IF(Table1[[#This Row],[Category]]="Electronics",Table1[[#This Row],[Sales]]*0.6,
IF(Table1[[#This Row],[Category]]="Furniture",Table1[[#This Row],[Sales]]*0.75,
IF(Table1[[#This Row],[Category]]="Clothing",Table1[[#This Row],[Sales]]*0.65,
Table1[[#This Row],[Sales]]*0.7)))</f>
        <v>5411.25</v>
      </c>
      <c r="I201" s="11">
        <f ca="1">Table1[[#This Row],[Sales]]-H201</f>
        <v>1803.75</v>
      </c>
      <c r="J201" s="2">
        <f ca="1">Table1[[#This Row],[Profit]]/Table1[[#This Row],[Sales]]</f>
        <v>0.25</v>
      </c>
      <c r="K201" t="str">
        <f ca="1">TEXT(Table1[[#This Row],[Order_Date]],"mmm")</f>
        <v>Feb</v>
      </c>
      <c r="L201">
        <f ca="1">YEAR(Table1[[#This Row],[Order_Date]])</f>
        <v>2023</v>
      </c>
    </row>
    <row r="202" spans="1:12" x14ac:dyDescent="0.3">
      <c r="A202">
        <f t="shared" si="12"/>
        <v>201</v>
      </c>
      <c r="B202" s="1">
        <f t="shared" ca="1" si="13"/>
        <v>44996</v>
      </c>
      <c r="C202" t="s">
        <v>7</v>
      </c>
      <c r="D202" t="str">
        <f t="shared" ca="1" si="14"/>
        <v>Office Supplies</v>
      </c>
      <c r="E202" t="s">
        <v>68</v>
      </c>
      <c r="F202" s="11">
        <v>18876</v>
      </c>
      <c r="G202">
        <f t="shared" ca="1" si="15"/>
        <v>7</v>
      </c>
      <c r="H202" s="11">
        <f ca="1">IF(Table1[[#This Row],[Category]]="Electronics",Table1[[#This Row],[Sales]]*0.6,
IF(Table1[[#This Row],[Category]]="Furniture",Table1[[#This Row],[Sales]]*0.75,
IF(Table1[[#This Row],[Category]]="Clothing",Table1[[#This Row],[Sales]]*0.65,
Table1[[#This Row],[Sales]]*0.7)))</f>
        <v>13213.199999999999</v>
      </c>
      <c r="I202" s="11">
        <f ca="1">Table1[[#This Row],[Sales]]-H202</f>
        <v>5662.8000000000011</v>
      </c>
      <c r="J202" s="2">
        <f ca="1">Table1[[#This Row],[Profit]]/Table1[[#This Row],[Sales]]</f>
        <v>0.30000000000000004</v>
      </c>
      <c r="K202" t="str">
        <f ca="1">TEXT(Table1[[#This Row],[Order_Date]],"mmm")</f>
        <v>Mar</v>
      </c>
      <c r="L202">
        <f ca="1">YEAR(Table1[[#This Row],[Order_Date]])</f>
        <v>2023</v>
      </c>
    </row>
    <row r="203" spans="1:12" x14ac:dyDescent="0.3">
      <c r="A203">
        <f t="shared" si="12"/>
        <v>202</v>
      </c>
      <c r="B203" s="1">
        <f t="shared" ca="1" si="13"/>
        <v>45093</v>
      </c>
      <c r="C203" t="s">
        <v>8</v>
      </c>
      <c r="D203" t="str">
        <f t="shared" ca="1" si="14"/>
        <v>Clothing</v>
      </c>
      <c r="E203" t="s">
        <v>70</v>
      </c>
      <c r="F203" s="11">
        <v>14716</v>
      </c>
      <c r="G203">
        <f t="shared" ca="1" si="15"/>
        <v>1</v>
      </c>
      <c r="H203" s="11">
        <f ca="1">IF(Table1[[#This Row],[Category]]="Electronics",Table1[[#This Row],[Sales]]*0.6,
IF(Table1[[#This Row],[Category]]="Furniture",Table1[[#This Row],[Sales]]*0.75,
IF(Table1[[#This Row],[Category]]="Clothing",Table1[[#This Row],[Sales]]*0.65,
Table1[[#This Row],[Sales]]*0.7)))</f>
        <v>9565.4</v>
      </c>
      <c r="I203" s="11">
        <f ca="1">Table1[[#This Row],[Sales]]-H203</f>
        <v>5150.6000000000004</v>
      </c>
      <c r="J203" s="2">
        <f ca="1">Table1[[#This Row],[Profit]]/Table1[[#This Row],[Sales]]</f>
        <v>0.35000000000000003</v>
      </c>
      <c r="K203" t="str">
        <f ca="1">TEXT(Table1[[#This Row],[Order_Date]],"mmm")</f>
        <v>Jun</v>
      </c>
      <c r="L203">
        <f ca="1">YEAR(Table1[[#This Row],[Order_Date]])</f>
        <v>2023</v>
      </c>
    </row>
    <row r="204" spans="1:12" x14ac:dyDescent="0.3">
      <c r="A204">
        <f t="shared" si="12"/>
        <v>203</v>
      </c>
      <c r="B204" s="1">
        <f t="shared" ca="1" si="13"/>
        <v>45141</v>
      </c>
      <c r="C204" t="s">
        <v>9</v>
      </c>
      <c r="D204" t="str">
        <f t="shared" ca="1" si="14"/>
        <v>Furniture</v>
      </c>
      <c r="E204" t="s">
        <v>75</v>
      </c>
      <c r="F204" s="11">
        <v>4237</v>
      </c>
      <c r="G204">
        <f t="shared" ca="1" si="15"/>
        <v>4</v>
      </c>
      <c r="H204" s="11">
        <f ca="1">IF(Table1[[#This Row],[Category]]="Electronics",Table1[[#This Row],[Sales]]*0.6,
IF(Table1[[#This Row],[Category]]="Furniture",Table1[[#This Row],[Sales]]*0.75,
IF(Table1[[#This Row],[Category]]="Clothing",Table1[[#This Row],[Sales]]*0.65,
Table1[[#This Row],[Sales]]*0.7)))</f>
        <v>3177.75</v>
      </c>
      <c r="I204" s="11">
        <f ca="1">Table1[[#This Row],[Sales]]-H204</f>
        <v>1059.25</v>
      </c>
      <c r="J204" s="2">
        <f ca="1">Table1[[#This Row],[Profit]]/Table1[[#This Row],[Sales]]</f>
        <v>0.25</v>
      </c>
      <c r="K204" t="str">
        <f ca="1">TEXT(Table1[[#This Row],[Order_Date]],"mmm")</f>
        <v>Aug</v>
      </c>
      <c r="L204">
        <f ca="1">YEAR(Table1[[#This Row],[Order_Date]])</f>
        <v>2023</v>
      </c>
    </row>
    <row r="205" spans="1:12" x14ac:dyDescent="0.3">
      <c r="A205">
        <f t="shared" si="12"/>
        <v>204</v>
      </c>
      <c r="B205" s="1">
        <f t="shared" ca="1" si="13"/>
        <v>45186</v>
      </c>
      <c r="C205" t="s">
        <v>10</v>
      </c>
      <c r="D205" t="str">
        <f t="shared" ca="1" si="14"/>
        <v>Electronics</v>
      </c>
      <c r="E205" t="s">
        <v>71</v>
      </c>
      <c r="F205" s="11">
        <v>9535</v>
      </c>
      <c r="G205">
        <f t="shared" ca="1" si="15"/>
        <v>5</v>
      </c>
      <c r="H205" s="11">
        <f ca="1">IF(Table1[[#This Row],[Category]]="Electronics",Table1[[#This Row],[Sales]]*0.6,
IF(Table1[[#This Row],[Category]]="Furniture",Table1[[#This Row],[Sales]]*0.75,
IF(Table1[[#This Row],[Category]]="Clothing",Table1[[#This Row],[Sales]]*0.65,
Table1[[#This Row],[Sales]]*0.7)))</f>
        <v>5721</v>
      </c>
      <c r="I205" s="11">
        <f ca="1">Table1[[#This Row],[Sales]]-H205</f>
        <v>3814</v>
      </c>
      <c r="J205" s="2">
        <f ca="1">Table1[[#This Row],[Profit]]/Table1[[#This Row],[Sales]]</f>
        <v>0.4</v>
      </c>
      <c r="K205" t="str">
        <f ca="1">TEXT(Table1[[#This Row],[Order_Date]],"mmm")</f>
        <v>Sep</v>
      </c>
      <c r="L205">
        <f ca="1">YEAR(Table1[[#This Row],[Order_Date]])</f>
        <v>2023</v>
      </c>
    </row>
    <row r="206" spans="1:12" x14ac:dyDescent="0.3">
      <c r="A206">
        <f t="shared" si="12"/>
        <v>205</v>
      </c>
      <c r="B206" s="1">
        <f t="shared" ca="1" si="13"/>
        <v>45130</v>
      </c>
      <c r="C206" t="s">
        <v>7</v>
      </c>
      <c r="D206" t="str">
        <f t="shared" ca="1" si="14"/>
        <v>Clothing</v>
      </c>
      <c r="E206" t="s">
        <v>51</v>
      </c>
      <c r="F206" s="11">
        <v>19381</v>
      </c>
      <c r="G206">
        <f t="shared" ca="1" si="15"/>
        <v>2</v>
      </c>
      <c r="H206" s="11">
        <f ca="1">IF(Table1[[#This Row],[Category]]="Electronics",Table1[[#This Row],[Sales]]*0.6,
IF(Table1[[#This Row],[Category]]="Furniture",Table1[[#This Row],[Sales]]*0.75,
IF(Table1[[#This Row],[Category]]="Clothing",Table1[[#This Row],[Sales]]*0.65,
Table1[[#This Row],[Sales]]*0.7)))</f>
        <v>12597.65</v>
      </c>
      <c r="I206" s="11">
        <f ca="1">Table1[[#This Row],[Sales]]-H206</f>
        <v>6783.35</v>
      </c>
      <c r="J206" s="2">
        <f ca="1">Table1[[#This Row],[Profit]]/Table1[[#This Row],[Sales]]</f>
        <v>0.35000000000000003</v>
      </c>
      <c r="K206" t="str">
        <f ca="1">TEXT(Table1[[#This Row],[Order_Date]],"mmm")</f>
        <v>Jul</v>
      </c>
      <c r="L206">
        <f ca="1">YEAR(Table1[[#This Row],[Order_Date]])</f>
        <v>2023</v>
      </c>
    </row>
    <row r="207" spans="1:12" x14ac:dyDescent="0.3">
      <c r="A207">
        <f t="shared" si="12"/>
        <v>206</v>
      </c>
      <c r="B207" s="1">
        <f t="shared" ca="1" si="13"/>
        <v>45048</v>
      </c>
      <c r="C207" t="s">
        <v>8</v>
      </c>
      <c r="D207" t="str">
        <f t="shared" ca="1" si="14"/>
        <v>Office Supplies</v>
      </c>
      <c r="E207" t="s">
        <v>39</v>
      </c>
      <c r="F207" s="11">
        <v>1823</v>
      </c>
      <c r="G207">
        <f t="shared" ca="1" si="15"/>
        <v>3</v>
      </c>
      <c r="H207" s="11">
        <f ca="1">IF(Table1[[#This Row],[Category]]="Electronics",Table1[[#This Row],[Sales]]*0.6,
IF(Table1[[#This Row],[Category]]="Furniture",Table1[[#This Row],[Sales]]*0.75,
IF(Table1[[#This Row],[Category]]="Clothing",Table1[[#This Row],[Sales]]*0.65,
Table1[[#This Row],[Sales]]*0.7)))</f>
        <v>1276.0999999999999</v>
      </c>
      <c r="I207" s="11">
        <f ca="1">Table1[[#This Row],[Sales]]-H207</f>
        <v>546.90000000000009</v>
      </c>
      <c r="J207" s="2">
        <f ca="1">Table1[[#This Row],[Profit]]/Table1[[#This Row],[Sales]]</f>
        <v>0.30000000000000004</v>
      </c>
      <c r="K207" t="str">
        <f ca="1">TEXT(Table1[[#This Row],[Order_Date]],"mmm")</f>
        <v>May</v>
      </c>
      <c r="L207">
        <f ca="1">YEAR(Table1[[#This Row],[Order_Date]])</f>
        <v>2023</v>
      </c>
    </row>
    <row r="208" spans="1:12" x14ac:dyDescent="0.3">
      <c r="A208">
        <f t="shared" si="12"/>
        <v>207</v>
      </c>
      <c r="B208" s="1">
        <f t="shared" ca="1" si="13"/>
        <v>45165</v>
      </c>
      <c r="C208" t="s">
        <v>9</v>
      </c>
      <c r="D208" t="str">
        <f t="shared" ca="1" si="14"/>
        <v>Electronics</v>
      </c>
      <c r="E208" t="s">
        <v>61</v>
      </c>
      <c r="F208" s="11">
        <v>13755</v>
      </c>
      <c r="G208">
        <f t="shared" ca="1" si="15"/>
        <v>3</v>
      </c>
      <c r="H208" s="11">
        <f ca="1">IF(Table1[[#This Row],[Category]]="Electronics",Table1[[#This Row],[Sales]]*0.6,
IF(Table1[[#This Row],[Category]]="Furniture",Table1[[#This Row],[Sales]]*0.75,
IF(Table1[[#This Row],[Category]]="Clothing",Table1[[#This Row],[Sales]]*0.65,
Table1[[#This Row],[Sales]]*0.7)))</f>
        <v>8253</v>
      </c>
      <c r="I208" s="11">
        <f ca="1">Table1[[#This Row],[Sales]]-H208</f>
        <v>5502</v>
      </c>
      <c r="J208" s="2">
        <f ca="1">Table1[[#This Row],[Profit]]/Table1[[#This Row],[Sales]]</f>
        <v>0.4</v>
      </c>
      <c r="K208" t="str">
        <f ca="1">TEXT(Table1[[#This Row],[Order_Date]],"mmm")</f>
        <v>Aug</v>
      </c>
      <c r="L208">
        <f ca="1">YEAR(Table1[[#This Row],[Order_Date]])</f>
        <v>2023</v>
      </c>
    </row>
    <row r="209" spans="1:12" x14ac:dyDescent="0.3">
      <c r="A209">
        <f t="shared" si="12"/>
        <v>208</v>
      </c>
      <c r="B209" s="1">
        <f t="shared" ca="1" si="13"/>
        <v>45237</v>
      </c>
      <c r="C209" t="s">
        <v>10</v>
      </c>
      <c r="D209" t="str">
        <f t="shared" ca="1" si="14"/>
        <v>Clothing</v>
      </c>
      <c r="E209" t="s">
        <v>64</v>
      </c>
      <c r="F209" s="11">
        <v>14096</v>
      </c>
      <c r="G209">
        <f t="shared" ca="1" si="15"/>
        <v>3</v>
      </c>
      <c r="H209" s="11">
        <f ca="1">IF(Table1[[#This Row],[Category]]="Electronics",Table1[[#This Row],[Sales]]*0.6,
IF(Table1[[#This Row],[Category]]="Furniture",Table1[[#This Row],[Sales]]*0.75,
IF(Table1[[#This Row],[Category]]="Clothing",Table1[[#This Row],[Sales]]*0.65,
Table1[[#This Row],[Sales]]*0.7)))</f>
        <v>9162.4</v>
      </c>
      <c r="I209" s="11">
        <f ca="1">Table1[[#This Row],[Sales]]-H209</f>
        <v>4933.6000000000004</v>
      </c>
      <c r="J209" s="2">
        <f ca="1">Table1[[#This Row],[Profit]]/Table1[[#This Row],[Sales]]</f>
        <v>0.35000000000000003</v>
      </c>
      <c r="K209" t="str">
        <f ca="1">TEXT(Table1[[#This Row],[Order_Date]],"mmm")</f>
        <v>Nov</v>
      </c>
      <c r="L209">
        <f ca="1">YEAR(Table1[[#This Row],[Order_Date]])</f>
        <v>2023</v>
      </c>
    </row>
    <row r="210" spans="1:12" x14ac:dyDescent="0.3">
      <c r="A210">
        <f t="shared" si="12"/>
        <v>209</v>
      </c>
      <c r="B210" s="1">
        <f t="shared" ca="1" si="13"/>
        <v>45212</v>
      </c>
      <c r="C210" t="s">
        <v>7</v>
      </c>
      <c r="D210" t="str">
        <f t="shared" ca="1" si="14"/>
        <v>Electronics</v>
      </c>
      <c r="E210" t="s">
        <v>69</v>
      </c>
      <c r="F210" s="11">
        <v>16841</v>
      </c>
      <c r="G210">
        <f t="shared" ca="1" si="15"/>
        <v>2</v>
      </c>
      <c r="H210" s="11">
        <f ca="1">IF(Table1[[#This Row],[Category]]="Electronics",Table1[[#This Row],[Sales]]*0.6,
IF(Table1[[#This Row],[Category]]="Furniture",Table1[[#This Row],[Sales]]*0.75,
IF(Table1[[#This Row],[Category]]="Clothing",Table1[[#This Row],[Sales]]*0.65,
Table1[[#This Row],[Sales]]*0.7)))</f>
        <v>10104.6</v>
      </c>
      <c r="I210" s="11">
        <f ca="1">Table1[[#This Row],[Sales]]-H210</f>
        <v>6736.4</v>
      </c>
      <c r="J210" s="2">
        <f ca="1">Table1[[#This Row],[Profit]]/Table1[[#This Row],[Sales]]</f>
        <v>0.39999999999999997</v>
      </c>
      <c r="K210" t="str">
        <f ca="1">TEXT(Table1[[#This Row],[Order_Date]],"mmm")</f>
        <v>Oct</v>
      </c>
      <c r="L210">
        <f ca="1">YEAR(Table1[[#This Row],[Order_Date]])</f>
        <v>2023</v>
      </c>
    </row>
    <row r="211" spans="1:12" x14ac:dyDescent="0.3">
      <c r="A211">
        <f t="shared" si="12"/>
        <v>210</v>
      </c>
      <c r="B211" s="1">
        <f t="shared" ca="1" si="13"/>
        <v>45160</v>
      </c>
      <c r="C211" t="s">
        <v>8</v>
      </c>
      <c r="D211" t="str">
        <f t="shared" ca="1" si="14"/>
        <v>Furniture</v>
      </c>
      <c r="E211" t="s">
        <v>52</v>
      </c>
      <c r="F211" s="11">
        <v>11619</v>
      </c>
      <c r="G211">
        <f t="shared" ca="1" si="15"/>
        <v>6</v>
      </c>
      <c r="H211" s="11">
        <f ca="1">IF(Table1[[#This Row],[Category]]="Electronics",Table1[[#This Row],[Sales]]*0.6,
IF(Table1[[#This Row],[Category]]="Furniture",Table1[[#This Row],[Sales]]*0.75,
IF(Table1[[#This Row],[Category]]="Clothing",Table1[[#This Row],[Sales]]*0.65,
Table1[[#This Row],[Sales]]*0.7)))</f>
        <v>8714.25</v>
      </c>
      <c r="I211" s="11">
        <f ca="1">Table1[[#This Row],[Sales]]-H211</f>
        <v>2904.75</v>
      </c>
      <c r="J211" s="2">
        <f ca="1">Table1[[#This Row],[Profit]]/Table1[[#This Row],[Sales]]</f>
        <v>0.25</v>
      </c>
      <c r="K211" t="str">
        <f ca="1">TEXT(Table1[[#This Row],[Order_Date]],"mmm")</f>
        <v>Aug</v>
      </c>
      <c r="L211">
        <f ca="1">YEAR(Table1[[#This Row],[Order_Date]])</f>
        <v>2023</v>
      </c>
    </row>
    <row r="212" spans="1:12" x14ac:dyDescent="0.3">
      <c r="A212">
        <f t="shared" si="12"/>
        <v>211</v>
      </c>
      <c r="B212" s="1">
        <f t="shared" ca="1" si="13"/>
        <v>45080</v>
      </c>
      <c r="C212" t="s">
        <v>9</v>
      </c>
      <c r="D212" t="str">
        <f t="shared" ca="1" si="14"/>
        <v>Clothing</v>
      </c>
      <c r="E212" t="s">
        <v>41</v>
      </c>
      <c r="F212" s="11">
        <v>16146</v>
      </c>
      <c r="G212">
        <f t="shared" ca="1" si="15"/>
        <v>10</v>
      </c>
      <c r="H212" s="11">
        <f ca="1">IF(Table1[[#This Row],[Category]]="Electronics",Table1[[#This Row],[Sales]]*0.6,
IF(Table1[[#This Row],[Category]]="Furniture",Table1[[#This Row],[Sales]]*0.75,
IF(Table1[[#This Row],[Category]]="Clothing",Table1[[#This Row],[Sales]]*0.65,
Table1[[#This Row],[Sales]]*0.7)))</f>
        <v>10494.9</v>
      </c>
      <c r="I212" s="11">
        <f ca="1">Table1[[#This Row],[Sales]]-H212</f>
        <v>5651.1</v>
      </c>
      <c r="J212" s="2">
        <f ca="1">Table1[[#This Row],[Profit]]/Table1[[#This Row],[Sales]]</f>
        <v>0.35000000000000003</v>
      </c>
      <c r="K212" t="str">
        <f ca="1">TEXT(Table1[[#This Row],[Order_Date]],"mmm")</f>
        <v>Jun</v>
      </c>
      <c r="L212">
        <f ca="1">YEAR(Table1[[#This Row],[Order_Date]])</f>
        <v>2023</v>
      </c>
    </row>
    <row r="213" spans="1:12" x14ac:dyDescent="0.3">
      <c r="A213">
        <f t="shared" si="12"/>
        <v>212</v>
      </c>
      <c r="B213" s="1">
        <f t="shared" ca="1" si="13"/>
        <v>44960</v>
      </c>
      <c r="C213" t="s">
        <v>10</v>
      </c>
      <c r="D213" t="str">
        <f t="shared" ca="1" si="14"/>
        <v>Clothing</v>
      </c>
      <c r="E213" t="s">
        <v>53</v>
      </c>
      <c r="F213" s="11">
        <v>6583</v>
      </c>
      <c r="G213">
        <f t="shared" ca="1" si="15"/>
        <v>9</v>
      </c>
      <c r="H213" s="11">
        <f ca="1">IF(Table1[[#This Row],[Category]]="Electronics",Table1[[#This Row],[Sales]]*0.6,
IF(Table1[[#This Row],[Category]]="Furniture",Table1[[#This Row],[Sales]]*0.75,
IF(Table1[[#This Row],[Category]]="Clothing",Table1[[#This Row],[Sales]]*0.65,
Table1[[#This Row],[Sales]]*0.7)))</f>
        <v>4278.95</v>
      </c>
      <c r="I213" s="11">
        <f ca="1">Table1[[#This Row],[Sales]]-H213</f>
        <v>2304.0500000000002</v>
      </c>
      <c r="J213" s="2">
        <f ca="1">Table1[[#This Row],[Profit]]/Table1[[#This Row],[Sales]]</f>
        <v>0.35000000000000003</v>
      </c>
      <c r="K213" t="str">
        <f ca="1">TEXT(Table1[[#This Row],[Order_Date]],"mmm")</f>
        <v>Feb</v>
      </c>
      <c r="L213">
        <f ca="1">YEAR(Table1[[#This Row],[Order_Date]])</f>
        <v>2023</v>
      </c>
    </row>
    <row r="214" spans="1:12" x14ac:dyDescent="0.3">
      <c r="A214">
        <f t="shared" si="12"/>
        <v>213</v>
      </c>
      <c r="B214" s="1">
        <f t="shared" ca="1" si="13"/>
        <v>44939</v>
      </c>
      <c r="C214" t="s">
        <v>7</v>
      </c>
      <c r="D214" t="str">
        <f t="shared" ca="1" si="14"/>
        <v>Furniture</v>
      </c>
      <c r="E214" t="s">
        <v>77</v>
      </c>
      <c r="F214" s="11">
        <v>18301</v>
      </c>
      <c r="G214">
        <f t="shared" ca="1" si="15"/>
        <v>9</v>
      </c>
      <c r="H214" s="11">
        <f ca="1">IF(Table1[[#This Row],[Category]]="Electronics",Table1[[#This Row],[Sales]]*0.6,
IF(Table1[[#This Row],[Category]]="Furniture",Table1[[#This Row],[Sales]]*0.75,
IF(Table1[[#This Row],[Category]]="Clothing",Table1[[#This Row],[Sales]]*0.65,
Table1[[#This Row],[Sales]]*0.7)))</f>
        <v>13725.75</v>
      </c>
      <c r="I214" s="11">
        <f ca="1">Table1[[#This Row],[Sales]]-H214</f>
        <v>4575.25</v>
      </c>
      <c r="J214" s="2">
        <f ca="1">Table1[[#This Row],[Profit]]/Table1[[#This Row],[Sales]]</f>
        <v>0.25</v>
      </c>
      <c r="K214" t="str">
        <f ca="1">TEXT(Table1[[#This Row],[Order_Date]],"mmm")</f>
        <v>Jan</v>
      </c>
      <c r="L214">
        <f ca="1">YEAR(Table1[[#This Row],[Order_Date]])</f>
        <v>2023</v>
      </c>
    </row>
    <row r="215" spans="1:12" x14ac:dyDescent="0.3">
      <c r="A215">
        <f t="shared" si="12"/>
        <v>214</v>
      </c>
      <c r="B215" s="1">
        <f t="shared" ca="1" si="13"/>
        <v>45188</v>
      </c>
      <c r="C215" t="s">
        <v>8</v>
      </c>
      <c r="D215" t="str">
        <f t="shared" ca="1" si="14"/>
        <v>Furniture</v>
      </c>
      <c r="E215" t="s">
        <v>58</v>
      </c>
      <c r="F215" s="11">
        <v>12099</v>
      </c>
      <c r="G215">
        <f t="shared" ca="1" si="15"/>
        <v>1</v>
      </c>
      <c r="H215" s="11">
        <f ca="1">IF(Table1[[#This Row],[Category]]="Electronics",Table1[[#This Row],[Sales]]*0.6,
IF(Table1[[#This Row],[Category]]="Furniture",Table1[[#This Row],[Sales]]*0.75,
IF(Table1[[#This Row],[Category]]="Clothing",Table1[[#This Row],[Sales]]*0.65,
Table1[[#This Row],[Sales]]*0.7)))</f>
        <v>9074.25</v>
      </c>
      <c r="I215" s="11">
        <f ca="1">Table1[[#This Row],[Sales]]-H215</f>
        <v>3024.75</v>
      </c>
      <c r="J215" s="2">
        <f ca="1">Table1[[#This Row],[Profit]]/Table1[[#This Row],[Sales]]</f>
        <v>0.25</v>
      </c>
      <c r="K215" t="str">
        <f ca="1">TEXT(Table1[[#This Row],[Order_Date]],"mmm")</f>
        <v>Sep</v>
      </c>
      <c r="L215">
        <f ca="1">YEAR(Table1[[#This Row],[Order_Date]])</f>
        <v>2023</v>
      </c>
    </row>
    <row r="216" spans="1:12" x14ac:dyDescent="0.3">
      <c r="A216">
        <f t="shared" si="12"/>
        <v>215</v>
      </c>
      <c r="B216" s="1">
        <f t="shared" ca="1" si="13"/>
        <v>45057</v>
      </c>
      <c r="C216" t="s">
        <v>9</v>
      </c>
      <c r="D216" t="str">
        <f t="shared" ca="1" si="14"/>
        <v>Clothing</v>
      </c>
      <c r="E216" t="s">
        <v>68</v>
      </c>
      <c r="F216" s="11">
        <v>6580</v>
      </c>
      <c r="G216">
        <f t="shared" ca="1" si="15"/>
        <v>7</v>
      </c>
      <c r="H216" s="11">
        <f ca="1">IF(Table1[[#This Row],[Category]]="Electronics",Table1[[#This Row],[Sales]]*0.6,
IF(Table1[[#This Row],[Category]]="Furniture",Table1[[#This Row],[Sales]]*0.75,
IF(Table1[[#This Row],[Category]]="Clothing",Table1[[#This Row],[Sales]]*0.65,
Table1[[#This Row],[Sales]]*0.7)))</f>
        <v>4277</v>
      </c>
      <c r="I216" s="11">
        <f ca="1">Table1[[#This Row],[Sales]]-H216</f>
        <v>2303</v>
      </c>
      <c r="J216" s="2">
        <f ca="1">Table1[[#This Row],[Profit]]/Table1[[#This Row],[Sales]]</f>
        <v>0.35</v>
      </c>
      <c r="K216" t="str">
        <f ca="1">TEXT(Table1[[#This Row],[Order_Date]],"mmm")</f>
        <v>May</v>
      </c>
      <c r="L216">
        <f ca="1">YEAR(Table1[[#This Row],[Order_Date]])</f>
        <v>2023</v>
      </c>
    </row>
    <row r="217" spans="1:12" x14ac:dyDescent="0.3">
      <c r="A217">
        <f t="shared" si="12"/>
        <v>216</v>
      </c>
      <c r="B217" s="1">
        <f t="shared" ca="1" si="13"/>
        <v>45285</v>
      </c>
      <c r="C217" t="s">
        <v>10</v>
      </c>
      <c r="D217" t="str">
        <f t="shared" ca="1" si="14"/>
        <v>Electronics</v>
      </c>
      <c r="E217" t="s">
        <v>57</v>
      </c>
      <c r="F217" s="11">
        <v>14830</v>
      </c>
      <c r="G217">
        <f t="shared" ca="1" si="15"/>
        <v>9</v>
      </c>
      <c r="H217" s="11">
        <f ca="1">IF(Table1[[#This Row],[Category]]="Electronics",Table1[[#This Row],[Sales]]*0.6,
IF(Table1[[#This Row],[Category]]="Furniture",Table1[[#This Row],[Sales]]*0.75,
IF(Table1[[#This Row],[Category]]="Clothing",Table1[[#This Row],[Sales]]*0.65,
Table1[[#This Row],[Sales]]*0.7)))</f>
        <v>8898</v>
      </c>
      <c r="I217" s="11">
        <f ca="1">Table1[[#This Row],[Sales]]-H217</f>
        <v>5932</v>
      </c>
      <c r="J217" s="2">
        <f ca="1">Table1[[#This Row],[Profit]]/Table1[[#This Row],[Sales]]</f>
        <v>0.4</v>
      </c>
      <c r="K217" t="str">
        <f ca="1">TEXT(Table1[[#This Row],[Order_Date]],"mmm")</f>
        <v>Dec</v>
      </c>
      <c r="L217">
        <f ca="1">YEAR(Table1[[#This Row],[Order_Date]])</f>
        <v>2023</v>
      </c>
    </row>
    <row r="218" spans="1:12" x14ac:dyDescent="0.3">
      <c r="A218">
        <f t="shared" si="12"/>
        <v>217</v>
      </c>
      <c r="B218" s="1">
        <f t="shared" ca="1" si="13"/>
        <v>45110</v>
      </c>
      <c r="C218" t="s">
        <v>7</v>
      </c>
      <c r="D218" t="str">
        <f t="shared" ca="1" si="14"/>
        <v>Furniture</v>
      </c>
      <c r="E218" t="s">
        <v>45</v>
      </c>
      <c r="F218" s="11">
        <v>17767</v>
      </c>
      <c r="G218">
        <f t="shared" ca="1" si="15"/>
        <v>6</v>
      </c>
      <c r="H218" s="11">
        <f ca="1">IF(Table1[[#This Row],[Category]]="Electronics",Table1[[#This Row],[Sales]]*0.6,
IF(Table1[[#This Row],[Category]]="Furniture",Table1[[#This Row],[Sales]]*0.75,
IF(Table1[[#This Row],[Category]]="Clothing",Table1[[#This Row],[Sales]]*0.65,
Table1[[#This Row],[Sales]]*0.7)))</f>
        <v>13325.25</v>
      </c>
      <c r="I218" s="11">
        <f ca="1">Table1[[#This Row],[Sales]]-H218</f>
        <v>4441.75</v>
      </c>
      <c r="J218" s="2">
        <f ca="1">Table1[[#This Row],[Profit]]/Table1[[#This Row],[Sales]]</f>
        <v>0.25</v>
      </c>
      <c r="K218" t="str">
        <f ca="1">TEXT(Table1[[#This Row],[Order_Date]],"mmm")</f>
        <v>Jul</v>
      </c>
      <c r="L218">
        <f ca="1">YEAR(Table1[[#This Row],[Order_Date]])</f>
        <v>2023</v>
      </c>
    </row>
    <row r="219" spans="1:12" x14ac:dyDescent="0.3">
      <c r="A219">
        <f t="shared" si="12"/>
        <v>218</v>
      </c>
      <c r="B219" s="1">
        <f t="shared" ca="1" si="13"/>
        <v>44944</v>
      </c>
      <c r="C219" t="s">
        <v>8</v>
      </c>
      <c r="D219" t="str">
        <f t="shared" ca="1" si="14"/>
        <v>Office Supplies</v>
      </c>
      <c r="E219" t="s">
        <v>46</v>
      </c>
      <c r="F219" s="11">
        <v>2670</v>
      </c>
      <c r="G219">
        <f t="shared" ca="1" si="15"/>
        <v>1</v>
      </c>
      <c r="H219" s="11">
        <f ca="1">IF(Table1[[#This Row],[Category]]="Electronics",Table1[[#This Row],[Sales]]*0.6,
IF(Table1[[#This Row],[Category]]="Furniture",Table1[[#This Row],[Sales]]*0.75,
IF(Table1[[#This Row],[Category]]="Clothing",Table1[[#This Row],[Sales]]*0.65,
Table1[[#This Row],[Sales]]*0.7)))</f>
        <v>1868.9999999999998</v>
      </c>
      <c r="I219" s="11">
        <f ca="1">Table1[[#This Row],[Sales]]-H219</f>
        <v>801.00000000000023</v>
      </c>
      <c r="J219" s="2">
        <f ca="1">Table1[[#This Row],[Profit]]/Table1[[#This Row],[Sales]]</f>
        <v>0.3000000000000001</v>
      </c>
      <c r="K219" t="str">
        <f ca="1">TEXT(Table1[[#This Row],[Order_Date]],"mmm")</f>
        <v>Jan</v>
      </c>
      <c r="L219">
        <f ca="1">YEAR(Table1[[#This Row],[Order_Date]])</f>
        <v>2023</v>
      </c>
    </row>
    <row r="220" spans="1:12" x14ac:dyDescent="0.3">
      <c r="A220">
        <f t="shared" si="12"/>
        <v>219</v>
      </c>
      <c r="B220" s="1">
        <f t="shared" ca="1" si="13"/>
        <v>44994</v>
      </c>
      <c r="C220" t="s">
        <v>9</v>
      </c>
      <c r="D220" t="str">
        <f t="shared" ca="1" si="14"/>
        <v>Furniture</v>
      </c>
      <c r="E220" t="s">
        <v>39</v>
      </c>
      <c r="F220" s="11">
        <v>19288</v>
      </c>
      <c r="G220">
        <f t="shared" ca="1" si="15"/>
        <v>9</v>
      </c>
      <c r="H220" s="11">
        <f ca="1">IF(Table1[[#This Row],[Category]]="Electronics",Table1[[#This Row],[Sales]]*0.6,
IF(Table1[[#This Row],[Category]]="Furniture",Table1[[#This Row],[Sales]]*0.75,
IF(Table1[[#This Row],[Category]]="Clothing",Table1[[#This Row],[Sales]]*0.65,
Table1[[#This Row],[Sales]]*0.7)))</f>
        <v>14466</v>
      </c>
      <c r="I220" s="11">
        <f ca="1">Table1[[#This Row],[Sales]]-H220</f>
        <v>4822</v>
      </c>
      <c r="J220" s="2">
        <f ca="1">Table1[[#This Row],[Profit]]/Table1[[#This Row],[Sales]]</f>
        <v>0.25</v>
      </c>
      <c r="K220" t="str">
        <f ca="1">TEXT(Table1[[#This Row],[Order_Date]],"mmm")</f>
        <v>Mar</v>
      </c>
      <c r="L220">
        <f ca="1">YEAR(Table1[[#This Row],[Order_Date]])</f>
        <v>2023</v>
      </c>
    </row>
    <row r="221" spans="1:12" x14ac:dyDescent="0.3">
      <c r="A221">
        <f t="shared" si="12"/>
        <v>220</v>
      </c>
      <c r="B221" s="1">
        <f t="shared" ca="1" si="13"/>
        <v>45068</v>
      </c>
      <c r="C221" t="s">
        <v>10</v>
      </c>
      <c r="D221" t="str">
        <f t="shared" ca="1" si="14"/>
        <v>Clothing</v>
      </c>
      <c r="E221" t="s">
        <v>53</v>
      </c>
      <c r="F221" s="11">
        <v>16587</v>
      </c>
      <c r="G221">
        <f t="shared" ca="1" si="15"/>
        <v>2</v>
      </c>
      <c r="H221" s="11">
        <f ca="1">IF(Table1[[#This Row],[Category]]="Electronics",Table1[[#This Row],[Sales]]*0.6,
IF(Table1[[#This Row],[Category]]="Furniture",Table1[[#This Row],[Sales]]*0.75,
IF(Table1[[#This Row],[Category]]="Clothing",Table1[[#This Row],[Sales]]*0.65,
Table1[[#This Row],[Sales]]*0.7)))</f>
        <v>10781.550000000001</v>
      </c>
      <c r="I221" s="11">
        <f ca="1">Table1[[#This Row],[Sales]]-H221</f>
        <v>5805.4499999999989</v>
      </c>
      <c r="J221" s="2">
        <f ca="1">Table1[[#This Row],[Profit]]/Table1[[#This Row],[Sales]]</f>
        <v>0.34999999999999992</v>
      </c>
      <c r="K221" t="str">
        <f ca="1">TEXT(Table1[[#This Row],[Order_Date]],"mmm")</f>
        <v>May</v>
      </c>
      <c r="L221">
        <f ca="1">YEAR(Table1[[#This Row],[Order_Date]])</f>
        <v>2023</v>
      </c>
    </row>
    <row r="222" spans="1:12" x14ac:dyDescent="0.3">
      <c r="A222">
        <f t="shared" si="12"/>
        <v>221</v>
      </c>
      <c r="B222" s="1">
        <f t="shared" ca="1" si="13"/>
        <v>44965</v>
      </c>
      <c r="C222" t="s">
        <v>7</v>
      </c>
      <c r="D222" t="str">
        <f t="shared" ca="1" si="14"/>
        <v>Furniture</v>
      </c>
      <c r="E222" t="s">
        <v>49</v>
      </c>
      <c r="F222" s="11">
        <v>18616</v>
      </c>
      <c r="G222">
        <f t="shared" ca="1" si="15"/>
        <v>5</v>
      </c>
      <c r="H222" s="11">
        <f ca="1">IF(Table1[[#This Row],[Category]]="Electronics",Table1[[#This Row],[Sales]]*0.6,
IF(Table1[[#This Row],[Category]]="Furniture",Table1[[#This Row],[Sales]]*0.75,
IF(Table1[[#This Row],[Category]]="Clothing",Table1[[#This Row],[Sales]]*0.65,
Table1[[#This Row],[Sales]]*0.7)))</f>
        <v>13962</v>
      </c>
      <c r="I222" s="11">
        <f ca="1">Table1[[#This Row],[Sales]]-H222</f>
        <v>4654</v>
      </c>
      <c r="J222" s="2">
        <f ca="1">Table1[[#This Row],[Profit]]/Table1[[#This Row],[Sales]]</f>
        <v>0.25</v>
      </c>
      <c r="K222" t="str">
        <f ca="1">TEXT(Table1[[#This Row],[Order_Date]],"mmm")</f>
        <v>Feb</v>
      </c>
      <c r="L222">
        <f ca="1">YEAR(Table1[[#This Row],[Order_Date]])</f>
        <v>2023</v>
      </c>
    </row>
    <row r="223" spans="1:12" x14ac:dyDescent="0.3">
      <c r="A223">
        <f t="shared" si="12"/>
        <v>222</v>
      </c>
      <c r="B223" s="1">
        <f t="shared" ca="1" si="13"/>
        <v>44951</v>
      </c>
      <c r="C223" t="s">
        <v>8</v>
      </c>
      <c r="D223" t="str">
        <f t="shared" ca="1" si="14"/>
        <v>Office Supplies</v>
      </c>
      <c r="E223" t="s">
        <v>78</v>
      </c>
      <c r="F223" s="11">
        <v>16606</v>
      </c>
      <c r="G223">
        <f t="shared" ca="1" si="15"/>
        <v>2</v>
      </c>
      <c r="H223" s="11">
        <f ca="1">IF(Table1[[#This Row],[Category]]="Electronics",Table1[[#This Row],[Sales]]*0.6,
IF(Table1[[#This Row],[Category]]="Furniture",Table1[[#This Row],[Sales]]*0.75,
IF(Table1[[#This Row],[Category]]="Clothing",Table1[[#This Row],[Sales]]*0.65,
Table1[[#This Row],[Sales]]*0.7)))</f>
        <v>11624.199999999999</v>
      </c>
      <c r="I223" s="11">
        <f ca="1">Table1[[#This Row],[Sales]]-H223</f>
        <v>4981.8000000000011</v>
      </c>
      <c r="J223" s="2">
        <f ca="1">Table1[[#This Row],[Profit]]/Table1[[#This Row],[Sales]]</f>
        <v>0.30000000000000004</v>
      </c>
      <c r="K223" t="str">
        <f ca="1">TEXT(Table1[[#This Row],[Order_Date]],"mmm")</f>
        <v>Jan</v>
      </c>
      <c r="L223">
        <f ca="1">YEAR(Table1[[#This Row],[Order_Date]])</f>
        <v>2023</v>
      </c>
    </row>
    <row r="224" spans="1:12" x14ac:dyDescent="0.3">
      <c r="A224">
        <f t="shared" si="12"/>
        <v>223</v>
      </c>
      <c r="B224" s="1">
        <f t="shared" ca="1" si="13"/>
        <v>45155</v>
      </c>
      <c r="C224" t="s">
        <v>9</v>
      </c>
      <c r="D224" t="str">
        <f t="shared" ca="1" si="14"/>
        <v>Clothing</v>
      </c>
      <c r="E224" t="s">
        <v>69</v>
      </c>
      <c r="F224" s="11">
        <v>7220</v>
      </c>
      <c r="G224">
        <f t="shared" ca="1" si="15"/>
        <v>5</v>
      </c>
      <c r="H224" s="11">
        <f ca="1">IF(Table1[[#This Row],[Category]]="Electronics",Table1[[#This Row],[Sales]]*0.6,
IF(Table1[[#This Row],[Category]]="Furniture",Table1[[#This Row],[Sales]]*0.75,
IF(Table1[[#This Row],[Category]]="Clothing",Table1[[#This Row],[Sales]]*0.65,
Table1[[#This Row],[Sales]]*0.7)))</f>
        <v>4693</v>
      </c>
      <c r="I224" s="11">
        <f ca="1">Table1[[#This Row],[Sales]]-H224</f>
        <v>2527</v>
      </c>
      <c r="J224" s="2">
        <f ca="1">Table1[[#This Row],[Profit]]/Table1[[#This Row],[Sales]]</f>
        <v>0.35</v>
      </c>
      <c r="K224" t="str">
        <f ca="1">TEXT(Table1[[#This Row],[Order_Date]],"mmm")</f>
        <v>Aug</v>
      </c>
      <c r="L224">
        <f ca="1">YEAR(Table1[[#This Row],[Order_Date]])</f>
        <v>2023</v>
      </c>
    </row>
    <row r="225" spans="1:12" x14ac:dyDescent="0.3">
      <c r="A225">
        <f t="shared" si="12"/>
        <v>224</v>
      </c>
      <c r="B225" s="1">
        <f t="shared" ca="1" si="13"/>
        <v>45176</v>
      </c>
      <c r="C225" t="s">
        <v>10</v>
      </c>
      <c r="D225" t="str">
        <f t="shared" ca="1" si="14"/>
        <v>Clothing</v>
      </c>
      <c r="E225" t="s">
        <v>69</v>
      </c>
      <c r="F225" s="11">
        <v>8760</v>
      </c>
      <c r="G225">
        <f t="shared" ca="1" si="15"/>
        <v>9</v>
      </c>
      <c r="H225" s="11">
        <f ca="1">IF(Table1[[#This Row],[Category]]="Electronics",Table1[[#This Row],[Sales]]*0.6,
IF(Table1[[#This Row],[Category]]="Furniture",Table1[[#This Row],[Sales]]*0.75,
IF(Table1[[#This Row],[Category]]="Clothing",Table1[[#This Row],[Sales]]*0.65,
Table1[[#This Row],[Sales]]*0.7)))</f>
        <v>5694</v>
      </c>
      <c r="I225" s="11">
        <f ca="1">Table1[[#This Row],[Sales]]-H225</f>
        <v>3066</v>
      </c>
      <c r="J225" s="2">
        <f ca="1">Table1[[#This Row],[Profit]]/Table1[[#This Row],[Sales]]</f>
        <v>0.35</v>
      </c>
      <c r="K225" t="str">
        <f ca="1">TEXT(Table1[[#This Row],[Order_Date]],"mmm")</f>
        <v>Sep</v>
      </c>
      <c r="L225">
        <f ca="1">YEAR(Table1[[#This Row],[Order_Date]])</f>
        <v>2023</v>
      </c>
    </row>
    <row r="226" spans="1:12" x14ac:dyDescent="0.3">
      <c r="A226">
        <f t="shared" si="12"/>
        <v>225</v>
      </c>
      <c r="B226" s="1">
        <f t="shared" ca="1" si="13"/>
        <v>44985</v>
      </c>
      <c r="C226" t="s">
        <v>7</v>
      </c>
      <c r="D226" t="str">
        <f t="shared" ca="1" si="14"/>
        <v>Furniture</v>
      </c>
      <c r="E226" t="s">
        <v>48</v>
      </c>
      <c r="F226" s="11">
        <v>952</v>
      </c>
      <c r="G226">
        <f t="shared" ca="1" si="15"/>
        <v>7</v>
      </c>
      <c r="H226" s="11">
        <f ca="1">IF(Table1[[#This Row],[Category]]="Electronics",Table1[[#This Row],[Sales]]*0.6,
IF(Table1[[#This Row],[Category]]="Furniture",Table1[[#This Row],[Sales]]*0.75,
IF(Table1[[#This Row],[Category]]="Clothing",Table1[[#This Row],[Sales]]*0.65,
Table1[[#This Row],[Sales]]*0.7)))</f>
        <v>714</v>
      </c>
      <c r="I226" s="11">
        <f ca="1">Table1[[#This Row],[Sales]]-H226</f>
        <v>238</v>
      </c>
      <c r="J226" s="2">
        <f ca="1">Table1[[#This Row],[Profit]]/Table1[[#This Row],[Sales]]</f>
        <v>0.25</v>
      </c>
      <c r="K226" t="str">
        <f ca="1">TEXT(Table1[[#This Row],[Order_Date]],"mmm")</f>
        <v>Feb</v>
      </c>
      <c r="L226">
        <f ca="1">YEAR(Table1[[#This Row],[Order_Date]])</f>
        <v>2023</v>
      </c>
    </row>
    <row r="227" spans="1:12" x14ac:dyDescent="0.3">
      <c r="A227">
        <f t="shared" si="12"/>
        <v>226</v>
      </c>
      <c r="B227" s="1">
        <f t="shared" ca="1" si="13"/>
        <v>44971</v>
      </c>
      <c r="C227" t="s">
        <v>8</v>
      </c>
      <c r="D227" t="str">
        <f t="shared" ca="1" si="14"/>
        <v>Furniture</v>
      </c>
      <c r="E227" t="s">
        <v>78</v>
      </c>
      <c r="F227" s="11">
        <v>15298</v>
      </c>
      <c r="G227">
        <f t="shared" ca="1" si="15"/>
        <v>4</v>
      </c>
      <c r="H227" s="11">
        <f ca="1">IF(Table1[[#This Row],[Category]]="Electronics",Table1[[#This Row],[Sales]]*0.6,
IF(Table1[[#This Row],[Category]]="Furniture",Table1[[#This Row],[Sales]]*0.75,
IF(Table1[[#This Row],[Category]]="Clothing",Table1[[#This Row],[Sales]]*0.65,
Table1[[#This Row],[Sales]]*0.7)))</f>
        <v>11473.5</v>
      </c>
      <c r="I227" s="11">
        <f ca="1">Table1[[#This Row],[Sales]]-H227</f>
        <v>3824.5</v>
      </c>
      <c r="J227" s="2">
        <f ca="1">Table1[[#This Row],[Profit]]/Table1[[#This Row],[Sales]]</f>
        <v>0.25</v>
      </c>
      <c r="K227" t="str">
        <f ca="1">TEXT(Table1[[#This Row],[Order_Date]],"mmm")</f>
        <v>Feb</v>
      </c>
      <c r="L227">
        <f ca="1">YEAR(Table1[[#This Row],[Order_Date]])</f>
        <v>2023</v>
      </c>
    </row>
    <row r="228" spans="1:12" x14ac:dyDescent="0.3">
      <c r="A228">
        <f t="shared" si="12"/>
        <v>227</v>
      </c>
      <c r="B228" s="1">
        <f t="shared" ca="1" si="13"/>
        <v>45214</v>
      </c>
      <c r="C228" t="s">
        <v>9</v>
      </c>
      <c r="D228" t="str">
        <f t="shared" ca="1" si="14"/>
        <v>Clothing</v>
      </c>
      <c r="E228" t="s">
        <v>52</v>
      </c>
      <c r="F228" s="11">
        <v>5569</v>
      </c>
      <c r="G228">
        <f t="shared" ca="1" si="15"/>
        <v>9</v>
      </c>
      <c r="H228" s="11">
        <f ca="1">IF(Table1[[#This Row],[Category]]="Electronics",Table1[[#This Row],[Sales]]*0.6,
IF(Table1[[#This Row],[Category]]="Furniture",Table1[[#This Row],[Sales]]*0.75,
IF(Table1[[#This Row],[Category]]="Clothing",Table1[[#This Row],[Sales]]*0.65,
Table1[[#This Row],[Sales]]*0.7)))</f>
        <v>3619.85</v>
      </c>
      <c r="I228" s="11">
        <f ca="1">Table1[[#This Row],[Sales]]-H228</f>
        <v>1949.15</v>
      </c>
      <c r="J228" s="2">
        <f ca="1">Table1[[#This Row],[Profit]]/Table1[[#This Row],[Sales]]</f>
        <v>0.35000000000000003</v>
      </c>
      <c r="K228" t="str">
        <f ca="1">TEXT(Table1[[#This Row],[Order_Date]],"mmm")</f>
        <v>Oct</v>
      </c>
      <c r="L228">
        <f ca="1">YEAR(Table1[[#This Row],[Order_Date]])</f>
        <v>2023</v>
      </c>
    </row>
    <row r="229" spans="1:12" x14ac:dyDescent="0.3">
      <c r="A229">
        <f t="shared" si="12"/>
        <v>228</v>
      </c>
      <c r="B229" s="1">
        <f t="shared" ca="1" si="13"/>
        <v>45134</v>
      </c>
      <c r="C229" t="s">
        <v>10</v>
      </c>
      <c r="D229" t="str">
        <f t="shared" ca="1" si="14"/>
        <v>Clothing</v>
      </c>
      <c r="E229" t="s">
        <v>53</v>
      </c>
      <c r="F229" s="11">
        <v>4129</v>
      </c>
      <c r="G229">
        <f t="shared" ca="1" si="15"/>
        <v>5</v>
      </c>
      <c r="H229" s="11">
        <f ca="1">IF(Table1[[#This Row],[Category]]="Electronics",Table1[[#This Row],[Sales]]*0.6,
IF(Table1[[#This Row],[Category]]="Furniture",Table1[[#This Row],[Sales]]*0.75,
IF(Table1[[#This Row],[Category]]="Clothing",Table1[[#This Row],[Sales]]*0.65,
Table1[[#This Row],[Sales]]*0.7)))</f>
        <v>2683.85</v>
      </c>
      <c r="I229" s="11">
        <f ca="1">Table1[[#This Row],[Sales]]-H229</f>
        <v>1445.15</v>
      </c>
      <c r="J229" s="2">
        <f ca="1">Table1[[#This Row],[Profit]]/Table1[[#This Row],[Sales]]</f>
        <v>0.35000000000000003</v>
      </c>
      <c r="K229" t="str">
        <f ca="1">TEXT(Table1[[#This Row],[Order_Date]],"mmm")</f>
        <v>Jul</v>
      </c>
      <c r="L229">
        <f ca="1">YEAR(Table1[[#This Row],[Order_Date]])</f>
        <v>2023</v>
      </c>
    </row>
    <row r="230" spans="1:12" x14ac:dyDescent="0.3">
      <c r="A230">
        <f t="shared" si="12"/>
        <v>229</v>
      </c>
      <c r="B230" s="1">
        <f t="shared" ca="1" si="13"/>
        <v>44993</v>
      </c>
      <c r="C230" t="s">
        <v>7</v>
      </c>
      <c r="D230" t="str">
        <f t="shared" ca="1" si="14"/>
        <v>Furniture</v>
      </c>
      <c r="E230" t="s">
        <v>61</v>
      </c>
      <c r="F230" s="11">
        <v>3024</v>
      </c>
      <c r="G230">
        <f t="shared" ca="1" si="15"/>
        <v>10</v>
      </c>
      <c r="H230" s="11">
        <f ca="1">IF(Table1[[#This Row],[Category]]="Electronics",Table1[[#This Row],[Sales]]*0.6,
IF(Table1[[#This Row],[Category]]="Furniture",Table1[[#This Row],[Sales]]*0.75,
IF(Table1[[#This Row],[Category]]="Clothing",Table1[[#This Row],[Sales]]*0.65,
Table1[[#This Row],[Sales]]*0.7)))</f>
        <v>2268</v>
      </c>
      <c r="I230" s="11">
        <f ca="1">Table1[[#This Row],[Sales]]-H230</f>
        <v>756</v>
      </c>
      <c r="J230" s="2">
        <f ca="1">Table1[[#This Row],[Profit]]/Table1[[#This Row],[Sales]]</f>
        <v>0.25</v>
      </c>
      <c r="K230" t="str">
        <f ca="1">TEXT(Table1[[#This Row],[Order_Date]],"mmm")</f>
        <v>Mar</v>
      </c>
      <c r="L230">
        <f ca="1">YEAR(Table1[[#This Row],[Order_Date]])</f>
        <v>2023</v>
      </c>
    </row>
    <row r="231" spans="1:12" x14ac:dyDescent="0.3">
      <c r="A231">
        <f t="shared" si="12"/>
        <v>230</v>
      </c>
      <c r="B231" s="1">
        <f t="shared" ca="1" si="13"/>
        <v>45004</v>
      </c>
      <c r="C231" t="s">
        <v>8</v>
      </c>
      <c r="D231" t="str">
        <f t="shared" ca="1" si="14"/>
        <v>Furniture</v>
      </c>
      <c r="E231" t="s">
        <v>74</v>
      </c>
      <c r="F231" s="11">
        <v>4569</v>
      </c>
      <c r="G231">
        <f t="shared" ca="1" si="15"/>
        <v>10</v>
      </c>
      <c r="H231" s="11">
        <f ca="1">IF(Table1[[#This Row],[Category]]="Electronics",Table1[[#This Row],[Sales]]*0.6,
IF(Table1[[#This Row],[Category]]="Furniture",Table1[[#This Row],[Sales]]*0.75,
IF(Table1[[#This Row],[Category]]="Clothing",Table1[[#This Row],[Sales]]*0.65,
Table1[[#This Row],[Sales]]*0.7)))</f>
        <v>3426.75</v>
      </c>
      <c r="I231" s="11">
        <f ca="1">Table1[[#This Row],[Sales]]-H231</f>
        <v>1142.25</v>
      </c>
      <c r="J231" s="2">
        <f ca="1">Table1[[#This Row],[Profit]]/Table1[[#This Row],[Sales]]</f>
        <v>0.25</v>
      </c>
      <c r="K231" t="str">
        <f ca="1">TEXT(Table1[[#This Row],[Order_Date]],"mmm")</f>
        <v>Mar</v>
      </c>
      <c r="L231">
        <f ca="1">YEAR(Table1[[#This Row],[Order_Date]])</f>
        <v>2023</v>
      </c>
    </row>
    <row r="232" spans="1:12" x14ac:dyDescent="0.3">
      <c r="A232">
        <f t="shared" si="12"/>
        <v>231</v>
      </c>
      <c r="B232" s="1">
        <f t="shared" ca="1" si="13"/>
        <v>45062</v>
      </c>
      <c r="C232" t="s">
        <v>9</v>
      </c>
      <c r="D232" t="str">
        <f t="shared" ca="1" si="14"/>
        <v>Office Supplies</v>
      </c>
      <c r="E232" t="s">
        <v>61</v>
      </c>
      <c r="F232" s="11">
        <v>1459</v>
      </c>
      <c r="G232">
        <f t="shared" ca="1" si="15"/>
        <v>8</v>
      </c>
      <c r="H232" s="11">
        <f ca="1">IF(Table1[[#This Row],[Category]]="Electronics",Table1[[#This Row],[Sales]]*0.6,
IF(Table1[[#This Row],[Category]]="Furniture",Table1[[#This Row],[Sales]]*0.75,
IF(Table1[[#This Row],[Category]]="Clothing",Table1[[#This Row],[Sales]]*0.65,
Table1[[#This Row],[Sales]]*0.7)))</f>
        <v>1021.3</v>
      </c>
      <c r="I232" s="11">
        <f ca="1">Table1[[#This Row],[Sales]]-H232</f>
        <v>437.70000000000005</v>
      </c>
      <c r="J232" s="2">
        <f ca="1">Table1[[#This Row],[Profit]]/Table1[[#This Row],[Sales]]</f>
        <v>0.30000000000000004</v>
      </c>
      <c r="K232" t="str">
        <f ca="1">TEXT(Table1[[#This Row],[Order_Date]],"mmm")</f>
        <v>May</v>
      </c>
      <c r="L232">
        <f ca="1">YEAR(Table1[[#This Row],[Order_Date]])</f>
        <v>2023</v>
      </c>
    </row>
    <row r="233" spans="1:12" x14ac:dyDescent="0.3">
      <c r="A233">
        <f t="shared" si="12"/>
        <v>232</v>
      </c>
      <c r="B233" s="1">
        <f t="shared" ca="1" si="13"/>
        <v>45071</v>
      </c>
      <c r="C233" t="s">
        <v>10</v>
      </c>
      <c r="D233" t="str">
        <f t="shared" ca="1" si="14"/>
        <v>Clothing</v>
      </c>
      <c r="E233" t="s">
        <v>63</v>
      </c>
      <c r="F233" s="11">
        <v>7769</v>
      </c>
      <c r="G233">
        <f t="shared" ca="1" si="15"/>
        <v>9</v>
      </c>
      <c r="H233" s="11">
        <f ca="1">IF(Table1[[#This Row],[Category]]="Electronics",Table1[[#This Row],[Sales]]*0.6,
IF(Table1[[#This Row],[Category]]="Furniture",Table1[[#This Row],[Sales]]*0.75,
IF(Table1[[#This Row],[Category]]="Clothing",Table1[[#This Row],[Sales]]*0.65,
Table1[[#This Row],[Sales]]*0.7)))</f>
        <v>5049.8500000000004</v>
      </c>
      <c r="I233" s="11">
        <f ca="1">Table1[[#This Row],[Sales]]-H233</f>
        <v>2719.1499999999996</v>
      </c>
      <c r="J233" s="2">
        <f ca="1">Table1[[#This Row],[Profit]]/Table1[[#This Row],[Sales]]</f>
        <v>0.35</v>
      </c>
      <c r="K233" t="str">
        <f ca="1">TEXT(Table1[[#This Row],[Order_Date]],"mmm")</f>
        <v>May</v>
      </c>
      <c r="L233">
        <f ca="1">YEAR(Table1[[#This Row],[Order_Date]])</f>
        <v>2023</v>
      </c>
    </row>
    <row r="234" spans="1:12" x14ac:dyDescent="0.3">
      <c r="A234">
        <f t="shared" si="12"/>
        <v>233</v>
      </c>
      <c r="B234" s="1">
        <f t="shared" ca="1" si="13"/>
        <v>44991</v>
      </c>
      <c r="C234" t="s">
        <v>7</v>
      </c>
      <c r="D234" t="str">
        <f t="shared" ca="1" si="14"/>
        <v>Clothing</v>
      </c>
      <c r="E234" t="s">
        <v>44</v>
      </c>
      <c r="F234" s="11">
        <v>5925</v>
      </c>
      <c r="G234">
        <f t="shared" ca="1" si="15"/>
        <v>7</v>
      </c>
      <c r="H234" s="11">
        <f ca="1">IF(Table1[[#This Row],[Category]]="Electronics",Table1[[#This Row],[Sales]]*0.6,
IF(Table1[[#This Row],[Category]]="Furniture",Table1[[#This Row],[Sales]]*0.75,
IF(Table1[[#This Row],[Category]]="Clothing",Table1[[#This Row],[Sales]]*0.65,
Table1[[#This Row],[Sales]]*0.7)))</f>
        <v>3851.25</v>
      </c>
      <c r="I234" s="11">
        <f ca="1">Table1[[#This Row],[Sales]]-H234</f>
        <v>2073.75</v>
      </c>
      <c r="J234" s="2">
        <f ca="1">Table1[[#This Row],[Profit]]/Table1[[#This Row],[Sales]]</f>
        <v>0.35</v>
      </c>
      <c r="K234" t="str">
        <f ca="1">TEXT(Table1[[#This Row],[Order_Date]],"mmm")</f>
        <v>Mar</v>
      </c>
      <c r="L234">
        <f ca="1">YEAR(Table1[[#This Row],[Order_Date]])</f>
        <v>2023</v>
      </c>
    </row>
    <row r="235" spans="1:12" x14ac:dyDescent="0.3">
      <c r="A235">
        <f t="shared" si="12"/>
        <v>234</v>
      </c>
      <c r="B235" s="1">
        <f t="shared" ca="1" si="13"/>
        <v>45252</v>
      </c>
      <c r="C235" t="s">
        <v>8</v>
      </c>
      <c r="D235" t="str">
        <f t="shared" ca="1" si="14"/>
        <v>Clothing</v>
      </c>
      <c r="E235" t="s">
        <v>76</v>
      </c>
      <c r="F235" s="11">
        <v>2077</v>
      </c>
      <c r="G235">
        <f t="shared" ca="1" si="15"/>
        <v>6</v>
      </c>
      <c r="H235" s="11">
        <f ca="1">IF(Table1[[#This Row],[Category]]="Electronics",Table1[[#This Row],[Sales]]*0.6,
IF(Table1[[#This Row],[Category]]="Furniture",Table1[[#This Row],[Sales]]*0.75,
IF(Table1[[#This Row],[Category]]="Clothing",Table1[[#This Row],[Sales]]*0.65,
Table1[[#This Row],[Sales]]*0.7)))</f>
        <v>1350.05</v>
      </c>
      <c r="I235" s="11">
        <f ca="1">Table1[[#This Row],[Sales]]-H235</f>
        <v>726.95</v>
      </c>
      <c r="J235" s="2">
        <f ca="1">Table1[[#This Row],[Profit]]/Table1[[#This Row],[Sales]]</f>
        <v>0.35000000000000003</v>
      </c>
      <c r="K235" t="str">
        <f ca="1">TEXT(Table1[[#This Row],[Order_Date]],"mmm")</f>
        <v>Nov</v>
      </c>
      <c r="L235">
        <f ca="1">YEAR(Table1[[#This Row],[Order_Date]])</f>
        <v>2023</v>
      </c>
    </row>
    <row r="236" spans="1:12" x14ac:dyDescent="0.3">
      <c r="A236">
        <f t="shared" si="12"/>
        <v>235</v>
      </c>
      <c r="B236" s="1">
        <f t="shared" ca="1" si="13"/>
        <v>45082</v>
      </c>
      <c r="C236" t="s">
        <v>9</v>
      </c>
      <c r="D236" t="str">
        <f t="shared" ca="1" si="14"/>
        <v>Clothing</v>
      </c>
      <c r="E236" t="s">
        <v>67</v>
      </c>
      <c r="F236" s="11">
        <v>2871</v>
      </c>
      <c r="G236">
        <f t="shared" ca="1" si="15"/>
        <v>5</v>
      </c>
      <c r="H236" s="11">
        <f ca="1">IF(Table1[[#This Row],[Category]]="Electronics",Table1[[#This Row],[Sales]]*0.6,
IF(Table1[[#This Row],[Category]]="Furniture",Table1[[#This Row],[Sales]]*0.75,
IF(Table1[[#This Row],[Category]]="Clothing",Table1[[#This Row],[Sales]]*0.65,
Table1[[#This Row],[Sales]]*0.7)))</f>
        <v>1866.15</v>
      </c>
      <c r="I236" s="11">
        <f ca="1">Table1[[#This Row],[Sales]]-H236</f>
        <v>1004.8499999999999</v>
      </c>
      <c r="J236" s="2">
        <f ca="1">Table1[[#This Row],[Profit]]/Table1[[#This Row],[Sales]]</f>
        <v>0.35</v>
      </c>
      <c r="K236" t="str">
        <f ca="1">TEXT(Table1[[#This Row],[Order_Date]],"mmm")</f>
        <v>Jun</v>
      </c>
      <c r="L236">
        <f ca="1">YEAR(Table1[[#This Row],[Order_Date]])</f>
        <v>2023</v>
      </c>
    </row>
    <row r="237" spans="1:12" x14ac:dyDescent="0.3">
      <c r="A237">
        <f t="shared" si="12"/>
        <v>236</v>
      </c>
      <c r="B237" s="1">
        <f t="shared" ca="1" si="13"/>
        <v>45086</v>
      </c>
      <c r="C237" t="s">
        <v>10</v>
      </c>
      <c r="D237" t="str">
        <f t="shared" ca="1" si="14"/>
        <v>Furniture</v>
      </c>
      <c r="E237" t="s">
        <v>41</v>
      </c>
      <c r="F237" s="11">
        <v>12002</v>
      </c>
      <c r="G237">
        <f t="shared" ca="1" si="15"/>
        <v>10</v>
      </c>
      <c r="H237" s="11">
        <f ca="1">IF(Table1[[#This Row],[Category]]="Electronics",Table1[[#This Row],[Sales]]*0.6,
IF(Table1[[#This Row],[Category]]="Furniture",Table1[[#This Row],[Sales]]*0.75,
IF(Table1[[#This Row],[Category]]="Clothing",Table1[[#This Row],[Sales]]*0.65,
Table1[[#This Row],[Sales]]*0.7)))</f>
        <v>9001.5</v>
      </c>
      <c r="I237" s="11">
        <f ca="1">Table1[[#This Row],[Sales]]-H237</f>
        <v>3000.5</v>
      </c>
      <c r="J237" s="2">
        <f ca="1">Table1[[#This Row],[Profit]]/Table1[[#This Row],[Sales]]</f>
        <v>0.25</v>
      </c>
      <c r="K237" t="str">
        <f ca="1">TEXT(Table1[[#This Row],[Order_Date]],"mmm")</f>
        <v>Jun</v>
      </c>
      <c r="L237">
        <f ca="1">YEAR(Table1[[#This Row],[Order_Date]])</f>
        <v>2023</v>
      </c>
    </row>
    <row r="238" spans="1:12" x14ac:dyDescent="0.3">
      <c r="A238">
        <f t="shared" si="12"/>
        <v>237</v>
      </c>
      <c r="B238" s="1">
        <f t="shared" ca="1" si="13"/>
        <v>45099</v>
      </c>
      <c r="C238" t="s">
        <v>7</v>
      </c>
      <c r="D238" t="str">
        <f t="shared" ca="1" si="14"/>
        <v>Clothing</v>
      </c>
      <c r="E238" t="s">
        <v>53</v>
      </c>
      <c r="F238" s="11">
        <v>18213</v>
      </c>
      <c r="G238">
        <f t="shared" ca="1" si="15"/>
        <v>2</v>
      </c>
      <c r="H238" s="11">
        <f ca="1">IF(Table1[[#This Row],[Category]]="Electronics",Table1[[#This Row],[Sales]]*0.6,
IF(Table1[[#This Row],[Category]]="Furniture",Table1[[#This Row],[Sales]]*0.75,
IF(Table1[[#This Row],[Category]]="Clothing",Table1[[#This Row],[Sales]]*0.65,
Table1[[#This Row],[Sales]]*0.7)))</f>
        <v>11838.45</v>
      </c>
      <c r="I238" s="11">
        <f ca="1">Table1[[#This Row],[Sales]]-H238</f>
        <v>6374.5499999999993</v>
      </c>
      <c r="J238" s="2">
        <f ca="1">Table1[[#This Row],[Profit]]/Table1[[#This Row],[Sales]]</f>
        <v>0.35</v>
      </c>
      <c r="K238" t="str">
        <f ca="1">TEXT(Table1[[#This Row],[Order_Date]],"mmm")</f>
        <v>Jun</v>
      </c>
      <c r="L238">
        <f ca="1">YEAR(Table1[[#This Row],[Order_Date]])</f>
        <v>2023</v>
      </c>
    </row>
    <row r="239" spans="1:12" x14ac:dyDescent="0.3">
      <c r="A239">
        <f t="shared" si="12"/>
        <v>238</v>
      </c>
      <c r="B239" s="1">
        <f t="shared" ca="1" si="13"/>
        <v>45190</v>
      </c>
      <c r="C239" t="s">
        <v>8</v>
      </c>
      <c r="D239" t="str">
        <f t="shared" ca="1" si="14"/>
        <v>Electronics</v>
      </c>
      <c r="E239" t="s">
        <v>59</v>
      </c>
      <c r="F239" s="11">
        <v>13225</v>
      </c>
      <c r="G239">
        <f t="shared" ca="1" si="15"/>
        <v>4</v>
      </c>
      <c r="H239" s="11">
        <f ca="1">IF(Table1[[#This Row],[Category]]="Electronics",Table1[[#This Row],[Sales]]*0.6,
IF(Table1[[#This Row],[Category]]="Furniture",Table1[[#This Row],[Sales]]*0.75,
IF(Table1[[#This Row],[Category]]="Clothing",Table1[[#This Row],[Sales]]*0.65,
Table1[[#This Row],[Sales]]*0.7)))</f>
        <v>7935</v>
      </c>
      <c r="I239" s="11">
        <f ca="1">Table1[[#This Row],[Sales]]-H239</f>
        <v>5290</v>
      </c>
      <c r="J239" s="2">
        <f ca="1">Table1[[#This Row],[Profit]]/Table1[[#This Row],[Sales]]</f>
        <v>0.4</v>
      </c>
      <c r="K239" t="str">
        <f ca="1">TEXT(Table1[[#This Row],[Order_Date]],"mmm")</f>
        <v>Sep</v>
      </c>
      <c r="L239">
        <f ca="1">YEAR(Table1[[#This Row],[Order_Date]])</f>
        <v>2023</v>
      </c>
    </row>
    <row r="240" spans="1:12" x14ac:dyDescent="0.3">
      <c r="A240">
        <f t="shared" si="12"/>
        <v>239</v>
      </c>
      <c r="B240" s="1">
        <f t="shared" ca="1" si="13"/>
        <v>45283</v>
      </c>
      <c r="C240" t="s">
        <v>9</v>
      </c>
      <c r="D240" t="str">
        <f t="shared" ca="1" si="14"/>
        <v>Electronics</v>
      </c>
      <c r="E240" t="s">
        <v>58</v>
      </c>
      <c r="F240" s="11">
        <v>8658</v>
      </c>
      <c r="G240">
        <f t="shared" ca="1" si="15"/>
        <v>6</v>
      </c>
      <c r="H240" s="11">
        <f ca="1">IF(Table1[[#This Row],[Category]]="Electronics",Table1[[#This Row],[Sales]]*0.6,
IF(Table1[[#This Row],[Category]]="Furniture",Table1[[#This Row],[Sales]]*0.75,
IF(Table1[[#This Row],[Category]]="Clothing",Table1[[#This Row],[Sales]]*0.65,
Table1[[#This Row],[Sales]]*0.7)))</f>
        <v>5194.8</v>
      </c>
      <c r="I240" s="11">
        <f ca="1">Table1[[#This Row],[Sales]]-H240</f>
        <v>3463.2</v>
      </c>
      <c r="J240" s="2">
        <f ca="1">Table1[[#This Row],[Profit]]/Table1[[#This Row],[Sales]]</f>
        <v>0.39999999999999997</v>
      </c>
      <c r="K240" t="str">
        <f ca="1">TEXT(Table1[[#This Row],[Order_Date]],"mmm")</f>
        <v>Dec</v>
      </c>
      <c r="L240">
        <f ca="1">YEAR(Table1[[#This Row],[Order_Date]])</f>
        <v>2023</v>
      </c>
    </row>
    <row r="241" spans="1:12" x14ac:dyDescent="0.3">
      <c r="A241">
        <f t="shared" si="12"/>
        <v>240</v>
      </c>
      <c r="B241" s="1">
        <f t="shared" ca="1" si="13"/>
        <v>45102</v>
      </c>
      <c r="C241" t="s">
        <v>10</v>
      </c>
      <c r="D241" t="str">
        <f t="shared" ca="1" si="14"/>
        <v>Clothing</v>
      </c>
      <c r="E241" t="s">
        <v>70</v>
      </c>
      <c r="F241" s="11">
        <v>14512</v>
      </c>
      <c r="G241">
        <f t="shared" ca="1" si="15"/>
        <v>4</v>
      </c>
      <c r="H241" s="11">
        <f ca="1">IF(Table1[[#This Row],[Category]]="Electronics",Table1[[#This Row],[Sales]]*0.6,
IF(Table1[[#This Row],[Category]]="Furniture",Table1[[#This Row],[Sales]]*0.75,
IF(Table1[[#This Row],[Category]]="Clothing",Table1[[#This Row],[Sales]]*0.65,
Table1[[#This Row],[Sales]]*0.7)))</f>
        <v>9432.8000000000011</v>
      </c>
      <c r="I241" s="11">
        <f ca="1">Table1[[#This Row],[Sales]]-H241</f>
        <v>5079.1999999999989</v>
      </c>
      <c r="J241" s="2">
        <f ca="1">Table1[[#This Row],[Profit]]/Table1[[#This Row],[Sales]]</f>
        <v>0.34999999999999992</v>
      </c>
      <c r="K241" t="str">
        <f ca="1">TEXT(Table1[[#This Row],[Order_Date]],"mmm")</f>
        <v>Jun</v>
      </c>
      <c r="L241">
        <f ca="1">YEAR(Table1[[#This Row],[Order_Date]])</f>
        <v>2023</v>
      </c>
    </row>
    <row r="242" spans="1:12" x14ac:dyDescent="0.3">
      <c r="A242">
        <f t="shared" si="12"/>
        <v>241</v>
      </c>
      <c r="B242" s="1">
        <f t="shared" ca="1" si="13"/>
        <v>45240</v>
      </c>
      <c r="C242" t="s">
        <v>7</v>
      </c>
      <c r="D242" t="str">
        <f t="shared" ca="1" si="14"/>
        <v>Office Supplies</v>
      </c>
      <c r="E242" t="s">
        <v>38</v>
      </c>
      <c r="F242" s="11">
        <v>19799</v>
      </c>
      <c r="G242">
        <f t="shared" ca="1" si="15"/>
        <v>1</v>
      </c>
      <c r="H242" s="11">
        <f ca="1">IF(Table1[[#This Row],[Category]]="Electronics",Table1[[#This Row],[Sales]]*0.6,
IF(Table1[[#This Row],[Category]]="Furniture",Table1[[#This Row],[Sales]]*0.75,
IF(Table1[[#This Row],[Category]]="Clothing",Table1[[#This Row],[Sales]]*0.65,
Table1[[#This Row],[Sales]]*0.7)))</f>
        <v>13859.3</v>
      </c>
      <c r="I242" s="11">
        <f ca="1">Table1[[#This Row],[Sales]]-H242</f>
        <v>5939.7000000000007</v>
      </c>
      <c r="J242" s="2">
        <f ca="1">Table1[[#This Row],[Profit]]/Table1[[#This Row],[Sales]]</f>
        <v>0.30000000000000004</v>
      </c>
      <c r="K242" t="str">
        <f ca="1">TEXT(Table1[[#This Row],[Order_Date]],"mmm")</f>
        <v>Nov</v>
      </c>
      <c r="L242">
        <f ca="1">YEAR(Table1[[#This Row],[Order_Date]])</f>
        <v>2023</v>
      </c>
    </row>
    <row r="243" spans="1:12" x14ac:dyDescent="0.3">
      <c r="A243">
        <f t="shared" si="12"/>
        <v>242</v>
      </c>
      <c r="B243" s="1">
        <f t="shared" ca="1" si="13"/>
        <v>45002</v>
      </c>
      <c r="C243" t="s">
        <v>8</v>
      </c>
      <c r="D243" t="str">
        <f t="shared" ca="1" si="14"/>
        <v>Electronics</v>
      </c>
      <c r="E243" t="s">
        <v>80</v>
      </c>
      <c r="F243" s="11">
        <v>5307</v>
      </c>
      <c r="G243">
        <f t="shared" ca="1" si="15"/>
        <v>7</v>
      </c>
      <c r="H243" s="11">
        <f ca="1">IF(Table1[[#This Row],[Category]]="Electronics",Table1[[#This Row],[Sales]]*0.6,
IF(Table1[[#This Row],[Category]]="Furniture",Table1[[#This Row],[Sales]]*0.75,
IF(Table1[[#This Row],[Category]]="Clothing",Table1[[#This Row],[Sales]]*0.65,
Table1[[#This Row],[Sales]]*0.7)))</f>
        <v>3184.2</v>
      </c>
      <c r="I243" s="11">
        <f ca="1">Table1[[#This Row],[Sales]]-H243</f>
        <v>2122.8000000000002</v>
      </c>
      <c r="J243" s="2">
        <f ca="1">Table1[[#This Row],[Profit]]/Table1[[#This Row],[Sales]]</f>
        <v>0.4</v>
      </c>
      <c r="K243" t="str">
        <f ca="1">TEXT(Table1[[#This Row],[Order_Date]],"mmm")</f>
        <v>Mar</v>
      </c>
      <c r="L243">
        <f ca="1">YEAR(Table1[[#This Row],[Order_Date]])</f>
        <v>2023</v>
      </c>
    </row>
    <row r="244" spans="1:12" x14ac:dyDescent="0.3">
      <c r="A244">
        <f t="shared" si="12"/>
        <v>243</v>
      </c>
      <c r="B244" s="1">
        <f t="shared" ca="1" si="13"/>
        <v>45062</v>
      </c>
      <c r="C244" t="s">
        <v>9</v>
      </c>
      <c r="D244" t="str">
        <f t="shared" ca="1" si="14"/>
        <v>Office Supplies</v>
      </c>
      <c r="E244" t="s">
        <v>49</v>
      </c>
      <c r="F244" s="11">
        <v>15859</v>
      </c>
      <c r="G244">
        <f t="shared" ca="1" si="15"/>
        <v>8</v>
      </c>
      <c r="H244" s="11">
        <f ca="1">IF(Table1[[#This Row],[Category]]="Electronics",Table1[[#This Row],[Sales]]*0.6,
IF(Table1[[#This Row],[Category]]="Furniture",Table1[[#This Row],[Sales]]*0.75,
IF(Table1[[#This Row],[Category]]="Clothing",Table1[[#This Row],[Sales]]*0.65,
Table1[[#This Row],[Sales]]*0.7)))</f>
        <v>11101.3</v>
      </c>
      <c r="I244" s="11">
        <f ca="1">Table1[[#This Row],[Sales]]-H244</f>
        <v>4757.7000000000007</v>
      </c>
      <c r="J244" s="2">
        <f ca="1">Table1[[#This Row],[Profit]]/Table1[[#This Row],[Sales]]</f>
        <v>0.30000000000000004</v>
      </c>
      <c r="K244" t="str">
        <f ca="1">TEXT(Table1[[#This Row],[Order_Date]],"mmm")</f>
        <v>May</v>
      </c>
      <c r="L244">
        <f ca="1">YEAR(Table1[[#This Row],[Order_Date]])</f>
        <v>2023</v>
      </c>
    </row>
    <row r="245" spans="1:12" x14ac:dyDescent="0.3">
      <c r="A245">
        <f t="shared" si="12"/>
        <v>244</v>
      </c>
      <c r="B245" s="1">
        <f t="shared" ca="1" si="13"/>
        <v>45223</v>
      </c>
      <c r="C245" t="s">
        <v>10</v>
      </c>
      <c r="D245" t="str">
        <f t="shared" ca="1" si="14"/>
        <v>Clothing</v>
      </c>
      <c r="E245" t="s">
        <v>53</v>
      </c>
      <c r="F245" s="11">
        <v>19449</v>
      </c>
      <c r="G245">
        <f t="shared" ca="1" si="15"/>
        <v>7</v>
      </c>
      <c r="H245" s="11">
        <f ca="1">IF(Table1[[#This Row],[Category]]="Electronics",Table1[[#This Row],[Sales]]*0.6,
IF(Table1[[#This Row],[Category]]="Furniture",Table1[[#This Row],[Sales]]*0.75,
IF(Table1[[#This Row],[Category]]="Clothing",Table1[[#This Row],[Sales]]*0.65,
Table1[[#This Row],[Sales]]*0.7)))</f>
        <v>12641.85</v>
      </c>
      <c r="I245" s="11">
        <f ca="1">Table1[[#This Row],[Sales]]-H245</f>
        <v>6807.15</v>
      </c>
      <c r="J245" s="2">
        <f ca="1">Table1[[#This Row],[Profit]]/Table1[[#This Row],[Sales]]</f>
        <v>0.35</v>
      </c>
      <c r="K245" t="str">
        <f ca="1">TEXT(Table1[[#This Row],[Order_Date]],"mmm")</f>
        <v>Oct</v>
      </c>
      <c r="L245">
        <f ca="1">YEAR(Table1[[#This Row],[Order_Date]])</f>
        <v>2023</v>
      </c>
    </row>
    <row r="246" spans="1:12" x14ac:dyDescent="0.3">
      <c r="A246">
        <f t="shared" si="12"/>
        <v>245</v>
      </c>
      <c r="B246" s="1">
        <f t="shared" ca="1" si="13"/>
        <v>44928</v>
      </c>
      <c r="C246" t="s">
        <v>7</v>
      </c>
      <c r="D246" t="str">
        <f t="shared" ca="1" si="14"/>
        <v>Furniture</v>
      </c>
      <c r="E246" t="s">
        <v>58</v>
      </c>
      <c r="F246" s="11">
        <v>11576</v>
      </c>
      <c r="G246">
        <f t="shared" ca="1" si="15"/>
        <v>10</v>
      </c>
      <c r="H246" s="11">
        <f ca="1">IF(Table1[[#This Row],[Category]]="Electronics",Table1[[#This Row],[Sales]]*0.6,
IF(Table1[[#This Row],[Category]]="Furniture",Table1[[#This Row],[Sales]]*0.75,
IF(Table1[[#This Row],[Category]]="Clothing",Table1[[#This Row],[Sales]]*0.65,
Table1[[#This Row],[Sales]]*0.7)))</f>
        <v>8682</v>
      </c>
      <c r="I246" s="11">
        <f ca="1">Table1[[#This Row],[Sales]]-H246</f>
        <v>2894</v>
      </c>
      <c r="J246" s="2">
        <f ca="1">Table1[[#This Row],[Profit]]/Table1[[#This Row],[Sales]]</f>
        <v>0.25</v>
      </c>
      <c r="K246" t="str">
        <f ca="1">TEXT(Table1[[#This Row],[Order_Date]],"mmm")</f>
        <v>Jan</v>
      </c>
      <c r="L246">
        <f ca="1">YEAR(Table1[[#This Row],[Order_Date]])</f>
        <v>2023</v>
      </c>
    </row>
    <row r="247" spans="1:12" x14ac:dyDescent="0.3">
      <c r="A247">
        <f t="shared" si="12"/>
        <v>246</v>
      </c>
      <c r="B247" s="1">
        <f t="shared" ca="1" si="13"/>
        <v>45248</v>
      </c>
      <c r="C247" t="s">
        <v>8</v>
      </c>
      <c r="D247" t="str">
        <f t="shared" ca="1" si="14"/>
        <v>Electronics</v>
      </c>
      <c r="E247" t="s">
        <v>70</v>
      </c>
      <c r="F247" s="11">
        <v>7660</v>
      </c>
      <c r="G247">
        <f t="shared" ca="1" si="15"/>
        <v>5</v>
      </c>
      <c r="H247" s="11">
        <f ca="1">IF(Table1[[#This Row],[Category]]="Electronics",Table1[[#This Row],[Sales]]*0.6,
IF(Table1[[#This Row],[Category]]="Furniture",Table1[[#This Row],[Sales]]*0.75,
IF(Table1[[#This Row],[Category]]="Clothing",Table1[[#This Row],[Sales]]*0.65,
Table1[[#This Row],[Sales]]*0.7)))</f>
        <v>4596</v>
      </c>
      <c r="I247" s="11">
        <f ca="1">Table1[[#This Row],[Sales]]-H247</f>
        <v>3064</v>
      </c>
      <c r="J247" s="2">
        <f ca="1">Table1[[#This Row],[Profit]]/Table1[[#This Row],[Sales]]</f>
        <v>0.4</v>
      </c>
      <c r="K247" t="str">
        <f ca="1">TEXT(Table1[[#This Row],[Order_Date]],"mmm")</f>
        <v>Nov</v>
      </c>
      <c r="L247">
        <f ca="1">YEAR(Table1[[#This Row],[Order_Date]])</f>
        <v>2023</v>
      </c>
    </row>
    <row r="248" spans="1:12" x14ac:dyDescent="0.3">
      <c r="A248">
        <f t="shared" si="12"/>
        <v>247</v>
      </c>
      <c r="B248" s="1">
        <f t="shared" ca="1" si="13"/>
        <v>45171</v>
      </c>
      <c r="C248" t="s">
        <v>9</v>
      </c>
      <c r="D248" t="str">
        <f t="shared" ca="1" si="14"/>
        <v>Electronics</v>
      </c>
      <c r="E248" t="s">
        <v>43</v>
      </c>
      <c r="F248" s="11">
        <v>8136</v>
      </c>
      <c r="G248">
        <f t="shared" ca="1" si="15"/>
        <v>2</v>
      </c>
      <c r="H248" s="11">
        <f ca="1">IF(Table1[[#This Row],[Category]]="Electronics",Table1[[#This Row],[Sales]]*0.6,
IF(Table1[[#This Row],[Category]]="Furniture",Table1[[#This Row],[Sales]]*0.75,
IF(Table1[[#This Row],[Category]]="Clothing",Table1[[#This Row],[Sales]]*0.65,
Table1[[#This Row],[Sales]]*0.7)))</f>
        <v>4881.5999999999995</v>
      </c>
      <c r="I248" s="11">
        <f ca="1">Table1[[#This Row],[Sales]]-H248</f>
        <v>3254.4000000000005</v>
      </c>
      <c r="J248" s="2">
        <f ca="1">Table1[[#This Row],[Profit]]/Table1[[#This Row],[Sales]]</f>
        <v>0.40000000000000008</v>
      </c>
      <c r="K248" t="str">
        <f ca="1">TEXT(Table1[[#This Row],[Order_Date]],"mmm")</f>
        <v>Sep</v>
      </c>
      <c r="L248">
        <f ca="1">YEAR(Table1[[#This Row],[Order_Date]])</f>
        <v>2023</v>
      </c>
    </row>
    <row r="249" spans="1:12" x14ac:dyDescent="0.3">
      <c r="A249">
        <f t="shared" si="12"/>
        <v>248</v>
      </c>
      <c r="B249" s="1">
        <f t="shared" ca="1" si="13"/>
        <v>45150</v>
      </c>
      <c r="C249" t="s">
        <v>10</v>
      </c>
      <c r="D249" t="str">
        <f t="shared" ca="1" si="14"/>
        <v>Furniture</v>
      </c>
      <c r="E249" t="s">
        <v>75</v>
      </c>
      <c r="F249" s="11">
        <v>9113</v>
      </c>
      <c r="G249">
        <f t="shared" ca="1" si="15"/>
        <v>3</v>
      </c>
      <c r="H249" s="11">
        <f ca="1">IF(Table1[[#This Row],[Category]]="Electronics",Table1[[#This Row],[Sales]]*0.6,
IF(Table1[[#This Row],[Category]]="Furniture",Table1[[#This Row],[Sales]]*0.75,
IF(Table1[[#This Row],[Category]]="Clothing",Table1[[#This Row],[Sales]]*0.65,
Table1[[#This Row],[Sales]]*0.7)))</f>
        <v>6834.75</v>
      </c>
      <c r="I249" s="11">
        <f ca="1">Table1[[#This Row],[Sales]]-H249</f>
        <v>2278.25</v>
      </c>
      <c r="J249" s="2">
        <f ca="1">Table1[[#This Row],[Profit]]/Table1[[#This Row],[Sales]]</f>
        <v>0.25</v>
      </c>
      <c r="K249" t="str">
        <f ca="1">TEXT(Table1[[#This Row],[Order_Date]],"mmm")</f>
        <v>Aug</v>
      </c>
      <c r="L249">
        <f ca="1">YEAR(Table1[[#This Row],[Order_Date]])</f>
        <v>2023</v>
      </c>
    </row>
    <row r="250" spans="1:12" x14ac:dyDescent="0.3">
      <c r="A250">
        <f t="shared" si="12"/>
        <v>249</v>
      </c>
      <c r="B250" s="1">
        <f t="shared" ca="1" si="13"/>
        <v>45146</v>
      </c>
      <c r="C250" t="s">
        <v>7</v>
      </c>
      <c r="D250" t="str">
        <f t="shared" ca="1" si="14"/>
        <v>Electronics</v>
      </c>
      <c r="E250" t="s">
        <v>83</v>
      </c>
      <c r="F250" s="11">
        <v>19089</v>
      </c>
      <c r="G250">
        <f t="shared" ca="1" si="15"/>
        <v>5</v>
      </c>
      <c r="H250" s="11">
        <f ca="1">IF(Table1[[#This Row],[Category]]="Electronics",Table1[[#This Row],[Sales]]*0.6,
IF(Table1[[#This Row],[Category]]="Furniture",Table1[[#This Row],[Sales]]*0.75,
IF(Table1[[#This Row],[Category]]="Clothing",Table1[[#This Row],[Sales]]*0.65,
Table1[[#This Row],[Sales]]*0.7)))</f>
        <v>11453.4</v>
      </c>
      <c r="I250" s="11">
        <f ca="1">Table1[[#This Row],[Sales]]-H250</f>
        <v>7635.6</v>
      </c>
      <c r="J250" s="2">
        <f ca="1">Table1[[#This Row],[Profit]]/Table1[[#This Row],[Sales]]</f>
        <v>0.4</v>
      </c>
      <c r="K250" t="str">
        <f ca="1">TEXT(Table1[[#This Row],[Order_Date]],"mmm")</f>
        <v>Aug</v>
      </c>
      <c r="L250">
        <f ca="1">YEAR(Table1[[#This Row],[Order_Date]])</f>
        <v>2023</v>
      </c>
    </row>
    <row r="251" spans="1:12" x14ac:dyDescent="0.3">
      <c r="A251">
        <f t="shared" si="12"/>
        <v>250</v>
      </c>
      <c r="B251" s="1">
        <f t="shared" ca="1" si="13"/>
        <v>45052</v>
      </c>
      <c r="C251" t="s">
        <v>8</v>
      </c>
      <c r="D251" t="str">
        <f t="shared" ca="1" si="14"/>
        <v>Electronics</v>
      </c>
      <c r="E251" t="s">
        <v>40</v>
      </c>
      <c r="F251" s="11">
        <v>18303</v>
      </c>
      <c r="G251">
        <f t="shared" ca="1" si="15"/>
        <v>8</v>
      </c>
      <c r="H251" s="11">
        <f ca="1">IF(Table1[[#This Row],[Category]]="Electronics",Table1[[#This Row],[Sales]]*0.6,
IF(Table1[[#This Row],[Category]]="Furniture",Table1[[#This Row],[Sales]]*0.75,
IF(Table1[[#This Row],[Category]]="Clothing",Table1[[#This Row],[Sales]]*0.65,
Table1[[#This Row],[Sales]]*0.7)))</f>
        <v>10981.8</v>
      </c>
      <c r="I251" s="11">
        <f ca="1">Table1[[#This Row],[Sales]]-H251</f>
        <v>7321.2000000000007</v>
      </c>
      <c r="J251" s="2">
        <f ca="1">Table1[[#This Row],[Profit]]/Table1[[#This Row],[Sales]]</f>
        <v>0.4</v>
      </c>
      <c r="K251" t="str">
        <f ca="1">TEXT(Table1[[#This Row],[Order_Date]],"mmm")</f>
        <v>May</v>
      </c>
      <c r="L251">
        <f ca="1">YEAR(Table1[[#This Row],[Order_Date]])</f>
        <v>2023</v>
      </c>
    </row>
    <row r="252" spans="1:12" x14ac:dyDescent="0.3">
      <c r="A252">
        <f t="shared" si="12"/>
        <v>251</v>
      </c>
      <c r="B252" s="1">
        <f t="shared" ca="1" si="13"/>
        <v>45248</v>
      </c>
      <c r="C252" t="s">
        <v>9</v>
      </c>
      <c r="D252" t="str">
        <f t="shared" ca="1" si="14"/>
        <v>Clothing</v>
      </c>
      <c r="E252" t="s">
        <v>51</v>
      </c>
      <c r="F252" s="11">
        <v>9431</v>
      </c>
      <c r="G252">
        <f t="shared" ca="1" si="15"/>
        <v>1</v>
      </c>
      <c r="H252" s="11">
        <f ca="1">IF(Table1[[#This Row],[Category]]="Electronics",Table1[[#This Row],[Sales]]*0.6,
IF(Table1[[#This Row],[Category]]="Furniture",Table1[[#This Row],[Sales]]*0.75,
IF(Table1[[#This Row],[Category]]="Clothing",Table1[[#This Row],[Sales]]*0.65,
Table1[[#This Row],[Sales]]*0.7)))</f>
        <v>6130.1500000000005</v>
      </c>
      <c r="I252" s="11">
        <f ca="1">Table1[[#This Row],[Sales]]-H252</f>
        <v>3300.8499999999995</v>
      </c>
      <c r="J252" s="2">
        <f ca="1">Table1[[#This Row],[Profit]]/Table1[[#This Row],[Sales]]</f>
        <v>0.34999999999999992</v>
      </c>
      <c r="K252" t="str">
        <f ca="1">TEXT(Table1[[#This Row],[Order_Date]],"mmm")</f>
        <v>Nov</v>
      </c>
      <c r="L252">
        <f ca="1">YEAR(Table1[[#This Row],[Order_Date]])</f>
        <v>2023</v>
      </c>
    </row>
    <row r="253" spans="1:12" x14ac:dyDescent="0.3">
      <c r="A253">
        <f t="shared" si="12"/>
        <v>252</v>
      </c>
      <c r="B253" s="1">
        <f t="shared" ca="1" si="13"/>
        <v>44980</v>
      </c>
      <c r="C253" t="s">
        <v>10</v>
      </c>
      <c r="D253" t="str">
        <f t="shared" ca="1" si="14"/>
        <v>Office Supplies</v>
      </c>
      <c r="E253" t="s">
        <v>66</v>
      </c>
      <c r="F253" s="11">
        <v>11960</v>
      </c>
      <c r="G253">
        <f t="shared" ca="1" si="15"/>
        <v>4</v>
      </c>
      <c r="H253" s="11">
        <f ca="1">IF(Table1[[#This Row],[Category]]="Electronics",Table1[[#This Row],[Sales]]*0.6,
IF(Table1[[#This Row],[Category]]="Furniture",Table1[[#This Row],[Sales]]*0.75,
IF(Table1[[#This Row],[Category]]="Clothing",Table1[[#This Row],[Sales]]*0.65,
Table1[[#This Row],[Sales]]*0.7)))</f>
        <v>8372</v>
      </c>
      <c r="I253" s="11">
        <f ca="1">Table1[[#This Row],[Sales]]-H253</f>
        <v>3588</v>
      </c>
      <c r="J253" s="2">
        <f ca="1">Table1[[#This Row],[Profit]]/Table1[[#This Row],[Sales]]</f>
        <v>0.3</v>
      </c>
      <c r="K253" t="str">
        <f ca="1">TEXT(Table1[[#This Row],[Order_Date]],"mmm")</f>
        <v>Feb</v>
      </c>
      <c r="L253">
        <f ca="1">YEAR(Table1[[#This Row],[Order_Date]])</f>
        <v>2023</v>
      </c>
    </row>
    <row r="254" spans="1:12" x14ac:dyDescent="0.3">
      <c r="A254">
        <f t="shared" si="12"/>
        <v>253</v>
      </c>
      <c r="B254" s="1">
        <f t="shared" ca="1" si="13"/>
        <v>45261</v>
      </c>
      <c r="C254" t="s">
        <v>7</v>
      </c>
      <c r="D254" t="str">
        <f t="shared" ca="1" si="14"/>
        <v>Furniture</v>
      </c>
      <c r="E254" t="s">
        <v>82</v>
      </c>
      <c r="F254" s="11">
        <v>2207</v>
      </c>
      <c r="G254">
        <f t="shared" ca="1" si="15"/>
        <v>10</v>
      </c>
      <c r="H254" s="11">
        <f ca="1">IF(Table1[[#This Row],[Category]]="Electronics",Table1[[#This Row],[Sales]]*0.6,
IF(Table1[[#This Row],[Category]]="Furniture",Table1[[#This Row],[Sales]]*0.75,
IF(Table1[[#This Row],[Category]]="Clothing",Table1[[#This Row],[Sales]]*0.65,
Table1[[#This Row],[Sales]]*0.7)))</f>
        <v>1655.25</v>
      </c>
      <c r="I254" s="11">
        <f ca="1">Table1[[#This Row],[Sales]]-H254</f>
        <v>551.75</v>
      </c>
      <c r="J254" s="2">
        <f ca="1">Table1[[#This Row],[Profit]]/Table1[[#This Row],[Sales]]</f>
        <v>0.25</v>
      </c>
      <c r="K254" t="str">
        <f ca="1">TEXT(Table1[[#This Row],[Order_Date]],"mmm")</f>
        <v>Dec</v>
      </c>
      <c r="L254">
        <f ca="1">YEAR(Table1[[#This Row],[Order_Date]])</f>
        <v>2023</v>
      </c>
    </row>
    <row r="255" spans="1:12" x14ac:dyDescent="0.3">
      <c r="A255">
        <f t="shared" si="12"/>
        <v>254</v>
      </c>
      <c r="B255" s="1">
        <f t="shared" ca="1" si="13"/>
        <v>45278</v>
      </c>
      <c r="C255" t="s">
        <v>8</v>
      </c>
      <c r="D255" t="str">
        <f t="shared" ca="1" si="14"/>
        <v>Electronics</v>
      </c>
      <c r="E255" t="s">
        <v>69</v>
      </c>
      <c r="F255" s="11">
        <v>4956</v>
      </c>
      <c r="G255">
        <f t="shared" ca="1" si="15"/>
        <v>4</v>
      </c>
      <c r="H255" s="11">
        <f ca="1">IF(Table1[[#This Row],[Category]]="Electronics",Table1[[#This Row],[Sales]]*0.6,
IF(Table1[[#This Row],[Category]]="Furniture",Table1[[#This Row],[Sales]]*0.75,
IF(Table1[[#This Row],[Category]]="Clothing",Table1[[#This Row],[Sales]]*0.65,
Table1[[#This Row],[Sales]]*0.7)))</f>
        <v>2973.6</v>
      </c>
      <c r="I255" s="11">
        <f ca="1">Table1[[#This Row],[Sales]]-H255</f>
        <v>1982.4</v>
      </c>
      <c r="J255" s="2">
        <f ca="1">Table1[[#This Row],[Profit]]/Table1[[#This Row],[Sales]]</f>
        <v>0.4</v>
      </c>
      <c r="K255" t="str">
        <f ca="1">TEXT(Table1[[#This Row],[Order_Date]],"mmm")</f>
        <v>Dec</v>
      </c>
      <c r="L255">
        <f ca="1">YEAR(Table1[[#This Row],[Order_Date]])</f>
        <v>2023</v>
      </c>
    </row>
    <row r="256" spans="1:12" x14ac:dyDescent="0.3">
      <c r="A256">
        <f t="shared" si="12"/>
        <v>255</v>
      </c>
      <c r="B256" s="1">
        <f t="shared" ca="1" si="13"/>
        <v>45124</v>
      </c>
      <c r="C256" t="s">
        <v>9</v>
      </c>
      <c r="D256" t="str">
        <f t="shared" ca="1" si="14"/>
        <v>Office Supplies</v>
      </c>
      <c r="E256" t="s">
        <v>63</v>
      </c>
      <c r="F256" s="11">
        <v>6885</v>
      </c>
      <c r="G256">
        <f t="shared" ca="1" si="15"/>
        <v>4</v>
      </c>
      <c r="H256" s="11">
        <f ca="1">IF(Table1[[#This Row],[Category]]="Electronics",Table1[[#This Row],[Sales]]*0.6,
IF(Table1[[#This Row],[Category]]="Furniture",Table1[[#This Row],[Sales]]*0.75,
IF(Table1[[#This Row],[Category]]="Clothing",Table1[[#This Row],[Sales]]*0.65,
Table1[[#This Row],[Sales]]*0.7)))</f>
        <v>4819.5</v>
      </c>
      <c r="I256" s="11">
        <f ca="1">Table1[[#This Row],[Sales]]-H256</f>
        <v>2065.5</v>
      </c>
      <c r="J256" s="2">
        <f ca="1">Table1[[#This Row],[Profit]]/Table1[[#This Row],[Sales]]</f>
        <v>0.3</v>
      </c>
      <c r="K256" t="str">
        <f ca="1">TEXT(Table1[[#This Row],[Order_Date]],"mmm")</f>
        <v>Jul</v>
      </c>
      <c r="L256">
        <f ca="1">YEAR(Table1[[#This Row],[Order_Date]])</f>
        <v>2023</v>
      </c>
    </row>
    <row r="257" spans="1:12" x14ac:dyDescent="0.3">
      <c r="A257">
        <f t="shared" si="12"/>
        <v>256</v>
      </c>
      <c r="B257" s="1">
        <f t="shared" ca="1" si="13"/>
        <v>45109</v>
      </c>
      <c r="C257" t="s">
        <v>10</v>
      </c>
      <c r="D257" t="str">
        <f t="shared" ca="1" si="14"/>
        <v>Clothing</v>
      </c>
      <c r="E257" t="s">
        <v>47</v>
      </c>
      <c r="F257" s="11">
        <v>8025</v>
      </c>
      <c r="G257">
        <f t="shared" ca="1" si="15"/>
        <v>9</v>
      </c>
      <c r="H257" s="11">
        <f ca="1">IF(Table1[[#This Row],[Category]]="Electronics",Table1[[#This Row],[Sales]]*0.6,
IF(Table1[[#This Row],[Category]]="Furniture",Table1[[#This Row],[Sales]]*0.75,
IF(Table1[[#This Row],[Category]]="Clothing",Table1[[#This Row],[Sales]]*0.65,
Table1[[#This Row],[Sales]]*0.7)))</f>
        <v>5216.25</v>
      </c>
      <c r="I257" s="11">
        <f ca="1">Table1[[#This Row],[Sales]]-H257</f>
        <v>2808.75</v>
      </c>
      <c r="J257" s="2">
        <f ca="1">Table1[[#This Row],[Profit]]/Table1[[#This Row],[Sales]]</f>
        <v>0.35</v>
      </c>
      <c r="K257" t="str">
        <f ca="1">TEXT(Table1[[#This Row],[Order_Date]],"mmm")</f>
        <v>Jul</v>
      </c>
      <c r="L257">
        <f ca="1">YEAR(Table1[[#This Row],[Order_Date]])</f>
        <v>2023</v>
      </c>
    </row>
    <row r="258" spans="1:12" x14ac:dyDescent="0.3">
      <c r="A258">
        <f t="shared" si="12"/>
        <v>257</v>
      </c>
      <c r="B258" s="1">
        <f t="shared" ca="1" si="13"/>
        <v>44962</v>
      </c>
      <c r="C258" t="s">
        <v>7</v>
      </c>
      <c r="D258" t="str">
        <f t="shared" ca="1" si="14"/>
        <v>Office Supplies</v>
      </c>
      <c r="E258" t="s">
        <v>58</v>
      </c>
      <c r="F258" s="11">
        <v>6316</v>
      </c>
      <c r="G258">
        <f t="shared" ca="1" si="15"/>
        <v>8</v>
      </c>
      <c r="H258" s="11">
        <f ca="1">IF(Table1[[#This Row],[Category]]="Electronics",Table1[[#This Row],[Sales]]*0.6,
IF(Table1[[#This Row],[Category]]="Furniture",Table1[[#This Row],[Sales]]*0.75,
IF(Table1[[#This Row],[Category]]="Clothing",Table1[[#This Row],[Sales]]*0.65,
Table1[[#This Row],[Sales]]*0.7)))</f>
        <v>4421.2</v>
      </c>
      <c r="I258" s="11">
        <f ca="1">Table1[[#This Row],[Sales]]-H258</f>
        <v>1894.8000000000002</v>
      </c>
      <c r="J258" s="2">
        <f ca="1">Table1[[#This Row],[Profit]]/Table1[[#This Row],[Sales]]</f>
        <v>0.30000000000000004</v>
      </c>
      <c r="K258" t="str">
        <f ca="1">TEXT(Table1[[#This Row],[Order_Date]],"mmm")</f>
        <v>Feb</v>
      </c>
      <c r="L258">
        <f ca="1">YEAR(Table1[[#This Row],[Order_Date]])</f>
        <v>2023</v>
      </c>
    </row>
    <row r="259" spans="1:12" x14ac:dyDescent="0.3">
      <c r="A259">
        <f t="shared" ref="A259:A322" si="16">ROW()-1</f>
        <v>258</v>
      </c>
      <c r="B259" s="1">
        <f t="shared" ref="B259:B322" ca="1" si="17">DATE(2023, RANDBETWEEN(1,12), RANDBETWEEN(1,28))</f>
        <v>44995</v>
      </c>
      <c r="C259" t="s">
        <v>8</v>
      </c>
      <c r="D259" t="str">
        <f t="shared" ref="D259:D322" ca="1" si="18">CHOOSE(RANDBETWEEN(1,4),"Electronics","Furniture","Clothing","Office Supplies")</f>
        <v>Clothing</v>
      </c>
      <c r="E259" t="s">
        <v>54</v>
      </c>
      <c r="F259" s="11">
        <v>18765</v>
      </c>
      <c r="G259">
        <f t="shared" ref="G259:G322" ca="1" si="19">RANDBETWEEN(1,10)</f>
        <v>8</v>
      </c>
      <c r="H259" s="11">
        <f ca="1">IF(Table1[[#This Row],[Category]]="Electronics",Table1[[#This Row],[Sales]]*0.6,
IF(Table1[[#This Row],[Category]]="Furniture",Table1[[#This Row],[Sales]]*0.75,
IF(Table1[[#This Row],[Category]]="Clothing",Table1[[#This Row],[Sales]]*0.65,
Table1[[#This Row],[Sales]]*0.7)))</f>
        <v>12197.25</v>
      </c>
      <c r="I259" s="11">
        <f ca="1">Table1[[#This Row],[Sales]]-H259</f>
        <v>6567.75</v>
      </c>
      <c r="J259" s="2">
        <f ca="1">Table1[[#This Row],[Profit]]/Table1[[#This Row],[Sales]]</f>
        <v>0.35</v>
      </c>
      <c r="K259" t="str">
        <f ca="1">TEXT(Table1[[#This Row],[Order_Date]],"mmm")</f>
        <v>Mar</v>
      </c>
      <c r="L259">
        <f ca="1">YEAR(Table1[[#This Row],[Order_Date]])</f>
        <v>2023</v>
      </c>
    </row>
    <row r="260" spans="1:12" x14ac:dyDescent="0.3">
      <c r="A260">
        <f t="shared" si="16"/>
        <v>259</v>
      </c>
      <c r="B260" s="1">
        <f t="shared" ca="1" si="17"/>
        <v>45130</v>
      </c>
      <c r="C260" t="s">
        <v>9</v>
      </c>
      <c r="D260" t="str">
        <f t="shared" ca="1" si="18"/>
        <v>Clothing</v>
      </c>
      <c r="E260" t="s">
        <v>53</v>
      </c>
      <c r="F260" s="11">
        <v>6668</v>
      </c>
      <c r="G260">
        <f t="shared" ca="1" si="19"/>
        <v>6</v>
      </c>
      <c r="H260" s="11">
        <f ca="1">IF(Table1[[#This Row],[Category]]="Electronics",Table1[[#This Row],[Sales]]*0.6,
IF(Table1[[#This Row],[Category]]="Furniture",Table1[[#This Row],[Sales]]*0.75,
IF(Table1[[#This Row],[Category]]="Clothing",Table1[[#This Row],[Sales]]*0.65,
Table1[[#This Row],[Sales]]*0.7)))</f>
        <v>4334.2</v>
      </c>
      <c r="I260" s="11">
        <f ca="1">Table1[[#This Row],[Sales]]-H260</f>
        <v>2333.8000000000002</v>
      </c>
      <c r="J260" s="2">
        <f ca="1">Table1[[#This Row],[Profit]]/Table1[[#This Row],[Sales]]</f>
        <v>0.35000000000000003</v>
      </c>
      <c r="K260" t="str">
        <f ca="1">TEXT(Table1[[#This Row],[Order_Date]],"mmm")</f>
        <v>Jul</v>
      </c>
      <c r="L260">
        <f ca="1">YEAR(Table1[[#This Row],[Order_Date]])</f>
        <v>2023</v>
      </c>
    </row>
    <row r="261" spans="1:12" x14ac:dyDescent="0.3">
      <c r="A261">
        <f t="shared" si="16"/>
        <v>260</v>
      </c>
      <c r="B261" s="1">
        <f t="shared" ca="1" si="17"/>
        <v>45141</v>
      </c>
      <c r="C261" t="s">
        <v>10</v>
      </c>
      <c r="D261" t="str">
        <f t="shared" ca="1" si="18"/>
        <v>Office Supplies</v>
      </c>
      <c r="E261" t="s">
        <v>79</v>
      </c>
      <c r="F261" s="11">
        <v>19008</v>
      </c>
      <c r="G261">
        <f t="shared" ca="1" si="19"/>
        <v>9</v>
      </c>
      <c r="H261" s="11">
        <f ca="1">IF(Table1[[#This Row],[Category]]="Electronics",Table1[[#This Row],[Sales]]*0.6,
IF(Table1[[#This Row],[Category]]="Furniture",Table1[[#This Row],[Sales]]*0.75,
IF(Table1[[#This Row],[Category]]="Clothing",Table1[[#This Row],[Sales]]*0.65,
Table1[[#This Row],[Sales]]*0.7)))</f>
        <v>13305.599999999999</v>
      </c>
      <c r="I261" s="11">
        <f ca="1">Table1[[#This Row],[Sales]]-H261</f>
        <v>5702.4000000000015</v>
      </c>
      <c r="J261" s="2">
        <f ca="1">Table1[[#This Row],[Profit]]/Table1[[#This Row],[Sales]]</f>
        <v>0.3000000000000001</v>
      </c>
      <c r="K261" t="str">
        <f ca="1">TEXT(Table1[[#This Row],[Order_Date]],"mmm")</f>
        <v>Aug</v>
      </c>
      <c r="L261">
        <f ca="1">YEAR(Table1[[#This Row],[Order_Date]])</f>
        <v>2023</v>
      </c>
    </row>
    <row r="262" spans="1:12" x14ac:dyDescent="0.3">
      <c r="A262">
        <f t="shared" si="16"/>
        <v>261</v>
      </c>
      <c r="B262" s="1">
        <f t="shared" ca="1" si="17"/>
        <v>45148</v>
      </c>
      <c r="C262" t="s">
        <v>7</v>
      </c>
      <c r="D262" t="str">
        <f t="shared" ca="1" si="18"/>
        <v>Office Supplies</v>
      </c>
      <c r="E262" t="s">
        <v>72</v>
      </c>
      <c r="F262" s="11">
        <v>9447</v>
      </c>
      <c r="G262">
        <f t="shared" ca="1" si="19"/>
        <v>7</v>
      </c>
      <c r="H262" s="11">
        <f ca="1">IF(Table1[[#This Row],[Category]]="Electronics",Table1[[#This Row],[Sales]]*0.6,
IF(Table1[[#This Row],[Category]]="Furniture",Table1[[#This Row],[Sales]]*0.75,
IF(Table1[[#This Row],[Category]]="Clothing",Table1[[#This Row],[Sales]]*0.65,
Table1[[#This Row],[Sales]]*0.7)))</f>
        <v>6612.9</v>
      </c>
      <c r="I262" s="11">
        <f ca="1">Table1[[#This Row],[Sales]]-H262</f>
        <v>2834.1000000000004</v>
      </c>
      <c r="J262" s="2">
        <f ca="1">Table1[[#This Row],[Profit]]/Table1[[#This Row],[Sales]]</f>
        <v>0.30000000000000004</v>
      </c>
      <c r="K262" t="str">
        <f ca="1">TEXT(Table1[[#This Row],[Order_Date]],"mmm")</f>
        <v>Aug</v>
      </c>
      <c r="L262">
        <f ca="1">YEAR(Table1[[#This Row],[Order_Date]])</f>
        <v>2023</v>
      </c>
    </row>
    <row r="263" spans="1:12" x14ac:dyDescent="0.3">
      <c r="A263">
        <f t="shared" si="16"/>
        <v>262</v>
      </c>
      <c r="B263" s="1">
        <f t="shared" ca="1" si="17"/>
        <v>44945</v>
      </c>
      <c r="C263" t="s">
        <v>8</v>
      </c>
      <c r="D263" t="str">
        <f t="shared" ca="1" si="18"/>
        <v>Clothing</v>
      </c>
      <c r="E263" t="s">
        <v>67</v>
      </c>
      <c r="F263" s="11">
        <v>12500</v>
      </c>
      <c r="G263">
        <f t="shared" ca="1" si="19"/>
        <v>9</v>
      </c>
      <c r="H263" s="11">
        <f ca="1">IF(Table1[[#This Row],[Category]]="Electronics",Table1[[#This Row],[Sales]]*0.6,
IF(Table1[[#This Row],[Category]]="Furniture",Table1[[#This Row],[Sales]]*0.75,
IF(Table1[[#This Row],[Category]]="Clothing",Table1[[#This Row],[Sales]]*0.65,
Table1[[#This Row],[Sales]]*0.7)))</f>
        <v>8125</v>
      </c>
      <c r="I263" s="11">
        <f ca="1">Table1[[#This Row],[Sales]]-H263</f>
        <v>4375</v>
      </c>
      <c r="J263" s="2">
        <f ca="1">Table1[[#This Row],[Profit]]/Table1[[#This Row],[Sales]]</f>
        <v>0.35</v>
      </c>
      <c r="K263" t="str">
        <f ca="1">TEXT(Table1[[#This Row],[Order_Date]],"mmm")</f>
        <v>Jan</v>
      </c>
      <c r="L263">
        <f ca="1">YEAR(Table1[[#This Row],[Order_Date]])</f>
        <v>2023</v>
      </c>
    </row>
    <row r="264" spans="1:12" x14ac:dyDescent="0.3">
      <c r="A264">
        <f t="shared" si="16"/>
        <v>263</v>
      </c>
      <c r="B264" s="1">
        <f t="shared" ca="1" si="17"/>
        <v>45066</v>
      </c>
      <c r="C264" t="s">
        <v>9</v>
      </c>
      <c r="D264" t="str">
        <f t="shared" ca="1" si="18"/>
        <v>Electronics</v>
      </c>
      <c r="E264" t="s">
        <v>80</v>
      </c>
      <c r="F264" s="11">
        <v>18607</v>
      </c>
      <c r="G264">
        <f t="shared" ca="1" si="19"/>
        <v>6</v>
      </c>
      <c r="H264" s="11">
        <f ca="1">IF(Table1[[#This Row],[Category]]="Electronics",Table1[[#This Row],[Sales]]*0.6,
IF(Table1[[#This Row],[Category]]="Furniture",Table1[[#This Row],[Sales]]*0.75,
IF(Table1[[#This Row],[Category]]="Clothing",Table1[[#This Row],[Sales]]*0.65,
Table1[[#This Row],[Sales]]*0.7)))</f>
        <v>11164.199999999999</v>
      </c>
      <c r="I264" s="11">
        <f ca="1">Table1[[#This Row],[Sales]]-H264</f>
        <v>7442.8000000000011</v>
      </c>
      <c r="J264" s="2">
        <f ca="1">Table1[[#This Row],[Profit]]/Table1[[#This Row],[Sales]]</f>
        <v>0.40000000000000008</v>
      </c>
      <c r="K264" t="str">
        <f ca="1">TEXT(Table1[[#This Row],[Order_Date]],"mmm")</f>
        <v>May</v>
      </c>
      <c r="L264">
        <f ca="1">YEAR(Table1[[#This Row],[Order_Date]])</f>
        <v>2023</v>
      </c>
    </row>
    <row r="265" spans="1:12" x14ac:dyDescent="0.3">
      <c r="A265">
        <f t="shared" si="16"/>
        <v>264</v>
      </c>
      <c r="B265" s="1">
        <f t="shared" ca="1" si="17"/>
        <v>45209</v>
      </c>
      <c r="C265" t="s">
        <v>10</v>
      </c>
      <c r="D265" t="str">
        <f t="shared" ca="1" si="18"/>
        <v>Electronics</v>
      </c>
      <c r="E265" t="s">
        <v>78</v>
      </c>
      <c r="F265" s="11">
        <v>1975</v>
      </c>
      <c r="G265">
        <f t="shared" ca="1" si="19"/>
        <v>4</v>
      </c>
      <c r="H265" s="11">
        <f ca="1">IF(Table1[[#This Row],[Category]]="Electronics",Table1[[#This Row],[Sales]]*0.6,
IF(Table1[[#This Row],[Category]]="Furniture",Table1[[#This Row],[Sales]]*0.75,
IF(Table1[[#This Row],[Category]]="Clothing",Table1[[#This Row],[Sales]]*0.65,
Table1[[#This Row],[Sales]]*0.7)))</f>
        <v>1185</v>
      </c>
      <c r="I265" s="11">
        <f ca="1">Table1[[#This Row],[Sales]]-H265</f>
        <v>790</v>
      </c>
      <c r="J265" s="2">
        <f ca="1">Table1[[#This Row],[Profit]]/Table1[[#This Row],[Sales]]</f>
        <v>0.4</v>
      </c>
      <c r="K265" t="str">
        <f ca="1">TEXT(Table1[[#This Row],[Order_Date]],"mmm")</f>
        <v>Oct</v>
      </c>
      <c r="L265">
        <f ca="1">YEAR(Table1[[#This Row],[Order_Date]])</f>
        <v>2023</v>
      </c>
    </row>
    <row r="266" spans="1:12" x14ac:dyDescent="0.3">
      <c r="A266">
        <f t="shared" si="16"/>
        <v>265</v>
      </c>
      <c r="B266" s="1">
        <f t="shared" ca="1" si="17"/>
        <v>44981</v>
      </c>
      <c r="C266" t="s">
        <v>7</v>
      </c>
      <c r="D266" t="str">
        <f t="shared" ca="1" si="18"/>
        <v>Clothing</v>
      </c>
      <c r="E266" t="s">
        <v>46</v>
      </c>
      <c r="F266" s="11">
        <v>17460</v>
      </c>
      <c r="G266">
        <f t="shared" ca="1" si="19"/>
        <v>7</v>
      </c>
      <c r="H266" s="11">
        <f ca="1">IF(Table1[[#This Row],[Category]]="Electronics",Table1[[#This Row],[Sales]]*0.6,
IF(Table1[[#This Row],[Category]]="Furniture",Table1[[#This Row],[Sales]]*0.75,
IF(Table1[[#This Row],[Category]]="Clothing",Table1[[#This Row],[Sales]]*0.65,
Table1[[#This Row],[Sales]]*0.7)))</f>
        <v>11349</v>
      </c>
      <c r="I266" s="11">
        <f ca="1">Table1[[#This Row],[Sales]]-H266</f>
        <v>6111</v>
      </c>
      <c r="J266" s="2">
        <f ca="1">Table1[[#This Row],[Profit]]/Table1[[#This Row],[Sales]]</f>
        <v>0.35</v>
      </c>
      <c r="K266" t="str">
        <f ca="1">TEXT(Table1[[#This Row],[Order_Date]],"mmm")</f>
        <v>Feb</v>
      </c>
      <c r="L266">
        <f ca="1">YEAR(Table1[[#This Row],[Order_Date]])</f>
        <v>2023</v>
      </c>
    </row>
    <row r="267" spans="1:12" x14ac:dyDescent="0.3">
      <c r="A267">
        <f t="shared" si="16"/>
        <v>266</v>
      </c>
      <c r="B267" s="1">
        <f t="shared" ca="1" si="17"/>
        <v>45149</v>
      </c>
      <c r="C267" t="s">
        <v>8</v>
      </c>
      <c r="D267" t="str">
        <f t="shared" ca="1" si="18"/>
        <v>Clothing</v>
      </c>
      <c r="E267" t="s">
        <v>38</v>
      </c>
      <c r="F267" s="11">
        <v>15754</v>
      </c>
      <c r="G267">
        <f t="shared" ca="1" si="19"/>
        <v>10</v>
      </c>
      <c r="H267" s="11">
        <f ca="1">IF(Table1[[#This Row],[Category]]="Electronics",Table1[[#This Row],[Sales]]*0.6,
IF(Table1[[#This Row],[Category]]="Furniture",Table1[[#This Row],[Sales]]*0.75,
IF(Table1[[#This Row],[Category]]="Clothing",Table1[[#This Row],[Sales]]*0.65,
Table1[[#This Row],[Sales]]*0.7)))</f>
        <v>10240.1</v>
      </c>
      <c r="I267" s="11">
        <f ca="1">Table1[[#This Row],[Sales]]-H267</f>
        <v>5513.9</v>
      </c>
      <c r="J267" s="2">
        <f ca="1">Table1[[#This Row],[Profit]]/Table1[[#This Row],[Sales]]</f>
        <v>0.35</v>
      </c>
      <c r="K267" t="str">
        <f ca="1">TEXT(Table1[[#This Row],[Order_Date]],"mmm")</f>
        <v>Aug</v>
      </c>
      <c r="L267">
        <f ca="1">YEAR(Table1[[#This Row],[Order_Date]])</f>
        <v>2023</v>
      </c>
    </row>
    <row r="268" spans="1:12" x14ac:dyDescent="0.3">
      <c r="A268">
        <f t="shared" si="16"/>
        <v>267</v>
      </c>
      <c r="B268" s="1">
        <f t="shared" ca="1" si="17"/>
        <v>45184</v>
      </c>
      <c r="C268" t="s">
        <v>9</v>
      </c>
      <c r="D268" t="str">
        <f t="shared" ca="1" si="18"/>
        <v>Furniture</v>
      </c>
      <c r="E268" t="s">
        <v>46</v>
      </c>
      <c r="F268" s="11">
        <v>9454</v>
      </c>
      <c r="G268">
        <f t="shared" ca="1" si="19"/>
        <v>7</v>
      </c>
      <c r="H268" s="11">
        <f ca="1">IF(Table1[[#This Row],[Category]]="Electronics",Table1[[#This Row],[Sales]]*0.6,
IF(Table1[[#This Row],[Category]]="Furniture",Table1[[#This Row],[Sales]]*0.75,
IF(Table1[[#This Row],[Category]]="Clothing",Table1[[#This Row],[Sales]]*0.65,
Table1[[#This Row],[Sales]]*0.7)))</f>
        <v>7090.5</v>
      </c>
      <c r="I268" s="11">
        <f ca="1">Table1[[#This Row],[Sales]]-H268</f>
        <v>2363.5</v>
      </c>
      <c r="J268" s="2">
        <f ca="1">Table1[[#This Row],[Profit]]/Table1[[#This Row],[Sales]]</f>
        <v>0.25</v>
      </c>
      <c r="K268" t="str">
        <f ca="1">TEXT(Table1[[#This Row],[Order_Date]],"mmm")</f>
        <v>Sep</v>
      </c>
      <c r="L268">
        <f ca="1">YEAR(Table1[[#This Row],[Order_Date]])</f>
        <v>2023</v>
      </c>
    </row>
    <row r="269" spans="1:12" x14ac:dyDescent="0.3">
      <c r="A269">
        <f t="shared" si="16"/>
        <v>268</v>
      </c>
      <c r="B269" s="1">
        <f t="shared" ca="1" si="17"/>
        <v>45238</v>
      </c>
      <c r="C269" t="s">
        <v>10</v>
      </c>
      <c r="D269" t="str">
        <f t="shared" ca="1" si="18"/>
        <v>Clothing</v>
      </c>
      <c r="E269" t="s">
        <v>46</v>
      </c>
      <c r="F269" s="11">
        <v>14604</v>
      </c>
      <c r="G269">
        <f t="shared" ca="1" si="19"/>
        <v>2</v>
      </c>
      <c r="H269" s="11">
        <f ca="1">IF(Table1[[#This Row],[Category]]="Electronics",Table1[[#This Row],[Sales]]*0.6,
IF(Table1[[#This Row],[Category]]="Furniture",Table1[[#This Row],[Sales]]*0.75,
IF(Table1[[#This Row],[Category]]="Clothing",Table1[[#This Row],[Sales]]*0.65,
Table1[[#This Row],[Sales]]*0.7)))</f>
        <v>9492.6</v>
      </c>
      <c r="I269" s="11">
        <f ca="1">Table1[[#This Row],[Sales]]-H269</f>
        <v>5111.3999999999996</v>
      </c>
      <c r="J269" s="2">
        <f ca="1">Table1[[#This Row],[Profit]]/Table1[[#This Row],[Sales]]</f>
        <v>0.35</v>
      </c>
      <c r="K269" t="str">
        <f ca="1">TEXT(Table1[[#This Row],[Order_Date]],"mmm")</f>
        <v>Nov</v>
      </c>
      <c r="L269">
        <f ca="1">YEAR(Table1[[#This Row],[Order_Date]])</f>
        <v>2023</v>
      </c>
    </row>
    <row r="270" spans="1:12" x14ac:dyDescent="0.3">
      <c r="A270">
        <f t="shared" si="16"/>
        <v>269</v>
      </c>
      <c r="B270" s="1">
        <f t="shared" ca="1" si="17"/>
        <v>44927</v>
      </c>
      <c r="C270" t="s">
        <v>7</v>
      </c>
      <c r="D270" t="str">
        <f t="shared" ca="1" si="18"/>
        <v>Furniture</v>
      </c>
      <c r="E270" t="s">
        <v>46</v>
      </c>
      <c r="F270" s="11">
        <v>19605</v>
      </c>
      <c r="G270">
        <f t="shared" ca="1" si="19"/>
        <v>5</v>
      </c>
      <c r="H270" s="11">
        <f ca="1">IF(Table1[[#This Row],[Category]]="Electronics",Table1[[#This Row],[Sales]]*0.6,
IF(Table1[[#This Row],[Category]]="Furniture",Table1[[#This Row],[Sales]]*0.75,
IF(Table1[[#This Row],[Category]]="Clothing",Table1[[#This Row],[Sales]]*0.65,
Table1[[#This Row],[Sales]]*0.7)))</f>
        <v>14703.75</v>
      </c>
      <c r="I270" s="11">
        <f ca="1">Table1[[#This Row],[Sales]]-H270</f>
        <v>4901.25</v>
      </c>
      <c r="J270" s="2">
        <f ca="1">Table1[[#This Row],[Profit]]/Table1[[#This Row],[Sales]]</f>
        <v>0.25</v>
      </c>
      <c r="K270" t="str">
        <f ca="1">TEXT(Table1[[#This Row],[Order_Date]],"mmm")</f>
        <v>Jan</v>
      </c>
      <c r="L270">
        <f ca="1">YEAR(Table1[[#This Row],[Order_Date]])</f>
        <v>2023</v>
      </c>
    </row>
    <row r="271" spans="1:12" x14ac:dyDescent="0.3">
      <c r="A271">
        <f t="shared" si="16"/>
        <v>270</v>
      </c>
      <c r="B271" s="1">
        <f t="shared" ca="1" si="17"/>
        <v>45098</v>
      </c>
      <c r="C271" t="s">
        <v>8</v>
      </c>
      <c r="D271" t="str">
        <f t="shared" ca="1" si="18"/>
        <v>Electronics</v>
      </c>
      <c r="E271" t="s">
        <v>68</v>
      </c>
      <c r="F271" s="11">
        <v>10791</v>
      </c>
      <c r="G271">
        <f t="shared" ca="1" si="19"/>
        <v>1</v>
      </c>
      <c r="H271" s="11">
        <f ca="1">IF(Table1[[#This Row],[Category]]="Electronics",Table1[[#This Row],[Sales]]*0.6,
IF(Table1[[#This Row],[Category]]="Furniture",Table1[[#This Row],[Sales]]*0.75,
IF(Table1[[#This Row],[Category]]="Clothing",Table1[[#This Row],[Sales]]*0.65,
Table1[[#This Row],[Sales]]*0.7)))</f>
        <v>6474.5999999999995</v>
      </c>
      <c r="I271" s="11">
        <f ca="1">Table1[[#This Row],[Sales]]-H271</f>
        <v>4316.4000000000005</v>
      </c>
      <c r="J271" s="2">
        <f ca="1">Table1[[#This Row],[Profit]]/Table1[[#This Row],[Sales]]</f>
        <v>0.40000000000000008</v>
      </c>
      <c r="K271" t="str">
        <f ca="1">TEXT(Table1[[#This Row],[Order_Date]],"mmm")</f>
        <v>Jun</v>
      </c>
      <c r="L271">
        <f ca="1">YEAR(Table1[[#This Row],[Order_Date]])</f>
        <v>2023</v>
      </c>
    </row>
    <row r="272" spans="1:12" x14ac:dyDescent="0.3">
      <c r="A272">
        <f t="shared" si="16"/>
        <v>271</v>
      </c>
      <c r="B272" s="1">
        <f t="shared" ca="1" si="17"/>
        <v>45282</v>
      </c>
      <c r="C272" t="s">
        <v>9</v>
      </c>
      <c r="D272" t="str">
        <f t="shared" ca="1" si="18"/>
        <v>Office Supplies</v>
      </c>
      <c r="E272" t="s">
        <v>53</v>
      </c>
      <c r="F272" s="11">
        <v>8203</v>
      </c>
      <c r="G272">
        <f t="shared" ca="1" si="19"/>
        <v>7</v>
      </c>
      <c r="H272" s="11">
        <f ca="1">IF(Table1[[#This Row],[Category]]="Electronics",Table1[[#This Row],[Sales]]*0.6,
IF(Table1[[#This Row],[Category]]="Furniture",Table1[[#This Row],[Sales]]*0.75,
IF(Table1[[#This Row],[Category]]="Clothing",Table1[[#This Row],[Sales]]*0.65,
Table1[[#This Row],[Sales]]*0.7)))</f>
        <v>5742.0999999999995</v>
      </c>
      <c r="I272" s="11">
        <f ca="1">Table1[[#This Row],[Sales]]-H272</f>
        <v>2460.9000000000005</v>
      </c>
      <c r="J272" s="2">
        <f ca="1">Table1[[#This Row],[Profit]]/Table1[[#This Row],[Sales]]</f>
        <v>0.30000000000000004</v>
      </c>
      <c r="K272" t="str">
        <f ca="1">TEXT(Table1[[#This Row],[Order_Date]],"mmm")</f>
        <v>Dec</v>
      </c>
      <c r="L272">
        <f ca="1">YEAR(Table1[[#This Row],[Order_Date]])</f>
        <v>2023</v>
      </c>
    </row>
    <row r="273" spans="1:12" x14ac:dyDescent="0.3">
      <c r="A273">
        <f t="shared" si="16"/>
        <v>272</v>
      </c>
      <c r="B273" s="1">
        <f t="shared" ca="1" si="17"/>
        <v>45252</v>
      </c>
      <c r="C273" t="s">
        <v>10</v>
      </c>
      <c r="D273" t="str">
        <f t="shared" ca="1" si="18"/>
        <v>Clothing</v>
      </c>
      <c r="E273" t="s">
        <v>83</v>
      </c>
      <c r="F273" s="11">
        <v>17456</v>
      </c>
      <c r="G273">
        <f t="shared" ca="1" si="19"/>
        <v>2</v>
      </c>
      <c r="H273" s="11">
        <f ca="1">IF(Table1[[#This Row],[Category]]="Electronics",Table1[[#This Row],[Sales]]*0.6,
IF(Table1[[#This Row],[Category]]="Furniture",Table1[[#This Row],[Sales]]*0.75,
IF(Table1[[#This Row],[Category]]="Clothing",Table1[[#This Row],[Sales]]*0.65,
Table1[[#This Row],[Sales]]*0.7)))</f>
        <v>11346.4</v>
      </c>
      <c r="I273" s="11">
        <f ca="1">Table1[[#This Row],[Sales]]-H273</f>
        <v>6109.6</v>
      </c>
      <c r="J273" s="2">
        <f ca="1">Table1[[#This Row],[Profit]]/Table1[[#This Row],[Sales]]</f>
        <v>0.35000000000000003</v>
      </c>
      <c r="K273" t="str">
        <f ca="1">TEXT(Table1[[#This Row],[Order_Date]],"mmm")</f>
        <v>Nov</v>
      </c>
      <c r="L273">
        <f ca="1">YEAR(Table1[[#This Row],[Order_Date]])</f>
        <v>2023</v>
      </c>
    </row>
    <row r="274" spans="1:12" x14ac:dyDescent="0.3">
      <c r="A274">
        <f t="shared" si="16"/>
        <v>273</v>
      </c>
      <c r="B274" s="1">
        <f t="shared" ca="1" si="17"/>
        <v>44948</v>
      </c>
      <c r="C274" t="s">
        <v>7</v>
      </c>
      <c r="D274" t="str">
        <f t="shared" ca="1" si="18"/>
        <v>Office Supplies</v>
      </c>
      <c r="E274" t="s">
        <v>79</v>
      </c>
      <c r="F274" s="11">
        <v>5047</v>
      </c>
      <c r="G274">
        <f t="shared" ca="1" si="19"/>
        <v>6</v>
      </c>
      <c r="H274" s="11">
        <f ca="1">IF(Table1[[#This Row],[Category]]="Electronics",Table1[[#This Row],[Sales]]*0.6,
IF(Table1[[#This Row],[Category]]="Furniture",Table1[[#This Row],[Sales]]*0.75,
IF(Table1[[#This Row],[Category]]="Clothing",Table1[[#This Row],[Sales]]*0.65,
Table1[[#This Row],[Sales]]*0.7)))</f>
        <v>3532.8999999999996</v>
      </c>
      <c r="I274" s="11">
        <f ca="1">Table1[[#This Row],[Sales]]-H274</f>
        <v>1514.1000000000004</v>
      </c>
      <c r="J274" s="2">
        <f ca="1">Table1[[#This Row],[Profit]]/Table1[[#This Row],[Sales]]</f>
        <v>0.30000000000000004</v>
      </c>
      <c r="K274" t="str">
        <f ca="1">TEXT(Table1[[#This Row],[Order_Date]],"mmm")</f>
        <v>Jan</v>
      </c>
      <c r="L274">
        <f ca="1">YEAR(Table1[[#This Row],[Order_Date]])</f>
        <v>2023</v>
      </c>
    </row>
    <row r="275" spans="1:12" x14ac:dyDescent="0.3">
      <c r="A275">
        <f t="shared" si="16"/>
        <v>274</v>
      </c>
      <c r="B275" s="1">
        <f t="shared" ca="1" si="17"/>
        <v>45279</v>
      </c>
      <c r="C275" t="s">
        <v>8</v>
      </c>
      <c r="D275" t="str">
        <f t="shared" ca="1" si="18"/>
        <v>Electronics</v>
      </c>
      <c r="E275" t="s">
        <v>74</v>
      </c>
      <c r="F275" s="11">
        <v>19758</v>
      </c>
      <c r="G275">
        <f t="shared" ca="1" si="19"/>
        <v>8</v>
      </c>
      <c r="H275" s="11">
        <f ca="1">IF(Table1[[#This Row],[Category]]="Electronics",Table1[[#This Row],[Sales]]*0.6,
IF(Table1[[#This Row],[Category]]="Furniture",Table1[[#This Row],[Sales]]*0.75,
IF(Table1[[#This Row],[Category]]="Clothing",Table1[[#This Row],[Sales]]*0.65,
Table1[[#This Row],[Sales]]*0.7)))</f>
        <v>11854.8</v>
      </c>
      <c r="I275" s="11">
        <f ca="1">Table1[[#This Row],[Sales]]-H275</f>
        <v>7903.2000000000007</v>
      </c>
      <c r="J275" s="2">
        <f ca="1">Table1[[#This Row],[Profit]]/Table1[[#This Row],[Sales]]</f>
        <v>0.4</v>
      </c>
      <c r="K275" t="str">
        <f ca="1">TEXT(Table1[[#This Row],[Order_Date]],"mmm")</f>
        <v>Dec</v>
      </c>
      <c r="L275">
        <f ca="1">YEAR(Table1[[#This Row],[Order_Date]])</f>
        <v>2023</v>
      </c>
    </row>
    <row r="276" spans="1:12" x14ac:dyDescent="0.3">
      <c r="A276">
        <f t="shared" si="16"/>
        <v>275</v>
      </c>
      <c r="B276" s="1">
        <f t="shared" ca="1" si="17"/>
        <v>45110</v>
      </c>
      <c r="C276" t="s">
        <v>9</v>
      </c>
      <c r="D276" t="str">
        <f t="shared" ca="1" si="18"/>
        <v>Electronics</v>
      </c>
      <c r="E276" t="s">
        <v>66</v>
      </c>
      <c r="F276" s="11">
        <v>3951</v>
      </c>
      <c r="G276">
        <f t="shared" ca="1" si="19"/>
        <v>6</v>
      </c>
      <c r="H276" s="11">
        <f ca="1">IF(Table1[[#This Row],[Category]]="Electronics",Table1[[#This Row],[Sales]]*0.6,
IF(Table1[[#This Row],[Category]]="Furniture",Table1[[#This Row],[Sales]]*0.75,
IF(Table1[[#This Row],[Category]]="Clothing",Table1[[#This Row],[Sales]]*0.65,
Table1[[#This Row],[Sales]]*0.7)))</f>
        <v>2370.6</v>
      </c>
      <c r="I276" s="11">
        <f ca="1">Table1[[#This Row],[Sales]]-H276</f>
        <v>1580.4</v>
      </c>
      <c r="J276" s="2">
        <f ca="1">Table1[[#This Row],[Profit]]/Table1[[#This Row],[Sales]]</f>
        <v>0.4</v>
      </c>
      <c r="K276" t="str">
        <f ca="1">TEXT(Table1[[#This Row],[Order_Date]],"mmm")</f>
        <v>Jul</v>
      </c>
      <c r="L276">
        <f ca="1">YEAR(Table1[[#This Row],[Order_Date]])</f>
        <v>2023</v>
      </c>
    </row>
    <row r="277" spans="1:12" x14ac:dyDescent="0.3">
      <c r="A277">
        <f t="shared" si="16"/>
        <v>276</v>
      </c>
      <c r="B277" s="1">
        <f t="shared" ca="1" si="17"/>
        <v>45149</v>
      </c>
      <c r="C277" t="s">
        <v>10</v>
      </c>
      <c r="D277" t="str">
        <f t="shared" ca="1" si="18"/>
        <v>Furniture</v>
      </c>
      <c r="E277" t="s">
        <v>39</v>
      </c>
      <c r="F277" s="11">
        <v>13130</v>
      </c>
      <c r="G277">
        <f t="shared" ca="1" si="19"/>
        <v>2</v>
      </c>
      <c r="H277" s="11">
        <f ca="1">IF(Table1[[#This Row],[Category]]="Electronics",Table1[[#This Row],[Sales]]*0.6,
IF(Table1[[#This Row],[Category]]="Furniture",Table1[[#This Row],[Sales]]*0.75,
IF(Table1[[#This Row],[Category]]="Clothing",Table1[[#This Row],[Sales]]*0.65,
Table1[[#This Row],[Sales]]*0.7)))</f>
        <v>9847.5</v>
      </c>
      <c r="I277" s="11">
        <f ca="1">Table1[[#This Row],[Sales]]-H277</f>
        <v>3282.5</v>
      </c>
      <c r="J277" s="2">
        <f ca="1">Table1[[#This Row],[Profit]]/Table1[[#This Row],[Sales]]</f>
        <v>0.25</v>
      </c>
      <c r="K277" t="str">
        <f ca="1">TEXT(Table1[[#This Row],[Order_Date]],"mmm")</f>
        <v>Aug</v>
      </c>
      <c r="L277">
        <f ca="1">YEAR(Table1[[#This Row],[Order_Date]])</f>
        <v>2023</v>
      </c>
    </row>
    <row r="278" spans="1:12" x14ac:dyDescent="0.3">
      <c r="A278">
        <f t="shared" si="16"/>
        <v>277</v>
      </c>
      <c r="B278" s="1">
        <f t="shared" ca="1" si="17"/>
        <v>45113</v>
      </c>
      <c r="C278" t="s">
        <v>7</v>
      </c>
      <c r="D278" t="str">
        <f t="shared" ca="1" si="18"/>
        <v>Furniture</v>
      </c>
      <c r="E278" t="s">
        <v>51</v>
      </c>
      <c r="F278" s="11">
        <v>4603</v>
      </c>
      <c r="G278">
        <f t="shared" ca="1" si="19"/>
        <v>7</v>
      </c>
      <c r="H278" s="11">
        <f ca="1">IF(Table1[[#This Row],[Category]]="Electronics",Table1[[#This Row],[Sales]]*0.6,
IF(Table1[[#This Row],[Category]]="Furniture",Table1[[#This Row],[Sales]]*0.75,
IF(Table1[[#This Row],[Category]]="Clothing",Table1[[#This Row],[Sales]]*0.65,
Table1[[#This Row],[Sales]]*0.7)))</f>
        <v>3452.25</v>
      </c>
      <c r="I278" s="11">
        <f ca="1">Table1[[#This Row],[Sales]]-H278</f>
        <v>1150.75</v>
      </c>
      <c r="J278" s="2">
        <f ca="1">Table1[[#This Row],[Profit]]/Table1[[#This Row],[Sales]]</f>
        <v>0.25</v>
      </c>
      <c r="K278" t="str">
        <f ca="1">TEXT(Table1[[#This Row],[Order_Date]],"mmm")</f>
        <v>Jul</v>
      </c>
      <c r="L278">
        <f ca="1">YEAR(Table1[[#This Row],[Order_Date]])</f>
        <v>2023</v>
      </c>
    </row>
    <row r="279" spans="1:12" x14ac:dyDescent="0.3">
      <c r="A279">
        <f t="shared" si="16"/>
        <v>278</v>
      </c>
      <c r="B279" s="1">
        <f t="shared" ca="1" si="17"/>
        <v>45105</v>
      </c>
      <c r="C279" t="s">
        <v>8</v>
      </c>
      <c r="D279" t="str">
        <f t="shared" ca="1" si="18"/>
        <v>Office Supplies</v>
      </c>
      <c r="E279" t="s">
        <v>79</v>
      </c>
      <c r="F279" s="11">
        <v>2789</v>
      </c>
      <c r="G279">
        <f t="shared" ca="1" si="19"/>
        <v>8</v>
      </c>
      <c r="H279" s="11">
        <f ca="1">IF(Table1[[#This Row],[Category]]="Electronics",Table1[[#This Row],[Sales]]*0.6,
IF(Table1[[#This Row],[Category]]="Furniture",Table1[[#This Row],[Sales]]*0.75,
IF(Table1[[#This Row],[Category]]="Clothing",Table1[[#This Row],[Sales]]*0.65,
Table1[[#This Row],[Sales]]*0.7)))</f>
        <v>1952.3</v>
      </c>
      <c r="I279" s="11">
        <f ca="1">Table1[[#This Row],[Sales]]-H279</f>
        <v>836.7</v>
      </c>
      <c r="J279" s="2">
        <f ca="1">Table1[[#This Row],[Profit]]/Table1[[#This Row],[Sales]]</f>
        <v>0.3</v>
      </c>
      <c r="K279" t="str">
        <f ca="1">TEXT(Table1[[#This Row],[Order_Date]],"mmm")</f>
        <v>Jun</v>
      </c>
      <c r="L279">
        <f ca="1">YEAR(Table1[[#This Row],[Order_Date]])</f>
        <v>2023</v>
      </c>
    </row>
    <row r="280" spans="1:12" x14ac:dyDescent="0.3">
      <c r="A280">
        <f t="shared" si="16"/>
        <v>279</v>
      </c>
      <c r="B280" s="1">
        <f t="shared" ca="1" si="17"/>
        <v>45276</v>
      </c>
      <c r="C280" t="s">
        <v>9</v>
      </c>
      <c r="D280" t="str">
        <f t="shared" ca="1" si="18"/>
        <v>Clothing</v>
      </c>
      <c r="E280" t="s">
        <v>60</v>
      </c>
      <c r="F280" s="11">
        <v>5599</v>
      </c>
      <c r="G280">
        <f t="shared" ca="1" si="19"/>
        <v>2</v>
      </c>
      <c r="H280" s="11">
        <f ca="1">IF(Table1[[#This Row],[Category]]="Electronics",Table1[[#This Row],[Sales]]*0.6,
IF(Table1[[#This Row],[Category]]="Furniture",Table1[[#This Row],[Sales]]*0.75,
IF(Table1[[#This Row],[Category]]="Clothing",Table1[[#This Row],[Sales]]*0.65,
Table1[[#This Row],[Sales]]*0.7)))</f>
        <v>3639.35</v>
      </c>
      <c r="I280" s="11">
        <f ca="1">Table1[[#This Row],[Sales]]-H280</f>
        <v>1959.65</v>
      </c>
      <c r="J280" s="2">
        <f ca="1">Table1[[#This Row],[Profit]]/Table1[[#This Row],[Sales]]</f>
        <v>0.35000000000000003</v>
      </c>
      <c r="K280" t="str">
        <f ca="1">TEXT(Table1[[#This Row],[Order_Date]],"mmm")</f>
        <v>Dec</v>
      </c>
      <c r="L280">
        <f ca="1">YEAR(Table1[[#This Row],[Order_Date]])</f>
        <v>2023</v>
      </c>
    </row>
    <row r="281" spans="1:12" x14ac:dyDescent="0.3">
      <c r="A281">
        <f t="shared" si="16"/>
        <v>280</v>
      </c>
      <c r="B281" s="1">
        <f t="shared" ca="1" si="17"/>
        <v>44995</v>
      </c>
      <c r="C281" t="s">
        <v>10</v>
      </c>
      <c r="D281" t="str">
        <f t="shared" ca="1" si="18"/>
        <v>Office Supplies</v>
      </c>
      <c r="E281" t="s">
        <v>81</v>
      </c>
      <c r="F281" s="11">
        <v>6208</v>
      </c>
      <c r="G281">
        <f t="shared" ca="1" si="19"/>
        <v>3</v>
      </c>
      <c r="H281" s="11">
        <f ca="1">IF(Table1[[#This Row],[Category]]="Electronics",Table1[[#This Row],[Sales]]*0.6,
IF(Table1[[#This Row],[Category]]="Furniture",Table1[[#This Row],[Sales]]*0.75,
IF(Table1[[#This Row],[Category]]="Clothing",Table1[[#This Row],[Sales]]*0.65,
Table1[[#This Row],[Sales]]*0.7)))</f>
        <v>4345.5999999999995</v>
      </c>
      <c r="I281" s="11">
        <f ca="1">Table1[[#This Row],[Sales]]-H281</f>
        <v>1862.4000000000005</v>
      </c>
      <c r="J281" s="2">
        <f ca="1">Table1[[#This Row],[Profit]]/Table1[[#This Row],[Sales]]</f>
        <v>0.3000000000000001</v>
      </c>
      <c r="K281" t="str">
        <f ca="1">TEXT(Table1[[#This Row],[Order_Date]],"mmm")</f>
        <v>Mar</v>
      </c>
      <c r="L281">
        <f ca="1">YEAR(Table1[[#This Row],[Order_Date]])</f>
        <v>2023</v>
      </c>
    </row>
    <row r="282" spans="1:12" x14ac:dyDescent="0.3">
      <c r="A282">
        <f t="shared" si="16"/>
        <v>281</v>
      </c>
      <c r="B282" s="1">
        <f t="shared" ca="1" si="17"/>
        <v>44990</v>
      </c>
      <c r="C282" t="s">
        <v>7</v>
      </c>
      <c r="D282" t="str">
        <f t="shared" ca="1" si="18"/>
        <v>Electronics</v>
      </c>
      <c r="E282" t="s">
        <v>37</v>
      </c>
      <c r="F282" s="11">
        <v>2069</v>
      </c>
      <c r="G282">
        <f t="shared" ca="1" si="19"/>
        <v>7</v>
      </c>
      <c r="H282" s="11">
        <f ca="1">IF(Table1[[#This Row],[Category]]="Electronics",Table1[[#This Row],[Sales]]*0.6,
IF(Table1[[#This Row],[Category]]="Furniture",Table1[[#This Row],[Sales]]*0.75,
IF(Table1[[#This Row],[Category]]="Clothing",Table1[[#This Row],[Sales]]*0.65,
Table1[[#This Row],[Sales]]*0.7)))</f>
        <v>1241.3999999999999</v>
      </c>
      <c r="I282" s="11">
        <f ca="1">Table1[[#This Row],[Sales]]-H282</f>
        <v>827.60000000000014</v>
      </c>
      <c r="J282" s="2">
        <f ca="1">Table1[[#This Row],[Profit]]/Table1[[#This Row],[Sales]]</f>
        <v>0.40000000000000008</v>
      </c>
      <c r="K282" t="str">
        <f ca="1">TEXT(Table1[[#This Row],[Order_Date]],"mmm")</f>
        <v>Mar</v>
      </c>
      <c r="L282">
        <f ca="1">YEAR(Table1[[#This Row],[Order_Date]])</f>
        <v>2023</v>
      </c>
    </row>
    <row r="283" spans="1:12" x14ac:dyDescent="0.3">
      <c r="A283">
        <f t="shared" si="16"/>
        <v>282</v>
      </c>
      <c r="B283" s="1">
        <f t="shared" ca="1" si="17"/>
        <v>44953</v>
      </c>
      <c r="C283" t="s">
        <v>8</v>
      </c>
      <c r="D283" t="str">
        <f t="shared" ca="1" si="18"/>
        <v>Electronics</v>
      </c>
      <c r="E283" t="s">
        <v>48</v>
      </c>
      <c r="F283" s="11">
        <v>5947</v>
      </c>
      <c r="G283">
        <f t="shared" ca="1" si="19"/>
        <v>5</v>
      </c>
      <c r="H283" s="11">
        <f ca="1">IF(Table1[[#This Row],[Category]]="Electronics",Table1[[#This Row],[Sales]]*0.6,
IF(Table1[[#This Row],[Category]]="Furniture",Table1[[#This Row],[Sales]]*0.75,
IF(Table1[[#This Row],[Category]]="Clothing",Table1[[#This Row],[Sales]]*0.65,
Table1[[#This Row],[Sales]]*0.7)))</f>
        <v>3568.2</v>
      </c>
      <c r="I283" s="11">
        <f ca="1">Table1[[#This Row],[Sales]]-H283</f>
        <v>2378.8000000000002</v>
      </c>
      <c r="J283" s="2">
        <f ca="1">Table1[[#This Row],[Profit]]/Table1[[#This Row],[Sales]]</f>
        <v>0.4</v>
      </c>
      <c r="K283" t="str">
        <f ca="1">TEXT(Table1[[#This Row],[Order_Date]],"mmm")</f>
        <v>Jan</v>
      </c>
      <c r="L283">
        <f ca="1">YEAR(Table1[[#This Row],[Order_Date]])</f>
        <v>2023</v>
      </c>
    </row>
    <row r="284" spans="1:12" x14ac:dyDescent="0.3">
      <c r="A284">
        <f t="shared" si="16"/>
        <v>283</v>
      </c>
      <c r="B284" s="1">
        <f t="shared" ca="1" si="17"/>
        <v>45222</v>
      </c>
      <c r="C284" t="s">
        <v>9</v>
      </c>
      <c r="D284" t="str">
        <f t="shared" ca="1" si="18"/>
        <v>Furniture</v>
      </c>
      <c r="E284" t="s">
        <v>54</v>
      </c>
      <c r="F284" s="11">
        <v>13228</v>
      </c>
      <c r="G284">
        <f t="shared" ca="1" si="19"/>
        <v>4</v>
      </c>
      <c r="H284" s="11">
        <f ca="1">IF(Table1[[#This Row],[Category]]="Electronics",Table1[[#This Row],[Sales]]*0.6,
IF(Table1[[#This Row],[Category]]="Furniture",Table1[[#This Row],[Sales]]*0.75,
IF(Table1[[#This Row],[Category]]="Clothing",Table1[[#This Row],[Sales]]*0.65,
Table1[[#This Row],[Sales]]*0.7)))</f>
        <v>9921</v>
      </c>
      <c r="I284" s="11">
        <f ca="1">Table1[[#This Row],[Sales]]-H284</f>
        <v>3307</v>
      </c>
      <c r="J284" s="2">
        <f ca="1">Table1[[#This Row],[Profit]]/Table1[[#This Row],[Sales]]</f>
        <v>0.25</v>
      </c>
      <c r="K284" t="str">
        <f ca="1">TEXT(Table1[[#This Row],[Order_Date]],"mmm")</f>
        <v>Oct</v>
      </c>
      <c r="L284">
        <f ca="1">YEAR(Table1[[#This Row],[Order_Date]])</f>
        <v>2023</v>
      </c>
    </row>
    <row r="285" spans="1:12" x14ac:dyDescent="0.3">
      <c r="A285">
        <f t="shared" si="16"/>
        <v>284</v>
      </c>
      <c r="B285" s="1">
        <f t="shared" ca="1" si="17"/>
        <v>45189</v>
      </c>
      <c r="C285" t="s">
        <v>10</v>
      </c>
      <c r="D285" t="str">
        <f t="shared" ca="1" si="18"/>
        <v>Furniture</v>
      </c>
      <c r="E285" t="s">
        <v>63</v>
      </c>
      <c r="F285" s="11">
        <v>6494</v>
      </c>
      <c r="G285">
        <f t="shared" ca="1" si="19"/>
        <v>5</v>
      </c>
      <c r="H285" s="11">
        <f ca="1">IF(Table1[[#This Row],[Category]]="Electronics",Table1[[#This Row],[Sales]]*0.6,
IF(Table1[[#This Row],[Category]]="Furniture",Table1[[#This Row],[Sales]]*0.75,
IF(Table1[[#This Row],[Category]]="Clothing",Table1[[#This Row],[Sales]]*0.65,
Table1[[#This Row],[Sales]]*0.7)))</f>
        <v>4870.5</v>
      </c>
      <c r="I285" s="11">
        <f ca="1">Table1[[#This Row],[Sales]]-H285</f>
        <v>1623.5</v>
      </c>
      <c r="J285" s="2">
        <f ca="1">Table1[[#This Row],[Profit]]/Table1[[#This Row],[Sales]]</f>
        <v>0.25</v>
      </c>
      <c r="K285" t="str">
        <f ca="1">TEXT(Table1[[#This Row],[Order_Date]],"mmm")</f>
        <v>Sep</v>
      </c>
      <c r="L285">
        <f ca="1">YEAR(Table1[[#This Row],[Order_Date]])</f>
        <v>2023</v>
      </c>
    </row>
    <row r="286" spans="1:12" x14ac:dyDescent="0.3">
      <c r="A286">
        <f t="shared" si="16"/>
        <v>285</v>
      </c>
      <c r="B286" s="1">
        <f t="shared" ca="1" si="17"/>
        <v>45277</v>
      </c>
      <c r="C286" t="s">
        <v>7</v>
      </c>
      <c r="D286" t="str">
        <f t="shared" ca="1" si="18"/>
        <v>Office Supplies</v>
      </c>
      <c r="E286" t="s">
        <v>74</v>
      </c>
      <c r="F286" s="11">
        <v>18477</v>
      </c>
      <c r="G286">
        <f t="shared" ca="1" si="19"/>
        <v>9</v>
      </c>
      <c r="H286" s="11">
        <f ca="1">IF(Table1[[#This Row],[Category]]="Electronics",Table1[[#This Row],[Sales]]*0.6,
IF(Table1[[#This Row],[Category]]="Furniture",Table1[[#This Row],[Sales]]*0.75,
IF(Table1[[#This Row],[Category]]="Clothing",Table1[[#This Row],[Sales]]*0.65,
Table1[[#This Row],[Sales]]*0.7)))</f>
        <v>12933.9</v>
      </c>
      <c r="I286" s="11">
        <f ca="1">Table1[[#This Row],[Sales]]-H286</f>
        <v>5543.1</v>
      </c>
      <c r="J286" s="2">
        <f ca="1">Table1[[#This Row],[Profit]]/Table1[[#This Row],[Sales]]</f>
        <v>0.30000000000000004</v>
      </c>
      <c r="K286" t="str">
        <f ca="1">TEXT(Table1[[#This Row],[Order_Date]],"mmm")</f>
        <v>Dec</v>
      </c>
      <c r="L286">
        <f ca="1">YEAR(Table1[[#This Row],[Order_Date]])</f>
        <v>2023</v>
      </c>
    </row>
    <row r="287" spans="1:12" x14ac:dyDescent="0.3">
      <c r="A287">
        <f t="shared" si="16"/>
        <v>286</v>
      </c>
      <c r="B287" s="1">
        <f t="shared" ca="1" si="17"/>
        <v>45079</v>
      </c>
      <c r="C287" t="s">
        <v>8</v>
      </c>
      <c r="D287" t="str">
        <f t="shared" ca="1" si="18"/>
        <v>Clothing</v>
      </c>
      <c r="E287" t="s">
        <v>52</v>
      </c>
      <c r="F287" s="11">
        <v>16400</v>
      </c>
      <c r="G287">
        <f t="shared" ca="1" si="19"/>
        <v>5</v>
      </c>
      <c r="H287" s="11">
        <f ca="1">IF(Table1[[#This Row],[Category]]="Electronics",Table1[[#This Row],[Sales]]*0.6,
IF(Table1[[#This Row],[Category]]="Furniture",Table1[[#This Row],[Sales]]*0.75,
IF(Table1[[#This Row],[Category]]="Clothing",Table1[[#This Row],[Sales]]*0.65,
Table1[[#This Row],[Sales]]*0.7)))</f>
        <v>10660</v>
      </c>
      <c r="I287" s="11">
        <f ca="1">Table1[[#This Row],[Sales]]-H287</f>
        <v>5740</v>
      </c>
      <c r="J287" s="2">
        <f ca="1">Table1[[#This Row],[Profit]]/Table1[[#This Row],[Sales]]</f>
        <v>0.35</v>
      </c>
      <c r="K287" t="str">
        <f ca="1">TEXT(Table1[[#This Row],[Order_Date]],"mmm")</f>
        <v>Jun</v>
      </c>
      <c r="L287">
        <f ca="1">YEAR(Table1[[#This Row],[Order_Date]])</f>
        <v>2023</v>
      </c>
    </row>
    <row r="288" spans="1:12" x14ac:dyDescent="0.3">
      <c r="A288">
        <f t="shared" si="16"/>
        <v>287</v>
      </c>
      <c r="B288" s="1">
        <f t="shared" ca="1" si="17"/>
        <v>45068</v>
      </c>
      <c r="C288" t="s">
        <v>9</v>
      </c>
      <c r="D288" t="str">
        <f t="shared" ca="1" si="18"/>
        <v>Electronics</v>
      </c>
      <c r="E288" t="s">
        <v>47</v>
      </c>
      <c r="F288" s="11">
        <v>18901</v>
      </c>
      <c r="G288">
        <f t="shared" ca="1" si="19"/>
        <v>6</v>
      </c>
      <c r="H288" s="11">
        <f ca="1">IF(Table1[[#This Row],[Category]]="Electronics",Table1[[#This Row],[Sales]]*0.6,
IF(Table1[[#This Row],[Category]]="Furniture",Table1[[#This Row],[Sales]]*0.75,
IF(Table1[[#This Row],[Category]]="Clothing",Table1[[#This Row],[Sales]]*0.65,
Table1[[#This Row],[Sales]]*0.7)))</f>
        <v>11340.6</v>
      </c>
      <c r="I288" s="11">
        <f ca="1">Table1[[#This Row],[Sales]]-H288</f>
        <v>7560.4</v>
      </c>
      <c r="J288" s="2">
        <f ca="1">Table1[[#This Row],[Profit]]/Table1[[#This Row],[Sales]]</f>
        <v>0.39999999999999997</v>
      </c>
      <c r="K288" t="str">
        <f ca="1">TEXT(Table1[[#This Row],[Order_Date]],"mmm")</f>
        <v>May</v>
      </c>
      <c r="L288">
        <f ca="1">YEAR(Table1[[#This Row],[Order_Date]])</f>
        <v>2023</v>
      </c>
    </row>
    <row r="289" spans="1:12" x14ac:dyDescent="0.3">
      <c r="A289">
        <f t="shared" si="16"/>
        <v>288</v>
      </c>
      <c r="B289" s="1">
        <f t="shared" ca="1" si="17"/>
        <v>45226</v>
      </c>
      <c r="C289" t="s">
        <v>10</v>
      </c>
      <c r="D289" t="str">
        <f t="shared" ca="1" si="18"/>
        <v>Clothing</v>
      </c>
      <c r="E289" t="s">
        <v>80</v>
      </c>
      <c r="F289" s="11">
        <v>18330</v>
      </c>
      <c r="G289">
        <f t="shared" ca="1" si="19"/>
        <v>1</v>
      </c>
      <c r="H289" s="11">
        <f ca="1">IF(Table1[[#This Row],[Category]]="Electronics",Table1[[#This Row],[Sales]]*0.6,
IF(Table1[[#This Row],[Category]]="Furniture",Table1[[#This Row],[Sales]]*0.75,
IF(Table1[[#This Row],[Category]]="Clothing",Table1[[#This Row],[Sales]]*0.65,
Table1[[#This Row],[Sales]]*0.7)))</f>
        <v>11914.5</v>
      </c>
      <c r="I289" s="11">
        <f ca="1">Table1[[#This Row],[Sales]]-H289</f>
        <v>6415.5</v>
      </c>
      <c r="J289" s="2">
        <f ca="1">Table1[[#This Row],[Profit]]/Table1[[#This Row],[Sales]]</f>
        <v>0.35</v>
      </c>
      <c r="K289" t="str">
        <f ca="1">TEXT(Table1[[#This Row],[Order_Date]],"mmm")</f>
        <v>Oct</v>
      </c>
      <c r="L289">
        <f ca="1">YEAR(Table1[[#This Row],[Order_Date]])</f>
        <v>2023</v>
      </c>
    </row>
    <row r="290" spans="1:12" x14ac:dyDescent="0.3">
      <c r="A290">
        <f t="shared" si="16"/>
        <v>289</v>
      </c>
      <c r="B290" s="1">
        <f t="shared" ca="1" si="17"/>
        <v>44975</v>
      </c>
      <c r="C290" t="s">
        <v>7</v>
      </c>
      <c r="D290" t="str">
        <f t="shared" ca="1" si="18"/>
        <v>Electronics</v>
      </c>
      <c r="E290" t="s">
        <v>70</v>
      </c>
      <c r="F290" s="11">
        <v>19458</v>
      </c>
      <c r="G290">
        <f t="shared" ca="1" si="19"/>
        <v>2</v>
      </c>
      <c r="H290" s="11">
        <f ca="1">IF(Table1[[#This Row],[Category]]="Electronics",Table1[[#This Row],[Sales]]*0.6,
IF(Table1[[#This Row],[Category]]="Furniture",Table1[[#This Row],[Sales]]*0.75,
IF(Table1[[#This Row],[Category]]="Clothing",Table1[[#This Row],[Sales]]*0.65,
Table1[[#This Row],[Sales]]*0.7)))</f>
        <v>11674.8</v>
      </c>
      <c r="I290" s="11">
        <f ca="1">Table1[[#This Row],[Sales]]-H290</f>
        <v>7783.2000000000007</v>
      </c>
      <c r="J290" s="2">
        <f ca="1">Table1[[#This Row],[Profit]]/Table1[[#This Row],[Sales]]</f>
        <v>0.4</v>
      </c>
      <c r="K290" t="str">
        <f ca="1">TEXT(Table1[[#This Row],[Order_Date]],"mmm")</f>
        <v>Feb</v>
      </c>
      <c r="L290">
        <f ca="1">YEAR(Table1[[#This Row],[Order_Date]])</f>
        <v>2023</v>
      </c>
    </row>
    <row r="291" spans="1:12" x14ac:dyDescent="0.3">
      <c r="A291">
        <f t="shared" si="16"/>
        <v>290</v>
      </c>
      <c r="B291" s="1">
        <f t="shared" ca="1" si="17"/>
        <v>45037</v>
      </c>
      <c r="C291" t="s">
        <v>8</v>
      </c>
      <c r="D291" t="str">
        <f t="shared" ca="1" si="18"/>
        <v>Clothing</v>
      </c>
      <c r="E291" t="s">
        <v>72</v>
      </c>
      <c r="F291" s="11">
        <v>5451</v>
      </c>
      <c r="G291">
        <f t="shared" ca="1" si="19"/>
        <v>10</v>
      </c>
      <c r="H291" s="11">
        <f ca="1">IF(Table1[[#This Row],[Category]]="Electronics",Table1[[#This Row],[Sales]]*0.6,
IF(Table1[[#This Row],[Category]]="Furniture",Table1[[#This Row],[Sales]]*0.75,
IF(Table1[[#This Row],[Category]]="Clothing",Table1[[#This Row],[Sales]]*0.65,
Table1[[#This Row],[Sales]]*0.7)))</f>
        <v>3543.15</v>
      </c>
      <c r="I291" s="11">
        <f ca="1">Table1[[#This Row],[Sales]]-H291</f>
        <v>1907.85</v>
      </c>
      <c r="J291" s="2">
        <f ca="1">Table1[[#This Row],[Profit]]/Table1[[#This Row],[Sales]]</f>
        <v>0.35</v>
      </c>
      <c r="K291" t="str">
        <f ca="1">TEXT(Table1[[#This Row],[Order_Date]],"mmm")</f>
        <v>Apr</v>
      </c>
      <c r="L291">
        <f ca="1">YEAR(Table1[[#This Row],[Order_Date]])</f>
        <v>2023</v>
      </c>
    </row>
    <row r="292" spans="1:12" x14ac:dyDescent="0.3">
      <c r="A292">
        <f t="shared" si="16"/>
        <v>291</v>
      </c>
      <c r="B292" s="1">
        <f t="shared" ca="1" si="17"/>
        <v>45115</v>
      </c>
      <c r="C292" t="s">
        <v>9</v>
      </c>
      <c r="D292" t="str">
        <f t="shared" ca="1" si="18"/>
        <v>Office Supplies</v>
      </c>
      <c r="E292" t="s">
        <v>84</v>
      </c>
      <c r="F292" s="11">
        <v>17562</v>
      </c>
      <c r="G292">
        <f t="shared" ca="1" si="19"/>
        <v>1</v>
      </c>
      <c r="H292" s="11">
        <f ca="1">IF(Table1[[#This Row],[Category]]="Electronics",Table1[[#This Row],[Sales]]*0.6,
IF(Table1[[#This Row],[Category]]="Furniture",Table1[[#This Row],[Sales]]*0.75,
IF(Table1[[#This Row],[Category]]="Clothing",Table1[[#This Row],[Sales]]*0.65,
Table1[[#This Row],[Sales]]*0.7)))</f>
        <v>12293.4</v>
      </c>
      <c r="I292" s="11">
        <f ca="1">Table1[[#This Row],[Sales]]-H292</f>
        <v>5268.6</v>
      </c>
      <c r="J292" s="2">
        <f ca="1">Table1[[#This Row],[Profit]]/Table1[[#This Row],[Sales]]</f>
        <v>0.30000000000000004</v>
      </c>
      <c r="K292" t="str">
        <f ca="1">TEXT(Table1[[#This Row],[Order_Date]],"mmm")</f>
        <v>Jul</v>
      </c>
      <c r="L292">
        <f ca="1">YEAR(Table1[[#This Row],[Order_Date]])</f>
        <v>2023</v>
      </c>
    </row>
    <row r="293" spans="1:12" x14ac:dyDescent="0.3">
      <c r="A293">
        <f t="shared" si="16"/>
        <v>292</v>
      </c>
      <c r="B293" s="1">
        <f t="shared" ca="1" si="17"/>
        <v>45174</v>
      </c>
      <c r="C293" t="s">
        <v>10</v>
      </c>
      <c r="D293" t="str">
        <f t="shared" ca="1" si="18"/>
        <v>Electronics</v>
      </c>
      <c r="E293" t="s">
        <v>47</v>
      </c>
      <c r="F293" s="11">
        <v>1908</v>
      </c>
      <c r="G293">
        <f t="shared" ca="1" si="19"/>
        <v>5</v>
      </c>
      <c r="H293" s="11">
        <f ca="1">IF(Table1[[#This Row],[Category]]="Electronics",Table1[[#This Row],[Sales]]*0.6,
IF(Table1[[#This Row],[Category]]="Furniture",Table1[[#This Row],[Sales]]*0.75,
IF(Table1[[#This Row],[Category]]="Clothing",Table1[[#This Row],[Sales]]*0.65,
Table1[[#This Row],[Sales]]*0.7)))</f>
        <v>1144.8</v>
      </c>
      <c r="I293" s="11">
        <f ca="1">Table1[[#This Row],[Sales]]-H293</f>
        <v>763.2</v>
      </c>
      <c r="J293" s="2">
        <f ca="1">Table1[[#This Row],[Profit]]/Table1[[#This Row],[Sales]]</f>
        <v>0.4</v>
      </c>
      <c r="K293" t="str">
        <f ca="1">TEXT(Table1[[#This Row],[Order_Date]],"mmm")</f>
        <v>Sep</v>
      </c>
      <c r="L293">
        <f ca="1">YEAR(Table1[[#This Row],[Order_Date]])</f>
        <v>2023</v>
      </c>
    </row>
    <row r="294" spans="1:12" x14ac:dyDescent="0.3">
      <c r="A294">
        <f t="shared" si="16"/>
        <v>293</v>
      </c>
      <c r="B294" s="1">
        <f t="shared" ca="1" si="17"/>
        <v>45165</v>
      </c>
      <c r="C294" t="s">
        <v>7</v>
      </c>
      <c r="D294" t="str">
        <f t="shared" ca="1" si="18"/>
        <v>Office Supplies</v>
      </c>
      <c r="E294" t="s">
        <v>76</v>
      </c>
      <c r="F294" s="11">
        <v>6552</v>
      </c>
      <c r="G294">
        <f t="shared" ca="1" si="19"/>
        <v>8</v>
      </c>
      <c r="H294" s="11">
        <f ca="1">IF(Table1[[#This Row],[Category]]="Electronics",Table1[[#This Row],[Sales]]*0.6,
IF(Table1[[#This Row],[Category]]="Furniture",Table1[[#This Row],[Sales]]*0.75,
IF(Table1[[#This Row],[Category]]="Clothing",Table1[[#This Row],[Sales]]*0.65,
Table1[[#This Row],[Sales]]*0.7)))</f>
        <v>4586.3999999999996</v>
      </c>
      <c r="I294" s="11">
        <f ca="1">Table1[[#This Row],[Sales]]-H294</f>
        <v>1965.6000000000004</v>
      </c>
      <c r="J294" s="2">
        <f ca="1">Table1[[#This Row],[Profit]]/Table1[[#This Row],[Sales]]</f>
        <v>0.30000000000000004</v>
      </c>
      <c r="K294" t="str">
        <f ca="1">TEXT(Table1[[#This Row],[Order_Date]],"mmm")</f>
        <v>Aug</v>
      </c>
      <c r="L294">
        <f ca="1">YEAR(Table1[[#This Row],[Order_Date]])</f>
        <v>2023</v>
      </c>
    </row>
    <row r="295" spans="1:12" x14ac:dyDescent="0.3">
      <c r="A295">
        <f t="shared" si="16"/>
        <v>294</v>
      </c>
      <c r="B295" s="1">
        <f t="shared" ca="1" si="17"/>
        <v>44939</v>
      </c>
      <c r="C295" t="s">
        <v>8</v>
      </c>
      <c r="D295" t="str">
        <f t="shared" ca="1" si="18"/>
        <v>Clothing</v>
      </c>
      <c r="E295" t="s">
        <v>77</v>
      </c>
      <c r="F295" s="11">
        <v>12688</v>
      </c>
      <c r="G295">
        <f t="shared" ca="1" si="19"/>
        <v>9</v>
      </c>
      <c r="H295" s="11">
        <f ca="1">IF(Table1[[#This Row],[Category]]="Electronics",Table1[[#This Row],[Sales]]*0.6,
IF(Table1[[#This Row],[Category]]="Furniture",Table1[[#This Row],[Sales]]*0.75,
IF(Table1[[#This Row],[Category]]="Clothing",Table1[[#This Row],[Sales]]*0.65,
Table1[[#This Row],[Sales]]*0.7)))</f>
        <v>8247.2000000000007</v>
      </c>
      <c r="I295" s="11">
        <f ca="1">Table1[[#This Row],[Sales]]-H295</f>
        <v>4440.7999999999993</v>
      </c>
      <c r="J295" s="2">
        <f ca="1">Table1[[#This Row],[Profit]]/Table1[[#This Row],[Sales]]</f>
        <v>0.34999999999999992</v>
      </c>
      <c r="K295" t="str">
        <f ca="1">TEXT(Table1[[#This Row],[Order_Date]],"mmm")</f>
        <v>Jan</v>
      </c>
      <c r="L295">
        <f ca="1">YEAR(Table1[[#This Row],[Order_Date]])</f>
        <v>2023</v>
      </c>
    </row>
    <row r="296" spans="1:12" x14ac:dyDescent="0.3">
      <c r="A296">
        <f t="shared" si="16"/>
        <v>295</v>
      </c>
      <c r="B296" s="1">
        <f t="shared" ca="1" si="17"/>
        <v>45131</v>
      </c>
      <c r="C296" t="s">
        <v>9</v>
      </c>
      <c r="D296" t="str">
        <f t="shared" ca="1" si="18"/>
        <v>Furniture</v>
      </c>
      <c r="E296" t="s">
        <v>78</v>
      </c>
      <c r="F296" s="11">
        <v>3787</v>
      </c>
      <c r="G296">
        <f t="shared" ca="1" si="19"/>
        <v>6</v>
      </c>
      <c r="H296" s="11">
        <f ca="1">IF(Table1[[#This Row],[Category]]="Electronics",Table1[[#This Row],[Sales]]*0.6,
IF(Table1[[#This Row],[Category]]="Furniture",Table1[[#This Row],[Sales]]*0.75,
IF(Table1[[#This Row],[Category]]="Clothing",Table1[[#This Row],[Sales]]*0.65,
Table1[[#This Row],[Sales]]*0.7)))</f>
        <v>2840.25</v>
      </c>
      <c r="I296" s="11">
        <f ca="1">Table1[[#This Row],[Sales]]-H296</f>
        <v>946.75</v>
      </c>
      <c r="J296" s="2">
        <f ca="1">Table1[[#This Row],[Profit]]/Table1[[#This Row],[Sales]]</f>
        <v>0.25</v>
      </c>
      <c r="K296" t="str">
        <f ca="1">TEXT(Table1[[#This Row],[Order_Date]],"mmm")</f>
        <v>Jul</v>
      </c>
      <c r="L296">
        <f ca="1">YEAR(Table1[[#This Row],[Order_Date]])</f>
        <v>2023</v>
      </c>
    </row>
    <row r="297" spans="1:12" x14ac:dyDescent="0.3">
      <c r="A297">
        <f t="shared" si="16"/>
        <v>296</v>
      </c>
      <c r="B297" s="1">
        <f t="shared" ca="1" si="17"/>
        <v>44989</v>
      </c>
      <c r="C297" t="s">
        <v>10</v>
      </c>
      <c r="D297" t="str">
        <f t="shared" ca="1" si="18"/>
        <v>Furniture</v>
      </c>
      <c r="E297" t="s">
        <v>61</v>
      </c>
      <c r="F297" s="11">
        <v>16651</v>
      </c>
      <c r="G297">
        <f t="shared" ca="1" si="19"/>
        <v>3</v>
      </c>
      <c r="H297" s="11">
        <f ca="1">IF(Table1[[#This Row],[Category]]="Electronics",Table1[[#This Row],[Sales]]*0.6,
IF(Table1[[#This Row],[Category]]="Furniture",Table1[[#This Row],[Sales]]*0.75,
IF(Table1[[#This Row],[Category]]="Clothing",Table1[[#This Row],[Sales]]*0.65,
Table1[[#This Row],[Sales]]*0.7)))</f>
        <v>12488.25</v>
      </c>
      <c r="I297" s="11">
        <f ca="1">Table1[[#This Row],[Sales]]-H297</f>
        <v>4162.75</v>
      </c>
      <c r="J297" s="2">
        <f ca="1">Table1[[#This Row],[Profit]]/Table1[[#This Row],[Sales]]</f>
        <v>0.25</v>
      </c>
      <c r="K297" t="str">
        <f ca="1">TEXT(Table1[[#This Row],[Order_Date]],"mmm")</f>
        <v>Mar</v>
      </c>
      <c r="L297">
        <f ca="1">YEAR(Table1[[#This Row],[Order_Date]])</f>
        <v>2023</v>
      </c>
    </row>
    <row r="298" spans="1:12" x14ac:dyDescent="0.3">
      <c r="A298">
        <f t="shared" si="16"/>
        <v>297</v>
      </c>
      <c r="B298" s="1">
        <f t="shared" ca="1" si="17"/>
        <v>45056</v>
      </c>
      <c r="C298" t="s">
        <v>7</v>
      </c>
      <c r="D298" t="str">
        <f t="shared" ca="1" si="18"/>
        <v>Clothing</v>
      </c>
      <c r="E298" t="s">
        <v>54</v>
      </c>
      <c r="F298" s="11">
        <v>10877</v>
      </c>
      <c r="G298">
        <f t="shared" ca="1" si="19"/>
        <v>4</v>
      </c>
      <c r="H298" s="11">
        <f ca="1">IF(Table1[[#This Row],[Category]]="Electronics",Table1[[#This Row],[Sales]]*0.6,
IF(Table1[[#This Row],[Category]]="Furniture",Table1[[#This Row],[Sales]]*0.75,
IF(Table1[[#This Row],[Category]]="Clothing",Table1[[#This Row],[Sales]]*0.65,
Table1[[#This Row],[Sales]]*0.7)))</f>
        <v>7070.05</v>
      </c>
      <c r="I298" s="11">
        <f ca="1">Table1[[#This Row],[Sales]]-H298</f>
        <v>3806.95</v>
      </c>
      <c r="J298" s="2">
        <f ca="1">Table1[[#This Row],[Profit]]/Table1[[#This Row],[Sales]]</f>
        <v>0.35</v>
      </c>
      <c r="K298" t="str">
        <f ca="1">TEXT(Table1[[#This Row],[Order_Date]],"mmm")</f>
        <v>May</v>
      </c>
      <c r="L298">
        <f ca="1">YEAR(Table1[[#This Row],[Order_Date]])</f>
        <v>2023</v>
      </c>
    </row>
    <row r="299" spans="1:12" x14ac:dyDescent="0.3">
      <c r="A299">
        <f t="shared" si="16"/>
        <v>298</v>
      </c>
      <c r="B299" s="1">
        <f t="shared" ca="1" si="17"/>
        <v>44985</v>
      </c>
      <c r="C299" t="s">
        <v>8</v>
      </c>
      <c r="D299" t="str">
        <f t="shared" ca="1" si="18"/>
        <v>Furniture</v>
      </c>
      <c r="E299" t="s">
        <v>70</v>
      </c>
      <c r="F299" s="11">
        <v>16551</v>
      </c>
      <c r="G299">
        <f t="shared" ca="1" si="19"/>
        <v>7</v>
      </c>
      <c r="H299" s="11">
        <f ca="1">IF(Table1[[#This Row],[Category]]="Electronics",Table1[[#This Row],[Sales]]*0.6,
IF(Table1[[#This Row],[Category]]="Furniture",Table1[[#This Row],[Sales]]*0.75,
IF(Table1[[#This Row],[Category]]="Clothing",Table1[[#This Row],[Sales]]*0.65,
Table1[[#This Row],[Sales]]*0.7)))</f>
        <v>12413.25</v>
      </c>
      <c r="I299" s="11">
        <f ca="1">Table1[[#This Row],[Sales]]-H299</f>
        <v>4137.75</v>
      </c>
      <c r="J299" s="2">
        <f ca="1">Table1[[#This Row],[Profit]]/Table1[[#This Row],[Sales]]</f>
        <v>0.25</v>
      </c>
      <c r="K299" t="str">
        <f ca="1">TEXT(Table1[[#This Row],[Order_Date]],"mmm")</f>
        <v>Feb</v>
      </c>
      <c r="L299">
        <f ca="1">YEAR(Table1[[#This Row],[Order_Date]])</f>
        <v>2023</v>
      </c>
    </row>
    <row r="300" spans="1:12" x14ac:dyDescent="0.3">
      <c r="A300">
        <f t="shared" si="16"/>
        <v>299</v>
      </c>
      <c r="B300" s="1">
        <f t="shared" ca="1" si="17"/>
        <v>45029</v>
      </c>
      <c r="C300" t="s">
        <v>9</v>
      </c>
      <c r="D300" t="str">
        <f t="shared" ca="1" si="18"/>
        <v>Office Supplies</v>
      </c>
      <c r="E300" t="s">
        <v>78</v>
      </c>
      <c r="F300" s="11">
        <v>19332</v>
      </c>
      <c r="G300">
        <f t="shared" ca="1" si="19"/>
        <v>3</v>
      </c>
      <c r="H300" s="11">
        <f ca="1">IF(Table1[[#This Row],[Category]]="Electronics",Table1[[#This Row],[Sales]]*0.6,
IF(Table1[[#This Row],[Category]]="Furniture",Table1[[#This Row],[Sales]]*0.75,
IF(Table1[[#This Row],[Category]]="Clothing",Table1[[#This Row],[Sales]]*0.65,
Table1[[#This Row],[Sales]]*0.7)))</f>
        <v>13532.4</v>
      </c>
      <c r="I300" s="11">
        <f ca="1">Table1[[#This Row],[Sales]]-H300</f>
        <v>5799.6</v>
      </c>
      <c r="J300" s="2">
        <f ca="1">Table1[[#This Row],[Profit]]/Table1[[#This Row],[Sales]]</f>
        <v>0.30000000000000004</v>
      </c>
      <c r="K300" t="str">
        <f ca="1">TEXT(Table1[[#This Row],[Order_Date]],"mmm")</f>
        <v>Apr</v>
      </c>
      <c r="L300">
        <f ca="1">YEAR(Table1[[#This Row],[Order_Date]])</f>
        <v>2023</v>
      </c>
    </row>
    <row r="301" spans="1:12" x14ac:dyDescent="0.3">
      <c r="A301">
        <f t="shared" si="16"/>
        <v>300</v>
      </c>
      <c r="B301" s="1">
        <f t="shared" ca="1" si="17"/>
        <v>45021</v>
      </c>
      <c r="C301" t="s">
        <v>10</v>
      </c>
      <c r="D301" t="str">
        <f t="shared" ca="1" si="18"/>
        <v>Office Supplies</v>
      </c>
      <c r="E301" t="s">
        <v>42</v>
      </c>
      <c r="F301" s="11">
        <v>14205</v>
      </c>
      <c r="G301">
        <f t="shared" ca="1" si="19"/>
        <v>5</v>
      </c>
      <c r="H301" s="11">
        <f ca="1">IF(Table1[[#This Row],[Category]]="Electronics",Table1[[#This Row],[Sales]]*0.6,
IF(Table1[[#This Row],[Category]]="Furniture",Table1[[#This Row],[Sales]]*0.75,
IF(Table1[[#This Row],[Category]]="Clothing",Table1[[#This Row],[Sales]]*0.65,
Table1[[#This Row],[Sales]]*0.7)))</f>
        <v>9943.5</v>
      </c>
      <c r="I301" s="11">
        <f ca="1">Table1[[#This Row],[Sales]]-H301</f>
        <v>4261.5</v>
      </c>
      <c r="J301" s="2">
        <f ca="1">Table1[[#This Row],[Profit]]/Table1[[#This Row],[Sales]]</f>
        <v>0.3</v>
      </c>
      <c r="K301" t="str">
        <f ca="1">TEXT(Table1[[#This Row],[Order_Date]],"mmm")</f>
        <v>Apr</v>
      </c>
      <c r="L301">
        <f ca="1">YEAR(Table1[[#This Row],[Order_Date]])</f>
        <v>2023</v>
      </c>
    </row>
    <row r="302" spans="1:12" x14ac:dyDescent="0.3">
      <c r="A302">
        <f t="shared" si="16"/>
        <v>301</v>
      </c>
      <c r="B302" s="1">
        <f t="shared" ca="1" si="17"/>
        <v>45202</v>
      </c>
      <c r="C302" t="s">
        <v>7</v>
      </c>
      <c r="D302" t="str">
        <f t="shared" ca="1" si="18"/>
        <v>Electronics</v>
      </c>
      <c r="E302" t="s">
        <v>84</v>
      </c>
      <c r="F302" s="11">
        <v>18359</v>
      </c>
      <c r="G302">
        <f t="shared" ca="1" si="19"/>
        <v>10</v>
      </c>
      <c r="H302" s="11">
        <f ca="1">IF(Table1[[#This Row],[Category]]="Electronics",Table1[[#This Row],[Sales]]*0.6,
IF(Table1[[#This Row],[Category]]="Furniture",Table1[[#This Row],[Sales]]*0.75,
IF(Table1[[#This Row],[Category]]="Clothing",Table1[[#This Row],[Sales]]*0.65,
Table1[[#This Row],[Sales]]*0.7)))</f>
        <v>11015.4</v>
      </c>
      <c r="I302" s="11">
        <f ca="1">Table1[[#This Row],[Sales]]-H302</f>
        <v>7343.6</v>
      </c>
      <c r="J302" s="2">
        <f ca="1">Table1[[#This Row],[Profit]]/Table1[[#This Row],[Sales]]</f>
        <v>0.4</v>
      </c>
      <c r="K302" t="str">
        <f ca="1">TEXT(Table1[[#This Row],[Order_Date]],"mmm")</f>
        <v>Oct</v>
      </c>
      <c r="L302">
        <f ca="1">YEAR(Table1[[#This Row],[Order_Date]])</f>
        <v>2023</v>
      </c>
    </row>
    <row r="303" spans="1:12" x14ac:dyDescent="0.3">
      <c r="A303">
        <f t="shared" si="16"/>
        <v>302</v>
      </c>
      <c r="B303" s="1">
        <f t="shared" ca="1" si="17"/>
        <v>45195</v>
      </c>
      <c r="C303" t="s">
        <v>8</v>
      </c>
      <c r="D303" t="str">
        <f t="shared" ca="1" si="18"/>
        <v>Clothing</v>
      </c>
      <c r="E303" t="s">
        <v>70</v>
      </c>
      <c r="F303" s="11">
        <v>14206</v>
      </c>
      <c r="G303">
        <f t="shared" ca="1" si="19"/>
        <v>6</v>
      </c>
      <c r="H303" s="11">
        <f ca="1">IF(Table1[[#This Row],[Category]]="Electronics",Table1[[#This Row],[Sales]]*0.6,
IF(Table1[[#This Row],[Category]]="Furniture",Table1[[#This Row],[Sales]]*0.75,
IF(Table1[[#This Row],[Category]]="Clothing",Table1[[#This Row],[Sales]]*0.65,
Table1[[#This Row],[Sales]]*0.7)))</f>
        <v>9233.9</v>
      </c>
      <c r="I303" s="11">
        <f ca="1">Table1[[#This Row],[Sales]]-H303</f>
        <v>4972.1000000000004</v>
      </c>
      <c r="J303" s="2">
        <f ca="1">Table1[[#This Row],[Profit]]/Table1[[#This Row],[Sales]]</f>
        <v>0.35000000000000003</v>
      </c>
      <c r="K303" t="str">
        <f ca="1">TEXT(Table1[[#This Row],[Order_Date]],"mmm")</f>
        <v>Sep</v>
      </c>
      <c r="L303">
        <f ca="1">YEAR(Table1[[#This Row],[Order_Date]])</f>
        <v>2023</v>
      </c>
    </row>
    <row r="304" spans="1:12" x14ac:dyDescent="0.3">
      <c r="A304">
        <f t="shared" si="16"/>
        <v>303</v>
      </c>
      <c r="B304" s="1">
        <f t="shared" ca="1" si="17"/>
        <v>45271</v>
      </c>
      <c r="C304" t="s">
        <v>9</v>
      </c>
      <c r="D304" t="str">
        <f t="shared" ca="1" si="18"/>
        <v>Clothing</v>
      </c>
      <c r="E304" t="s">
        <v>70</v>
      </c>
      <c r="F304" s="11">
        <v>10036</v>
      </c>
      <c r="G304">
        <f t="shared" ca="1" si="19"/>
        <v>4</v>
      </c>
      <c r="H304" s="11">
        <f ca="1">IF(Table1[[#This Row],[Category]]="Electronics",Table1[[#This Row],[Sales]]*0.6,
IF(Table1[[#This Row],[Category]]="Furniture",Table1[[#This Row],[Sales]]*0.75,
IF(Table1[[#This Row],[Category]]="Clothing",Table1[[#This Row],[Sales]]*0.65,
Table1[[#This Row],[Sales]]*0.7)))</f>
        <v>6523.4000000000005</v>
      </c>
      <c r="I304" s="11">
        <f ca="1">Table1[[#This Row],[Sales]]-H304</f>
        <v>3512.5999999999995</v>
      </c>
      <c r="J304" s="2">
        <f ca="1">Table1[[#This Row],[Profit]]/Table1[[#This Row],[Sales]]</f>
        <v>0.34999999999999992</v>
      </c>
      <c r="K304" t="str">
        <f ca="1">TEXT(Table1[[#This Row],[Order_Date]],"mmm")</f>
        <v>Dec</v>
      </c>
      <c r="L304">
        <f ca="1">YEAR(Table1[[#This Row],[Order_Date]])</f>
        <v>2023</v>
      </c>
    </row>
    <row r="305" spans="1:12" x14ac:dyDescent="0.3">
      <c r="A305">
        <f t="shared" si="16"/>
        <v>304</v>
      </c>
      <c r="B305" s="1">
        <f t="shared" ca="1" si="17"/>
        <v>45082</v>
      </c>
      <c r="C305" t="s">
        <v>10</v>
      </c>
      <c r="D305" t="str">
        <f t="shared" ca="1" si="18"/>
        <v>Clothing</v>
      </c>
      <c r="E305" t="s">
        <v>53</v>
      </c>
      <c r="F305" s="11">
        <v>17679</v>
      </c>
      <c r="G305">
        <f t="shared" ca="1" si="19"/>
        <v>8</v>
      </c>
      <c r="H305" s="11">
        <f ca="1">IF(Table1[[#This Row],[Category]]="Electronics",Table1[[#This Row],[Sales]]*0.6,
IF(Table1[[#This Row],[Category]]="Furniture",Table1[[#This Row],[Sales]]*0.75,
IF(Table1[[#This Row],[Category]]="Clothing",Table1[[#This Row],[Sales]]*0.65,
Table1[[#This Row],[Sales]]*0.7)))</f>
        <v>11491.35</v>
      </c>
      <c r="I305" s="11">
        <f ca="1">Table1[[#This Row],[Sales]]-H305</f>
        <v>6187.65</v>
      </c>
      <c r="J305" s="2">
        <f ca="1">Table1[[#This Row],[Profit]]/Table1[[#This Row],[Sales]]</f>
        <v>0.35</v>
      </c>
      <c r="K305" t="str">
        <f ca="1">TEXT(Table1[[#This Row],[Order_Date]],"mmm")</f>
        <v>Jun</v>
      </c>
      <c r="L305">
        <f ca="1">YEAR(Table1[[#This Row],[Order_Date]])</f>
        <v>2023</v>
      </c>
    </row>
    <row r="306" spans="1:12" x14ac:dyDescent="0.3">
      <c r="A306">
        <f t="shared" si="16"/>
        <v>305</v>
      </c>
      <c r="B306" s="1">
        <f t="shared" ca="1" si="17"/>
        <v>44941</v>
      </c>
      <c r="C306" t="s">
        <v>7</v>
      </c>
      <c r="D306" t="str">
        <f t="shared" ca="1" si="18"/>
        <v>Furniture</v>
      </c>
      <c r="E306" t="s">
        <v>68</v>
      </c>
      <c r="F306" s="11">
        <v>18302</v>
      </c>
      <c r="G306">
        <f t="shared" ca="1" si="19"/>
        <v>2</v>
      </c>
      <c r="H306" s="11">
        <f ca="1">IF(Table1[[#This Row],[Category]]="Electronics",Table1[[#This Row],[Sales]]*0.6,
IF(Table1[[#This Row],[Category]]="Furniture",Table1[[#This Row],[Sales]]*0.75,
IF(Table1[[#This Row],[Category]]="Clothing",Table1[[#This Row],[Sales]]*0.65,
Table1[[#This Row],[Sales]]*0.7)))</f>
        <v>13726.5</v>
      </c>
      <c r="I306" s="11">
        <f ca="1">Table1[[#This Row],[Sales]]-H306</f>
        <v>4575.5</v>
      </c>
      <c r="J306" s="2">
        <f ca="1">Table1[[#This Row],[Profit]]/Table1[[#This Row],[Sales]]</f>
        <v>0.25</v>
      </c>
      <c r="K306" t="str">
        <f ca="1">TEXT(Table1[[#This Row],[Order_Date]],"mmm")</f>
        <v>Jan</v>
      </c>
      <c r="L306">
        <f ca="1">YEAR(Table1[[#This Row],[Order_Date]])</f>
        <v>2023</v>
      </c>
    </row>
    <row r="307" spans="1:12" x14ac:dyDescent="0.3">
      <c r="A307">
        <f t="shared" si="16"/>
        <v>306</v>
      </c>
      <c r="B307" s="1">
        <f t="shared" ca="1" si="17"/>
        <v>45284</v>
      </c>
      <c r="C307" t="s">
        <v>8</v>
      </c>
      <c r="D307" t="str">
        <f t="shared" ca="1" si="18"/>
        <v>Clothing</v>
      </c>
      <c r="E307" t="s">
        <v>61</v>
      </c>
      <c r="F307" s="11">
        <v>14307</v>
      </c>
      <c r="G307">
        <f t="shared" ca="1" si="19"/>
        <v>3</v>
      </c>
      <c r="H307" s="11">
        <f ca="1">IF(Table1[[#This Row],[Category]]="Electronics",Table1[[#This Row],[Sales]]*0.6,
IF(Table1[[#This Row],[Category]]="Furniture",Table1[[#This Row],[Sales]]*0.75,
IF(Table1[[#This Row],[Category]]="Clothing",Table1[[#This Row],[Sales]]*0.65,
Table1[[#This Row],[Sales]]*0.7)))</f>
        <v>9299.5500000000011</v>
      </c>
      <c r="I307" s="11">
        <f ca="1">Table1[[#This Row],[Sales]]-H307</f>
        <v>5007.4499999999989</v>
      </c>
      <c r="J307" s="2">
        <f ca="1">Table1[[#This Row],[Profit]]/Table1[[#This Row],[Sales]]</f>
        <v>0.34999999999999992</v>
      </c>
      <c r="K307" t="str">
        <f ca="1">TEXT(Table1[[#This Row],[Order_Date]],"mmm")</f>
        <v>Dec</v>
      </c>
      <c r="L307">
        <f ca="1">YEAR(Table1[[#This Row],[Order_Date]])</f>
        <v>2023</v>
      </c>
    </row>
    <row r="308" spans="1:12" x14ac:dyDescent="0.3">
      <c r="A308">
        <f t="shared" si="16"/>
        <v>307</v>
      </c>
      <c r="B308" s="1">
        <f t="shared" ca="1" si="17"/>
        <v>44946</v>
      </c>
      <c r="C308" t="s">
        <v>9</v>
      </c>
      <c r="D308" t="str">
        <f t="shared" ca="1" si="18"/>
        <v>Office Supplies</v>
      </c>
      <c r="E308" t="s">
        <v>50</v>
      </c>
      <c r="F308" s="11">
        <v>5011</v>
      </c>
      <c r="G308">
        <f t="shared" ca="1" si="19"/>
        <v>3</v>
      </c>
      <c r="H308" s="11">
        <f ca="1">IF(Table1[[#This Row],[Category]]="Electronics",Table1[[#This Row],[Sales]]*0.6,
IF(Table1[[#This Row],[Category]]="Furniture",Table1[[#This Row],[Sales]]*0.75,
IF(Table1[[#This Row],[Category]]="Clothing",Table1[[#This Row],[Sales]]*0.65,
Table1[[#This Row],[Sales]]*0.7)))</f>
        <v>3507.7</v>
      </c>
      <c r="I308" s="11">
        <f ca="1">Table1[[#This Row],[Sales]]-H308</f>
        <v>1503.3000000000002</v>
      </c>
      <c r="J308" s="2">
        <f ca="1">Table1[[#This Row],[Profit]]/Table1[[#This Row],[Sales]]</f>
        <v>0.30000000000000004</v>
      </c>
      <c r="K308" t="str">
        <f ca="1">TEXT(Table1[[#This Row],[Order_Date]],"mmm")</f>
        <v>Jan</v>
      </c>
      <c r="L308">
        <f ca="1">YEAR(Table1[[#This Row],[Order_Date]])</f>
        <v>2023</v>
      </c>
    </row>
    <row r="309" spans="1:12" x14ac:dyDescent="0.3">
      <c r="A309">
        <f t="shared" si="16"/>
        <v>308</v>
      </c>
      <c r="B309" s="1">
        <f t="shared" ca="1" si="17"/>
        <v>45232</v>
      </c>
      <c r="C309" t="s">
        <v>10</v>
      </c>
      <c r="D309" t="str">
        <f t="shared" ca="1" si="18"/>
        <v>Furniture</v>
      </c>
      <c r="E309" t="s">
        <v>46</v>
      </c>
      <c r="F309" s="11">
        <v>17675</v>
      </c>
      <c r="G309">
        <f t="shared" ca="1" si="19"/>
        <v>9</v>
      </c>
      <c r="H309" s="11">
        <f ca="1">IF(Table1[[#This Row],[Category]]="Electronics",Table1[[#This Row],[Sales]]*0.6,
IF(Table1[[#This Row],[Category]]="Furniture",Table1[[#This Row],[Sales]]*0.75,
IF(Table1[[#This Row],[Category]]="Clothing",Table1[[#This Row],[Sales]]*0.65,
Table1[[#This Row],[Sales]]*0.7)))</f>
        <v>13256.25</v>
      </c>
      <c r="I309" s="11">
        <f ca="1">Table1[[#This Row],[Sales]]-H309</f>
        <v>4418.75</v>
      </c>
      <c r="J309" s="2">
        <f ca="1">Table1[[#This Row],[Profit]]/Table1[[#This Row],[Sales]]</f>
        <v>0.25</v>
      </c>
      <c r="K309" t="str">
        <f ca="1">TEXT(Table1[[#This Row],[Order_Date]],"mmm")</f>
        <v>Nov</v>
      </c>
      <c r="L309">
        <f ca="1">YEAR(Table1[[#This Row],[Order_Date]])</f>
        <v>2023</v>
      </c>
    </row>
    <row r="310" spans="1:12" x14ac:dyDescent="0.3">
      <c r="A310">
        <f t="shared" si="16"/>
        <v>309</v>
      </c>
      <c r="B310" s="1">
        <f t="shared" ca="1" si="17"/>
        <v>45119</v>
      </c>
      <c r="C310" t="s">
        <v>7</v>
      </c>
      <c r="D310" t="str">
        <f t="shared" ca="1" si="18"/>
        <v>Furniture</v>
      </c>
      <c r="E310" t="s">
        <v>38</v>
      </c>
      <c r="F310" s="11">
        <v>18207</v>
      </c>
      <c r="G310">
        <f t="shared" ca="1" si="19"/>
        <v>6</v>
      </c>
      <c r="H310" s="11">
        <f ca="1">IF(Table1[[#This Row],[Category]]="Electronics",Table1[[#This Row],[Sales]]*0.6,
IF(Table1[[#This Row],[Category]]="Furniture",Table1[[#This Row],[Sales]]*0.75,
IF(Table1[[#This Row],[Category]]="Clothing",Table1[[#This Row],[Sales]]*0.65,
Table1[[#This Row],[Sales]]*0.7)))</f>
        <v>13655.25</v>
      </c>
      <c r="I310" s="11">
        <f ca="1">Table1[[#This Row],[Sales]]-H310</f>
        <v>4551.75</v>
      </c>
      <c r="J310" s="2">
        <f ca="1">Table1[[#This Row],[Profit]]/Table1[[#This Row],[Sales]]</f>
        <v>0.25</v>
      </c>
      <c r="K310" t="str">
        <f ca="1">TEXT(Table1[[#This Row],[Order_Date]],"mmm")</f>
        <v>Jul</v>
      </c>
      <c r="L310">
        <f ca="1">YEAR(Table1[[#This Row],[Order_Date]])</f>
        <v>2023</v>
      </c>
    </row>
    <row r="311" spans="1:12" x14ac:dyDescent="0.3">
      <c r="A311">
        <f t="shared" si="16"/>
        <v>310</v>
      </c>
      <c r="B311" s="1">
        <f t="shared" ca="1" si="17"/>
        <v>45157</v>
      </c>
      <c r="C311" t="s">
        <v>8</v>
      </c>
      <c r="D311" t="str">
        <f t="shared" ca="1" si="18"/>
        <v>Electronics</v>
      </c>
      <c r="E311" t="s">
        <v>41</v>
      </c>
      <c r="F311" s="11">
        <v>6522</v>
      </c>
      <c r="G311">
        <f t="shared" ca="1" si="19"/>
        <v>4</v>
      </c>
      <c r="H311" s="11">
        <f ca="1">IF(Table1[[#This Row],[Category]]="Electronics",Table1[[#This Row],[Sales]]*0.6,
IF(Table1[[#This Row],[Category]]="Furniture",Table1[[#This Row],[Sales]]*0.75,
IF(Table1[[#This Row],[Category]]="Clothing",Table1[[#This Row],[Sales]]*0.65,
Table1[[#This Row],[Sales]]*0.7)))</f>
        <v>3913.2</v>
      </c>
      <c r="I311" s="11">
        <f ca="1">Table1[[#This Row],[Sales]]-H311</f>
        <v>2608.8000000000002</v>
      </c>
      <c r="J311" s="2">
        <f ca="1">Table1[[#This Row],[Profit]]/Table1[[#This Row],[Sales]]</f>
        <v>0.4</v>
      </c>
      <c r="K311" t="str">
        <f ca="1">TEXT(Table1[[#This Row],[Order_Date]],"mmm")</f>
        <v>Aug</v>
      </c>
      <c r="L311">
        <f ca="1">YEAR(Table1[[#This Row],[Order_Date]])</f>
        <v>2023</v>
      </c>
    </row>
    <row r="312" spans="1:12" x14ac:dyDescent="0.3">
      <c r="A312">
        <f t="shared" si="16"/>
        <v>311</v>
      </c>
      <c r="B312" s="1">
        <f t="shared" ca="1" si="17"/>
        <v>45033</v>
      </c>
      <c r="C312" t="s">
        <v>9</v>
      </c>
      <c r="D312" t="str">
        <f t="shared" ca="1" si="18"/>
        <v>Clothing</v>
      </c>
      <c r="E312" t="s">
        <v>84</v>
      </c>
      <c r="F312" s="11">
        <v>2652</v>
      </c>
      <c r="G312">
        <f t="shared" ca="1" si="19"/>
        <v>8</v>
      </c>
      <c r="H312" s="11">
        <f ca="1">IF(Table1[[#This Row],[Category]]="Electronics",Table1[[#This Row],[Sales]]*0.6,
IF(Table1[[#This Row],[Category]]="Furniture",Table1[[#This Row],[Sales]]*0.75,
IF(Table1[[#This Row],[Category]]="Clothing",Table1[[#This Row],[Sales]]*0.65,
Table1[[#This Row],[Sales]]*0.7)))</f>
        <v>1723.8</v>
      </c>
      <c r="I312" s="11">
        <f ca="1">Table1[[#This Row],[Sales]]-H312</f>
        <v>928.2</v>
      </c>
      <c r="J312" s="2">
        <f ca="1">Table1[[#This Row],[Profit]]/Table1[[#This Row],[Sales]]</f>
        <v>0.35000000000000003</v>
      </c>
      <c r="K312" t="str">
        <f ca="1">TEXT(Table1[[#This Row],[Order_Date]],"mmm")</f>
        <v>Apr</v>
      </c>
      <c r="L312">
        <f ca="1">YEAR(Table1[[#This Row],[Order_Date]])</f>
        <v>2023</v>
      </c>
    </row>
    <row r="313" spans="1:12" x14ac:dyDescent="0.3">
      <c r="A313">
        <f t="shared" si="16"/>
        <v>312</v>
      </c>
      <c r="B313" s="1">
        <f t="shared" ca="1" si="17"/>
        <v>44935</v>
      </c>
      <c r="C313" t="s">
        <v>10</v>
      </c>
      <c r="D313" t="str">
        <f t="shared" ca="1" si="18"/>
        <v>Office Supplies</v>
      </c>
      <c r="E313" t="s">
        <v>43</v>
      </c>
      <c r="F313" s="11">
        <v>3095</v>
      </c>
      <c r="G313">
        <f t="shared" ca="1" si="19"/>
        <v>8</v>
      </c>
      <c r="H313" s="11">
        <f ca="1">IF(Table1[[#This Row],[Category]]="Electronics",Table1[[#This Row],[Sales]]*0.6,
IF(Table1[[#This Row],[Category]]="Furniture",Table1[[#This Row],[Sales]]*0.75,
IF(Table1[[#This Row],[Category]]="Clothing",Table1[[#This Row],[Sales]]*0.65,
Table1[[#This Row],[Sales]]*0.7)))</f>
        <v>2166.5</v>
      </c>
      <c r="I313" s="11">
        <f ca="1">Table1[[#This Row],[Sales]]-H313</f>
        <v>928.5</v>
      </c>
      <c r="J313" s="2">
        <f ca="1">Table1[[#This Row],[Profit]]/Table1[[#This Row],[Sales]]</f>
        <v>0.3</v>
      </c>
      <c r="K313" t="str">
        <f ca="1">TEXT(Table1[[#This Row],[Order_Date]],"mmm")</f>
        <v>Jan</v>
      </c>
      <c r="L313">
        <f ca="1">YEAR(Table1[[#This Row],[Order_Date]])</f>
        <v>2023</v>
      </c>
    </row>
    <row r="314" spans="1:12" x14ac:dyDescent="0.3">
      <c r="A314">
        <f t="shared" si="16"/>
        <v>313</v>
      </c>
      <c r="B314" s="1">
        <f t="shared" ca="1" si="17"/>
        <v>45251</v>
      </c>
      <c r="C314" t="s">
        <v>7</v>
      </c>
      <c r="D314" t="str">
        <f t="shared" ca="1" si="18"/>
        <v>Clothing</v>
      </c>
      <c r="E314" t="s">
        <v>82</v>
      </c>
      <c r="F314" s="11">
        <v>18969</v>
      </c>
      <c r="G314">
        <f t="shared" ca="1" si="19"/>
        <v>8</v>
      </c>
      <c r="H314" s="11">
        <f ca="1">IF(Table1[[#This Row],[Category]]="Electronics",Table1[[#This Row],[Sales]]*0.6,
IF(Table1[[#This Row],[Category]]="Furniture",Table1[[#This Row],[Sales]]*0.75,
IF(Table1[[#This Row],[Category]]="Clothing",Table1[[#This Row],[Sales]]*0.65,
Table1[[#This Row],[Sales]]*0.7)))</f>
        <v>12329.85</v>
      </c>
      <c r="I314" s="11">
        <f ca="1">Table1[[#This Row],[Sales]]-H314</f>
        <v>6639.15</v>
      </c>
      <c r="J314" s="2">
        <f ca="1">Table1[[#This Row],[Profit]]/Table1[[#This Row],[Sales]]</f>
        <v>0.35</v>
      </c>
      <c r="K314" t="str">
        <f ca="1">TEXT(Table1[[#This Row],[Order_Date]],"mmm")</f>
        <v>Nov</v>
      </c>
      <c r="L314">
        <f ca="1">YEAR(Table1[[#This Row],[Order_Date]])</f>
        <v>2023</v>
      </c>
    </row>
    <row r="315" spans="1:12" x14ac:dyDescent="0.3">
      <c r="A315">
        <f t="shared" si="16"/>
        <v>314</v>
      </c>
      <c r="B315" s="1">
        <f t="shared" ca="1" si="17"/>
        <v>44999</v>
      </c>
      <c r="C315" t="s">
        <v>8</v>
      </c>
      <c r="D315" t="str">
        <f t="shared" ca="1" si="18"/>
        <v>Furniture</v>
      </c>
      <c r="E315" t="s">
        <v>61</v>
      </c>
      <c r="F315" s="11">
        <v>2366</v>
      </c>
      <c r="G315">
        <f t="shared" ca="1" si="19"/>
        <v>10</v>
      </c>
      <c r="H315" s="11">
        <f ca="1">IF(Table1[[#This Row],[Category]]="Electronics",Table1[[#This Row],[Sales]]*0.6,
IF(Table1[[#This Row],[Category]]="Furniture",Table1[[#This Row],[Sales]]*0.75,
IF(Table1[[#This Row],[Category]]="Clothing",Table1[[#This Row],[Sales]]*0.65,
Table1[[#This Row],[Sales]]*0.7)))</f>
        <v>1774.5</v>
      </c>
      <c r="I315" s="11">
        <f ca="1">Table1[[#This Row],[Sales]]-H315</f>
        <v>591.5</v>
      </c>
      <c r="J315" s="2">
        <f ca="1">Table1[[#This Row],[Profit]]/Table1[[#This Row],[Sales]]</f>
        <v>0.25</v>
      </c>
      <c r="K315" t="str">
        <f ca="1">TEXT(Table1[[#This Row],[Order_Date]],"mmm")</f>
        <v>Mar</v>
      </c>
      <c r="L315">
        <f ca="1">YEAR(Table1[[#This Row],[Order_Date]])</f>
        <v>2023</v>
      </c>
    </row>
    <row r="316" spans="1:12" x14ac:dyDescent="0.3">
      <c r="A316">
        <f t="shared" si="16"/>
        <v>315</v>
      </c>
      <c r="B316" s="1">
        <f t="shared" ca="1" si="17"/>
        <v>45024</v>
      </c>
      <c r="C316" t="s">
        <v>9</v>
      </c>
      <c r="D316" t="str">
        <f t="shared" ca="1" si="18"/>
        <v>Furniture</v>
      </c>
      <c r="E316" t="s">
        <v>63</v>
      </c>
      <c r="F316" s="11">
        <v>15405</v>
      </c>
      <c r="G316">
        <f t="shared" ca="1" si="19"/>
        <v>7</v>
      </c>
      <c r="H316" s="11">
        <f ca="1">IF(Table1[[#This Row],[Category]]="Electronics",Table1[[#This Row],[Sales]]*0.6,
IF(Table1[[#This Row],[Category]]="Furniture",Table1[[#This Row],[Sales]]*0.75,
IF(Table1[[#This Row],[Category]]="Clothing",Table1[[#This Row],[Sales]]*0.65,
Table1[[#This Row],[Sales]]*0.7)))</f>
        <v>11553.75</v>
      </c>
      <c r="I316" s="11">
        <f ca="1">Table1[[#This Row],[Sales]]-H316</f>
        <v>3851.25</v>
      </c>
      <c r="J316" s="2">
        <f ca="1">Table1[[#This Row],[Profit]]/Table1[[#This Row],[Sales]]</f>
        <v>0.25</v>
      </c>
      <c r="K316" t="str">
        <f ca="1">TEXT(Table1[[#This Row],[Order_Date]],"mmm")</f>
        <v>Apr</v>
      </c>
      <c r="L316">
        <f ca="1">YEAR(Table1[[#This Row],[Order_Date]])</f>
        <v>2023</v>
      </c>
    </row>
    <row r="317" spans="1:12" x14ac:dyDescent="0.3">
      <c r="A317">
        <f t="shared" si="16"/>
        <v>316</v>
      </c>
      <c r="B317" s="1">
        <f t="shared" ca="1" si="17"/>
        <v>45255</v>
      </c>
      <c r="C317" t="s">
        <v>10</v>
      </c>
      <c r="D317" t="str">
        <f t="shared" ca="1" si="18"/>
        <v>Electronics</v>
      </c>
      <c r="E317" t="s">
        <v>67</v>
      </c>
      <c r="F317" s="11">
        <v>18210</v>
      </c>
      <c r="G317">
        <f t="shared" ca="1" si="19"/>
        <v>1</v>
      </c>
      <c r="H317" s="11">
        <f ca="1">IF(Table1[[#This Row],[Category]]="Electronics",Table1[[#This Row],[Sales]]*0.6,
IF(Table1[[#This Row],[Category]]="Furniture",Table1[[#This Row],[Sales]]*0.75,
IF(Table1[[#This Row],[Category]]="Clothing",Table1[[#This Row],[Sales]]*0.65,
Table1[[#This Row],[Sales]]*0.7)))</f>
        <v>10926</v>
      </c>
      <c r="I317" s="11">
        <f ca="1">Table1[[#This Row],[Sales]]-H317</f>
        <v>7284</v>
      </c>
      <c r="J317" s="2">
        <f ca="1">Table1[[#This Row],[Profit]]/Table1[[#This Row],[Sales]]</f>
        <v>0.4</v>
      </c>
      <c r="K317" t="str">
        <f ca="1">TEXT(Table1[[#This Row],[Order_Date]],"mmm")</f>
        <v>Nov</v>
      </c>
      <c r="L317">
        <f ca="1">YEAR(Table1[[#This Row],[Order_Date]])</f>
        <v>2023</v>
      </c>
    </row>
    <row r="318" spans="1:12" x14ac:dyDescent="0.3">
      <c r="A318">
        <f t="shared" si="16"/>
        <v>317</v>
      </c>
      <c r="B318" s="1">
        <f t="shared" ca="1" si="17"/>
        <v>45051</v>
      </c>
      <c r="C318" t="s">
        <v>7</v>
      </c>
      <c r="D318" t="str">
        <f t="shared" ca="1" si="18"/>
        <v>Electronics</v>
      </c>
      <c r="E318" t="s">
        <v>61</v>
      </c>
      <c r="F318" s="11">
        <v>10136</v>
      </c>
      <c r="G318">
        <f t="shared" ca="1" si="19"/>
        <v>1</v>
      </c>
      <c r="H318" s="11">
        <f ca="1">IF(Table1[[#This Row],[Category]]="Electronics",Table1[[#This Row],[Sales]]*0.6,
IF(Table1[[#This Row],[Category]]="Furniture",Table1[[#This Row],[Sales]]*0.75,
IF(Table1[[#This Row],[Category]]="Clothing",Table1[[#This Row],[Sales]]*0.65,
Table1[[#This Row],[Sales]]*0.7)))</f>
        <v>6081.5999999999995</v>
      </c>
      <c r="I318" s="11">
        <f ca="1">Table1[[#This Row],[Sales]]-H318</f>
        <v>4054.4000000000005</v>
      </c>
      <c r="J318" s="2">
        <f ca="1">Table1[[#This Row],[Profit]]/Table1[[#This Row],[Sales]]</f>
        <v>0.40000000000000008</v>
      </c>
      <c r="K318" t="str">
        <f ca="1">TEXT(Table1[[#This Row],[Order_Date]],"mmm")</f>
        <v>May</v>
      </c>
      <c r="L318">
        <f ca="1">YEAR(Table1[[#This Row],[Order_Date]])</f>
        <v>2023</v>
      </c>
    </row>
    <row r="319" spans="1:12" x14ac:dyDescent="0.3">
      <c r="A319">
        <f t="shared" si="16"/>
        <v>318</v>
      </c>
      <c r="B319" s="1">
        <f t="shared" ca="1" si="17"/>
        <v>45142</v>
      </c>
      <c r="C319" t="s">
        <v>8</v>
      </c>
      <c r="D319" t="str">
        <f t="shared" ca="1" si="18"/>
        <v>Clothing</v>
      </c>
      <c r="E319" t="s">
        <v>67</v>
      </c>
      <c r="F319" s="11">
        <v>1755</v>
      </c>
      <c r="G319">
        <f t="shared" ca="1" si="19"/>
        <v>9</v>
      </c>
      <c r="H319" s="11">
        <f ca="1">IF(Table1[[#This Row],[Category]]="Electronics",Table1[[#This Row],[Sales]]*0.6,
IF(Table1[[#This Row],[Category]]="Furniture",Table1[[#This Row],[Sales]]*0.75,
IF(Table1[[#This Row],[Category]]="Clothing",Table1[[#This Row],[Sales]]*0.65,
Table1[[#This Row],[Sales]]*0.7)))</f>
        <v>1140.75</v>
      </c>
      <c r="I319" s="11">
        <f ca="1">Table1[[#This Row],[Sales]]-H319</f>
        <v>614.25</v>
      </c>
      <c r="J319" s="2">
        <f ca="1">Table1[[#This Row],[Profit]]/Table1[[#This Row],[Sales]]</f>
        <v>0.35</v>
      </c>
      <c r="K319" t="str">
        <f ca="1">TEXT(Table1[[#This Row],[Order_Date]],"mmm")</f>
        <v>Aug</v>
      </c>
      <c r="L319">
        <f ca="1">YEAR(Table1[[#This Row],[Order_Date]])</f>
        <v>2023</v>
      </c>
    </row>
    <row r="320" spans="1:12" x14ac:dyDescent="0.3">
      <c r="A320">
        <f t="shared" si="16"/>
        <v>319</v>
      </c>
      <c r="B320" s="1">
        <f t="shared" ca="1" si="17"/>
        <v>44941</v>
      </c>
      <c r="C320" t="s">
        <v>9</v>
      </c>
      <c r="D320" t="str">
        <f t="shared" ca="1" si="18"/>
        <v>Electronics</v>
      </c>
      <c r="E320" t="s">
        <v>45</v>
      </c>
      <c r="F320" s="11">
        <v>1602</v>
      </c>
      <c r="G320">
        <f t="shared" ca="1" si="19"/>
        <v>1</v>
      </c>
      <c r="H320" s="11">
        <f ca="1">IF(Table1[[#This Row],[Category]]="Electronics",Table1[[#This Row],[Sales]]*0.6,
IF(Table1[[#This Row],[Category]]="Furniture",Table1[[#This Row],[Sales]]*0.75,
IF(Table1[[#This Row],[Category]]="Clothing",Table1[[#This Row],[Sales]]*0.65,
Table1[[#This Row],[Sales]]*0.7)))</f>
        <v>961.19999999999993</v>
      </c>
      <c r="I320" s="11">
        <f ca="1">Table1[[#This Row],[Sales]]-H320</f>
        <v>640.80000000000007</v>
      </c>
      <c r="J320" s="2">
        <f ca="1">Table1[[#This Row],[Profit]]/Table1[[#This Row],[Sales]]</f>
        <v>0.4</v>
      </c>
      <c r="K320" t="str">
        <f ca="1">TEXT(Table1[[#This Row],[Order_Date]],"mmm")</f>
        <v>Jan</v>
      </c>
      <c r="L320">
        <f ca="1">YEAR(Table1[[#This Row],[Order_Date]])</f>
        <v>2023</v>
      </c>
    </row>
    <row r="321" spans="1:12" x14ac:dyDescent="0.3">
      <c r="A321">
        <f t="shared" si="16"/>
        <v>320</v>
      </c>
      <c r="B321" s="1">
        <f t="shared" ca="1" si="17"/>
        <v>45178</v>
      </c>
      <c r="C321" t="s">
        <v>10</v>
      </c>
      <c r="D321" t="str">
        <f t="shared" ca="1" si="18"/>
        <v>Electronics</v>
      </c>
      <c r="E321" t="s">
        <v>43</v>
      </c>
      <c r="F321" s="11">
        <v>18771</v>
      </c>
      <c r="G321">
        <f t="shared" ca="1" si="19"/>
        <v>7</v>
      </c>
      <c r="H321" s="11">
        <f ca="1">IF(Table1[[#This Row],[Category]]="Electronics",Table1[[#This Row],[Sales]]*0.6,
IF(Table1[[#This Row],[Category]]="Furniture",Table1[[#This Row],[Sales]]*0.75,
IF(Table1[[#This Row],[Category]]="Clothing",Table1[[#This Row],[Sales]]*0.65,
Table1[[#This Row],[Sales]]*0.7)))</f>
        <v>11262.6</v>
      </c>
      <c r="I321" s="11">
        <f ca="1">Table1[[#This Row],[Sales]]-H321</f>
        <v>7508.4</v>
      </c>
      <c r="J321" s="2">
        <f ca="1">Table1[[#This Row],[Profit]]/Table1[[#This Row],[Sales]]</f>
        <v>0.39999999999999997</v>
      </c>
      <c r="K321" t="str">
        <f ca="1">TEXT(Table1[[#This Row],[Order_Date]],"mmm")</f>
        <v>Sep</v>
      </c>
      <c r="L321">
        <f ca="1">YEAR(Table1[[#This Row],[Order_Date]])</f>
        <v>2023</v>
      </c>
    </row>
    <row r="322" spans="1:12" x14ac:dyDescent="0.3">
      <c r="A322">
        <f t="shared" si="16"/>
        <v>321</v>
      </c>
      <c r="B322" s="1">
        <f t="shared" ca="1" si="17"/>
        <v>45175</v>
      </c>
      <c r="C322" t="s">
        <v>7</v>
      </c>
      <c r="D322" t="str">
        <f t="shared" ca="1" si="18"/>
        <v>Clothing</v>
      </c>
      <c r="E322" t="s">
        <v>45</v>
      </c>
      <c r="F322" s="11">
        <v>14902</v>
      </c>
      <c r="G322">
        <f t="shared" ca="1" si="19"/>
        <v>1</v>
      </c>
      <c r="H322" s="11">
        <f ca="1">IF(Table1[[#This Row],[Category]]="Electronics",Table1[[#This Row],[Sales]]*0.6,
IF(Table1[[#This Row],[Category]]="Furniture",Table1[[#This Row],[Sales]]*0.75,
IF(Table1[[#This Row],[Category]]="Clothing",Table1[[#This Row],[Sales]]*0.65,
Table1[[#This Row],[Sales]]*0.7)))</f>
        <v>9686.3000000000011</v>
      </c>
      <c r="I322" s="11">
        <f ca="1">Table1[[#This Row],[Sales]]-H322</f>
        <v>5215.6999999999989</v>
      </c>
      <c r="J322" s="2">
        <f ca="1">Table1[[#This Row],[Profit]]/Table1[[#This Row],[Sales]]</f>
        <v>0.34999999999999992</v>
      </c>
      <c r="K322" t="str">
        <f ca="1">TEXT(Table1[[#This Row],[Order_Date]],"mmm")</f>
        <v>Sep</v>
      </c>
      <c r="L322">
        <f ca="1">YEAR(Table1[[#This Row],[Order_Date]])</f>
        <v>2023</v>
      </c>
    </row>
    <row r="323" spans="1:12" x14ac:dyDescent="0.3">
      <c r="A323">
        <f t="shared" ref="A323:A386" si="20">ROW()-1</f>
        <v>322</v>
      </c>
      <c r="B323" s="1">
        <f t="shared" ref="B323:B386" ca="1" si="21">DATE(2023, RANDBETWEEN(1,12), RANDBETWEEN(1,28))</f>
        <v>45047</v>
      </c>
      <c r="C323" t="s">
        <v>8</v>
      </c>
      <c r="D323" t="str">
        <f t="shared" ref="D323:D386" ca="1" si="22">CHOOSE(RANDBETWEEN(1,4),"Electronics","Furniture","Clothing","Office Supplies")</f>
        <v>Furniture</v>
      </c>
      <c r="E323" t="s">
        <v>44</v>
      </c>
      <c r="F323" s="11">
        <v>17596</v>
      </c>
      <c r="G323">
        <f t="shared" ref="G323:G386" ca="1" si="23">RANDBETWEEN(1,10)</f>
        <v>3</v>
      </c>
      <c r="H323" s="11">
        <f ca="1">IF(Table1[[#This Row],[Category]]="Electronics",Table1[[#This Row],[Sales]]*0.6,
IF(Table1[[#This Row],[Category]]="Furniture",Table1[[#This Row],[Sales]]*0.75,
IF(Table1[[#This Row],[Category]]="Clothing",Table1[[#This Row],[Sales]]*0.65,
Table1[[#This Row],[Sales]]*0.7)))</f>
        <v>13197</v>
      </c>
      <c r="I323" s="11">
        <f ca="1">Table1[[#This Row],[Sales]]-H323</f>
        <v>4399</v>
      </c>
      <c r="J323" s="2">
        <f ca="1">Table1[[#This Row],[Profit]]/Table1[[#This Row],[Sales]]</f>
        <v>0.25</v>
      </c>
      <c r="K323" t="str">
        <f ca="1">TEXT(Table1[[#This Row],[Order_Date]],"mmm")</f>
        <v>May</v>
      </c>
      <c r="L323">
        <f ca="1">YEAR(Table1[[#This Row],[Order_Date]])</f>
        <v>2023</v>
      </c>
    </row>
    <row r="324" spans="1:12" x14ac:dyDescent="0.3">
      <c r="A324">
        <f t="shared" si="20"/>
        <v>323</v>
      </c>
      <c r="B324" s="1">
        <f t="shared" ca="1" si="21"/>
        <v>45266</v>
      </c>
      <c r="C324" t="s">
        <v>9</v>
      </c>
      <c r="D324" t="str">
        <f t="shared" ca="1" si="22"/>
        <v>Clothing</v>
      </c>
      <c r="E324" t="s">
        <v>77</v>
      </c>
      <c r="F324" s="11">
        <v>2417</v>
      </c>
      <c r="G324">
        <f t="shared" ca="1" si="23"/>
        <v>10</v>
      </c>
      <c r="H324" s="11">
        <f ca="1">IF(Table1[[#This Row],[Category]]="Electronics",Table1[[#This Row],[Sales]]*0.6,
IF(Table1[[#This Row],[Category]]="Furniture",Table1[[#This Row],[Sales]]*0.75,
IF(Table1[[#This Row],[Category]]="Clothing",Table1[[#This Row],[Sales]]*0.65,
Table1[[#This Row],[Sales]]*0.7)))</f>
        <v>1571.05</v>
      </c>
      <c r="I324" s="11">
        <f ca="1">Table1[[#This Row],[Sales]]-H324</f>
        <v>845.95</v>
      </c>
      <c r="J324" s="2">
        <f ca="1">Table1[[#This Row],[Profit]]/Table1[[#This Row],[Sales]]</f>
        <v>0.35000000000000003</v>
      </c>
      <c r="K324" t="str">
        <f ca="1">TEXT(Table1[[#This Row],[Order_Date]],"mmm")</f>
        <v>Dec</v>
      </c>
      <c r="L324">
        <f ca="1">YEAR(Table1[[#This Row],[Order_Date]])</f>
        <v>2023</v>
      </c>
    </row>
    <row r="325" spans="1:12" x14ac:dyDescent="0.3">
      <c r="A325">
        <f t="shared" si="20"/>
        <v>324</v>
      </c>
      <c r="B325" s="1">
        <f t="shared" ca="1" si="21"/>
        <v>45117</v>
      </c>
      <c r="C325" t="s">
        <v>10</v>
      </c>
      <c r="D325" t="str">
        <f t="shared" ca="1" si="22"/>
        <v>Office Supplies</v>
      </c>
      <c r="E325" t="s">
        <v>40</v>
      </c>
      <c r="F325" s="11">
        <v>1148</v>
      </c>
      <c r="G325">
        <f t="shared" ca="1" si="23"/>
        <v>7</v>
      </c>
      <c r="H325" s="11">
        <f ca="1">IF(Table1[[#This Row],[Category]]="Electronics",Table1[[#This Row],[Sales]]*0.6,
IF(Table1[[#This Row],[Category]]="Furniture",Table1[[#This Row],[Sales]]*0.75,
IF(Table1[[#This Row],[Category]]="Clothing",Table1[[#This Row],[Sales]]*0.65,
Table1[[#This Row],[Sales]]*0.7)))</f>
        <v>803.59999999999991</v>
      </c>
      <c r="I325" s="11">
        <f ca="1">Table1[[#This Row],[Sales]]-H325</f>
        <v>344.40000000000009</v>
      </c>
      <c r="J325" s="2">
        <f ca="1">Table1[[#This Row],[Profit]]/Table1[[#This Row],[Sales]]</f>
        <v>0.3000000000000001</v>
      </c>
      <c r="K325" t="str">
        <f ca="1">TEXT(Table1[[#This Row],[Order_Date]],"mmm")</f>
        <v>Jul</v>
      </c>
      <c r="L325">
        <f ca="1">YEAR(Table1[[#This Row],[Order_Date]])</f>
        <v>2023</v>
      </c>
    </row>
    <row r="326" spans="1:12" x14ac:dyDescent="0.3">
      <c r="A326">
        <f t="shared" si="20"/>
        <v>325</v>
      </c>
      <c r="B326" s="1">
        <f t="shared" ca="1" si="21"/>
        <v>45030</v>
      </c>
      <c r="C326" t="s">
        <v>7</v>
      </c>
      <c r="D326" t="str">
        <f t="shared" ca="1" si="22"/>
        <v>Office Supplies</v>
      </c>
      <c r="E326" t="s">
        <v>62</v>
      </c>
      <c r="F326" s="11">
        <v>8924</v>
      </c>
      <c r="G326">
        <f t="shared" ca="1" si="23"/>
        <v>1</v>
      </c>
      <c r="H326" s="11">
        <f ca="1">IF(Table1[[#This Row],[Category]]="Electronics",Table1[[#This Row],[Sales]]*0.6,
IF(Table1[[#This Row],[Category]]="Furniture",Table1[[#This Row],[Sales]]*0.75,
IF(Table1[[#This Row],[Category]]="Clothing",Table1[[#This Row],[Sales]]*0.65,
Table1[[#This Row],[Sales]]*0.7)))</f>
        <v>6246.7999999999993</v>
      </c>
      <c r="I326" s="11">
        <f ca="1">Table1[[#This Row],[Sales]]-H326</f>
        <v>2677.2000000000007</v>
      </c>
      <c r="J326" s="2">
        <f ca="1">Table1[[#This Row],[Profit]]/Table1[[#This Row],[Sales]]</f>
        <v>0.3000000000000001</v>
      </c>
      <c r="K326" t="str">
        <f ca="1">TEXT(Table1[[#This Row],[Order_Date]],"mmm")</f>
        <v>Apr</v>
      </c>
      <c r="L326">
        <f ca="1">YEAR(Table1[[#This Row],[Order_Date]])</f>
        <v>2023</v>
      </c>
    </row>
    <row r="327" spans="1:12" x14ac:dyDescent="0.3">
      <c r="A327">
        <f t="shared" si="20"/>
        <v>326</v>
      </c>
      <c r="B327" s="1">
        <f t="shared" ca="1" si="21"/>
        <v>45092</v>
      </c>
      <c r="C327" t="s">
        <v>8</v>
      </c>
      <c r="D327" t="str">
        <f t="shared" ca="1" si="22"/>
        <v>Electronics</v>
      </c>
      <c r="E327" t="s">
        <v>57</v>
      </c>
      <c r="F327" s="11">
        <v>2940</v>
      </c>
      <c r="G327">
        <f t="shared" ca="1" si="23"/>
        <v>5</v>
      </c>
      <c r="H327" s="11">
        <f ca="1">IF(Table1[[#This Row],[Category]]="Electronics",Table1[[#This Row],[Sales]]*0.6,
IF(Table1[[#This Row],[Category]]="Furniture",Table1[[#This Row],[Sales]]*0.75,
IF(Table1[[#This Row],[Category]]="Clothing",Table1[[#This Row],[Sales]]*0.65,
Table1[[#This Row],[Sales]]*0.7)))</f>
        <v>1764</v>
      </c>
      <c r="I327" s="11">
        <f ca="1">Table1[[#This Row],[Sales]]-H327</f>
        <v>1176</v>
      </c>
      <c r="J327" s="2">
        <f ca="1">Table1[[#This Row],[Profit]]/Table1[[#This Row],[Sales]]</f>
        <v>0.4</v>
      </c>
      <c r="K327" t="str">
        <f ca="1">TEXT(Table1[[#This Row],[Order_Date]],"mmm")</f>
        <v>Jun</v>
      </c>
      <c r="L327">
        <f ca="1">YEAR(Table1[[#This Row],[Order_Date]])</f>
        <v>2023</v>
      </c>
    </row>
    <row r="328" spans="1:12" x14ac:dyDescent="0.3">
      <c r="A328">
        <f t="shared" si="20"/>
        <v>327</v>
      </c>
      <c r="B328" s="1">
        <f t="shared" ca="1" si="21"/>
        <v>45124</v>
      </c>
      <c r="C328" t="s">
        <v>9</v>
      </c>
      <c r="D328" t="str">
        <f t="shared" ca="1" si="22"/>
        <v>Office Supplies</v>
      </c>
      <c r="E328" t="s">
        <v>63</v>
      </c>
      <c r="F328" s="11">
        <v>10559</v>
      </c>
      <c r="G328">
        <f t="shared" ca="1" si="23"/>
        <v>3</v>
      </c>
      <c r="H328" s="11">
        <f ca="1">IF(Table1[[#This Row],[Category]]="Electronics",Table1[[#This Row],[Sales]]*0.6,
IF(Table1[[#This Row],[Category]]="Furniture",Table1[[#This Row],[Sales]]*0.75,
IF(Table1[[#This Row],[Category]]="Clothing",Table1[[#This Row],[Sales]]*0.65,
Table1[[#This Row],[Sales]]*0.7)))</f>
        <v>7391.2999999999993</v>
      </c>
      <c r="I328" s="11">
        <f ca="1">Table1[[#This Row],[Sales]]-H328</f>
        <v>3167.7000000000007</v>
      </c>
      <c r="J328" s="2">
        <f ca="1">Table1[[#This Row],[Profit]]/Table1[[#This Row],[Sales]]</f>
        <v>0.30000000000000004</v>
      </c>
      <c r="K328" t="str">
        <f ca="1">TEXT(Table1[[#This Row],[Order_Date]],"mmm")</f>
        <v>Jul</v>
      </c>
      <c r="L328">
        <f ca="1">YEAR(Table1[[#This Row],[Order_Date]])</f>
        <v>2023</v>
      </c>
    </row>
    <row r="329" spans="1:12" x14ac:dyDescent="0.3">
      <c r="A329">
        <f t="shared" si="20"/>
        <v>328</v>
      </c>
      <c r="B329" s="1">
        <f t="shared" ca="1" si="21"/>
        <v>45242</v>
      </c>
      <c r="C329" t="s">
        <v>10</v>
      </c>
      <c r="D329" t="str">
        <f t="shared" ca="1" si="22"/>
        <v>Furniture</v>
      </c>
      <c r="E329" t="s">
        <v>37</v>
      </c>
      <c r="F329" s="11">
        <v>10805</v>
      </c>
      <c r="G329">
        <f t="shared" ca="1" si="23"/>
        <v>2</v>
      </c>
      <c r="H329" s="11">
        <f ca="1">IF(Table1[[#This Row],[Category]]="Electronics",Table1[[#This Row],[Sales]]*0.6,
IF(Table1[[#This Row],[Category]]="Furniture",Table1[[#This Row],[Sales]]*0.75,
IF(Table1[[#This Row],[Category]]="Clothing",Table1[[#This Row],[Sales]]*0.65,
Table1[[#This Row],[Sales]]*0.7)))</f>
        <v>8103.75</v>
      </c>
      <c r="I329" s="11">
        <f ca="1">Table1[[#This Row],[Sales]]-H329</f>
        <v>2701.25</v>
      </c>
      <c r="J329" s="2">
        <f ca="1">Table1[[#This Row],[Profit]]/Table1[[#This Row],[Sales]]</f>
        <v>0.25</v>
      </c>
      <c r="K329" t="str">
        <f ca="1">TEXT(Table1[[#This Row],[Order_Date]],"mmm")</f>
        <v>Nov</v>
      </c>
      <c r="L329">
        <f ca="1">YEAR(Table1[[#This Row],[Order_Date]])</f>
        <v>2023</v>
      </c>
    </row>
    <row r="330" spans="1:12" x14ac:dyDescent="0.3">
      <c r="A330">
        <f t="shared" si="20"/>
        <v>329</v>
      </c>
      <c r="B330" s="1">
        <f t="shared" ca="1" si="21"/>
        <v>44973</v>
      </c>
      <c r="C330" t="s">
        <v>7</v>
      </c>
      <c r="D330" t="str">
        <f t="shared" ca="1" si="22"/>
        <v>Electronics</v>
      </c>
      <c r="E330" t="s">
        <v>83</v>
      </c>
      <c r="F330" s="11">
        <v>4618</v>
      </c>
      <c r="G330">
        <f t="shared" ca="1" si="23"/>
        <v>7</v>
      </c>
      <c r="H330" s="11">
        <f ca="1">IF(Table1[[#This Row],[Category]]="Electronics",Table1[[#This Row],[Sales]]*0.6,
IF(Table1[[#This Row],[Category]]="Furniture",Table1[[#This Row],[Sales]]*0.75,
IF(Table1[[#This Row],[Category]]="Clothing",Table1[[#This Row],[Sales]]*0.65,
Table1[[#This Row],[Sales]]*0.7)))</f>
        <v>2770.7999999999997</v>
      </c>
      <c r="I330" s="11">
        <f ca="1">Table1[[#This Row],[Sales]]-H330</f>
        <v>1847.2000000000003</v>
      </c>
      <c r="J330" s="2">
        <f ca="1">Table1[[#This Row],[Profit]]/Table1[[#This Row],[Sales]]</f>
        <v>0.40000000000000008</v>
      </c>
      <c r="K330" t="str">
        <f ca="1">TEXT(Table1[[#This Row],[Order_Date]],"mmm")</f>
        <v>Feb</v>
      </c>
      <c r="L330">
        <f ca="1">YEAR(Table1[[#This Row],[Order_Date]])</f>
        <v>2023</v>
      </c>
    </row>
    <row r="331" spans="1:12" x14ac:dyDescent="0.3">
      <c r="A331">
        <f t="shared" si="20"/>
        <v>330</v>
      </c>
      <c r="B331" s="1">
        <f t="shared" ca="1" si="21"/>
        <v>45057</v>
      </c>
      <c r="C331" t="s">
        <v>8</v>
      </c>
      <c r="D331" t="str">
        <f t="shared" ca="1" si="22"/>
        <v>Furniture</v>
      </c>
      <c r="E331" t="s">
        <v>51</v>
      </c>
      <c r="F331" s="11">
        <v>15664</v>
      </c>
      <c r="G331">
        <f t="shared" ca="1" si="23"/>
        <v>4</v>
      </c>
      <c r="H331" s="11">
        <f ca="1">IF(Table1[[#This Row],[Category]]="Electronics",Table1[[#This Row],[Sales]]*0.6,
IF(Table1[[#This Row],[Category]]="Furniture",Table1[[#This Row],[Sales]]*0.75,
IF(Table1[[#This Row],[Category]]="Clothing",Table1[[#This Row],[Sales]]*0.65,
Table1[[#This Row],[Sales]]*0.7)))</f>
        <v>11748</v>
      </c>
      <c r="I331" s="11">
        <f ca="1">Table1[[#This Row],[Sales]]-H331</f>
        <v>3916</v>
      </c>
      <c r="J331" s="2">
        <f ca="1">Table1[[#This Row],[Profit]]/Table1[[#This Row],[Sales]]</f>
        <v>0.25</v>
      </c>
      <c r="K331" t="str">
        <f ca="1">TEXT(Table1[[#This Row],[Order_Date]],"mmm")</f>
        <v>May</v>
      </c>
      <c r="L331">
        <f ca="1">YEAR(Table1[[#This Row],[Order_Date]])</f>
        <v>2023</v>
      </c>
    </row>
    <row r="332" spans="1:12" x14ac:dyDescent="0.3">
      <c r="A332">
        <f t="shared" si="20"/>
        <v>331</v>
      </c>
      <c r="B332" s="1">
        <f t="shared" ca="1" si="21"/>
        <v>45012</v>
      </c>
      <c r="C332" t="s">
        <v>9</v>
      </c>
      <c r="D332" t="str">
        <f t="shared" ca="1" si="22"/>
        <v>Office Supplies</v>
      </c>
      <c r="E332" t="s">
        <v>38</v>
      </c>
      <c r="F332" s="11">
        <v>17301</v>
      </c>
      <c r="G332">
        <f t="shared" ca="1" si="23"/>
        <v>1</v>
      </c>
      <c r="H332" s="11">
        <f ca="1">IF(Table1[[#This Row],[Category]]="Electronics",Table1[[#This Row],[Sales]]*0.6,
IF(Table1[[#This Row],[Category]]="Furniture",Table1[[#This Row],[Sales]]*0.75,
IF(Table1[[#This Row],[Category]]="Clothing",Table1[[#This Row],[Sales]]*0.65,
Table1[[#This Row],[Sales]]*0.7)))</f>
        <v>12110.699999999999</v>
      </c>
      <c r="I332" s="11">
        <f ca="1">Table1[[#This Row],[Sales]]-H332</f>
        <v>5190.3000000000011</v>
      </c>
      <c r="J332" s="2">
        <f ca="1">Table1[[#This Row],[Profit]]/Table1[[#This Row],[Sales]]</f>
        <v>0.30000000000000004</v>
      </c>
      <c r="K332" t="str">
        <f ca="1">TEXT(Table1[[#This Row],[Order_Date]],"mmm")</f>
        <v>Mar</v>
      </c>
      <c r="L332">
        <f ca="1">YEAR(Table1[[#This Row],[Order_Date]])</f>
        <v>2023</v>
      </c>
    </row>
    <row r="333" spans="1:12" x14ac:dyDescent="0.3">
      <c r="A333">
        <f t="shared" si="20"/>
        <v>332</v>
      </c>
      <c r="B333" s="1">
        <f t="shared" ca="1" si="21"/>
        <v>45158</v>
      </c>
      <c r="C333" t="s">
        <v>10</v>
      </c>
      <c r="D333" t="str">
        <f t="shared" ca="1" si="22"/>
        <v>Clothing</v>
      </c>
      <c r="E333" t="s">
        <v>66</v>
      </c>
      <c r="F333" s="11">
        <v>1044</v>
      </c>
      <c r="G333">
        <f t="shared" ca="1" si="23"/>
        <v>1</v>
      </c>
      <c r="H333" s="11">
        <f ca="1">IF(Table1[[#This Row],[Category]]="Electronics",Table1[[#This Row],[Sales]]*0.6,
IF(Table1[[#This Row],[Category]]="Furniture",Table1[[#This Row],[Sales]]*0.75,
IF(Table1[[#This Row],[Category]]="Clothing",Table1[[#This Row],[Sales]]*0.65,
Table1[[#This Row],[Sales]]*0.7)))</f>
        <v>678.6</v>
      </c>
      <c r="I333" s="11">
        <f ca="1">Table1[[#This Row],[Sales]]-H333</f>
        <v>365.4</v>
      </c>
      <c r="J333" s="2">
        <f ca="1">Table1[[#This Row],[Profit]]/Table1[[#This Row],[Sales]]</f>
        <v>0.35</v>
      </c>
      <c r="K333" t="str">
        <f ca="1">TEXT(Table1[[#This Row],[Order_Date]],"mmm")</f>
        <v>Aug</v>
      </c>
      <c r="L333">
        <f ca="1">YEAR(Table1[[#This Row],[Order_Date]])</f>
        <v>2023</v>
      </c>
    </row>
    <row r="334" spans="1:12" x14ac:dyDescent="0.3">
      <c r="A334">
        <f t="shared" si="20"/>
        <v>333</v>
      </c>
      <c r="B334" s="1">
        <f t="shared" ca="1" si="21"/>
        <v>45069</v>
      </c>
      <c r="C334" t="s">
        <v>7</v>
      </c>
      <c r="D334" t="str">
        <f t="shared" ca="1" si="22"/>
        <v>Furniture</v>
      </c>
      <c r="E334" t="s">
        <v>53</v>
      </c>
      <c r="F334" s="11">
        <v>12704</v>
      </c>
      <c r="G334">
        <f t="shared" ca="1" si="23"/>
        <v>8</v>
      </c>
      <c r="H334" s="11">
        <f ca="1">IF(Table1[[#This Row],[Category]]="Electronics",Table1[[#This Row],[Sales]]*0.6,
IF(Table1[[#This Row],[Category]]="Furniture",Table1[[#This Row],[Sales]]*0.75,
IF(Table1[[#This Row],[Category]]="Clothing",Table1[[#This Row],[Sales]]*0.65,
Table1[[#This Row],[Sales]]*0.7)))</f>
        <v>9528</v>
      </c>
      <c r="I334" s="11">
        <f ca="1">Table1[[#This Row],[Sales]]-H334</f>
        <v>3176</v>
      </c>
      <c r="J334" s="2">
        <f ca="1">Table1[[#This Row],[Profit]]/Table1[[#This Row],[Sales]]</f>
        <v>0.25</v>
      </c>
      <c r="K334" t="str">
        <f ca="1">TEXT(Table1[[#This Row],[Order_Date]],"mmm")</f>
        <v>May</v>
      </c>
      <c r="L334">
        <f ca="1">YEAR(Table1[[#This Row],[Order_Date]])</f>
        <v>2023</v>
      </c>
    </row>
    <row r="335" spans="1:12" x14ac:dyDescent="0.3">
      <c r="A335">
        <f t="shared" si="20"/>
        <v>334</v>
      </c>
      <c r="B335" s="1">
        <f t="shared" ca="1" si="21"/>
        <v>45071</v>
      </c>
      <c r="C335" t="s">
        <v>8</v>
      </c>
      <c r="D335" t="str">
        <f t="shared" ca="1" si="22"/>
        <v>Office Supplies</v>
      </c>
      <c r="E335" t="s">
        <v>40</v>
      </c>
      <c r="F335" s="11">
        <v>6649</v>
      </c>
      <c r="G335">
        <f t="shared" ca="1" si="23"/>
        <v>7</v>
      </c>
      <c r="H335" s="11">
        <f ca="1">IF(Table1[[#This Row],[Category]]="Electronics",Table1[[#This Row],[Sales]]*0.6,
IF(Table1[[#This Row],[Category]]="Furniture",Table1[[#This Row],[Sales]]*0.75,
IF(Table1[[#This Row],[Category]]="Clothing",Table1[[#This Row],[Sales]]*0.65,
Table1[[#This Row],[Sales]]*0.7)))</f>
        <v>4654.2999999999993</v>
      </c>
      <c r="I335" s="11">
        <f ca="1">Table1[[#This Row],[Sales]]-H335</f>
        <v>1994.7000000000007</v>
      </c>
      <c r="J335" s="2">
        <f ca="1">Table1[[#This Row],[Profit]]/Table1[[#This Row],[Sales]]</f>
        <v>0.3000000000000001</v>
      </c>
      <c r="K335" t="str">
        <f ca="1">TEXT(Table1[[#This Row],[Order_Date]],"mmm")</f>
        <v>May</v>
      </c>
      <c r="L335">
        <f ca="1">YEAR(Table1[[#This Row],[Order_Date]])</f>
        <v>2023</v>
      </c>
    </row>
    <row r="336" spans="1:12" x14ac:dyDescent="0.3">
      <c r="A336">
        <f t="shared" si="20"/>
        <v>335</v>
      </c>
      <c r="B336" s="1">
        <f t="shared" ca="1" si="21"/>
        <v>45024</v>
      </c>
      <c r="C336" t="s">
        <v>9</v>
      </c>
      <c r="D336" t="str">
        <f t="shared" ca="1" si="22"/>
        <v>Electronics</v>
      </c>
      <c r="E336" t="s">
        <v>63</v>
      </c>
      <c r="F336" s="11">
        <v>9903</v>
      </c>
      <c r="G336">
        <f t="shared" ca="1" si="23"/>
        <v>10</v>
      </c>
      <c r="H336" s="11">
        <f ca="1">IF(Table1[[#This Row],[Category]]="Electronics",Table1[[#This Row],[Sales]]*0.6,
IF(Table1[[#This Row],[Category]]="Furniture",Table1[[#This Row],[Sales]]*0.75,
IF(Table1[[#This Row],[Category]]="Clothing",Table1[[#This Row],[Sales]]*0.65,
Table1[[#This Row],[Sales]]*0.7)))</f>
        <v>5941.8</v>
      </c>
      <c r="I336" s="11">
        <f ca="1">Table1[[#This Row],[Sales]]-H336</f>
        <v>3961.2</v>
      </c>
      <c r="J336" s="2">
        <f ca="1">Table1[[#This Row],[Profit]]/Table1[[#This Row],[Sales]]</f>
        <v>0.39999999999999997</v>
      </c>
      <c r="K336" t="str">
        <f ca="1">TEXT(Table1[[#This Row],[Order_Date]],"mmm")</f>
        <v>Apr</v>
      </c>
      <c r="L336">
        <f ca="1">YEAR(Table1[[#This Row],[Order_Date]])</f>
        <v>2023</v>
      </c>
    </row>
    <row r="337" spans="1:12" x14ac:dyDescent="0.3">
      <c r="A337">
        <f t="shared" si="20"/>
        <v>336</v>
      </c>
      <c r="B337" s="1">
        <f t="shared" ca="1" si="21"/>
        <v>45084</v>
      </c>
      <c r="C337" t="s">
        <v>10</v>
      </c>
      <c r="D337" t="str">
        <f t="shared" ca="1" si="22"/>
        <v>Office Supplies</v>
      </c>
      <c r="E337" t="s">
        <v>57</v>
      </c>
      <c r="F337" s="11">
        <v>16947</v>
      </c>
      <c r="G337">
        <f t="shared" ca="1" si="23"/>
        <v>6</v>
      </c>
      <c r="H337" s="11">
        <f ca="1">IF(Table1[[#This Row],[Category]]="Electronics",Table1[[#This Row],[Sales]]*0.6,
IF(Table1[[#This Row],[Category]]="Furniture",Table1[[#This Row],[Sales]]*0.75,
IF(Table1[[#This Row],[Category]]="Clothing",Table1[[#This Row],[Sales]]*0.65,
Table1[[#This Row],[Sales]]*0.7)))</f>
        <v>11862.9</v>
      </c>
      <c r="I337" s="11">
        <f ca="1">Table1[[#This Row],[Sales]]-H337</f>
        <v>5084.1000000000004</v>
      </c>
      <c r="J337" s="2">
        <f ca="1">Table1[[#This Row],[Profit]]/Table1[[#This Row],[Sales]]</f>
        <v>0.30000000000000004</v>
      </c>
      <c r="K337" t="str">
        <f ca="1">TEXT(Table1[[#This Row],[Order_Date]],"mmm")</f>
        <v>Jun</v>
      </c>
      <c r="L337">
        <f ca="1">YEAR(Table1[[#This Row],[Order_Date]])</f>
        <v>2023</v>
      </c>
    </row>
    <row r="338" spans="1:12" x14ac:dyDescent="0.3">
      <c r="A338">
        <f t="shared" si="20"/>
        <v>337</v>
      </c>
      <c r="B338" s="1">
        <f t="shared" ca="1" si="21"/>
        <v>44975</v>
      </c>
      <c r="C338" t="s">
        <v>7</v>
      </c>
      <c r="D338" t="str">
        <f t="shared" ca="1" si="22"/>
        <v>Office Supplies</v>
      </c>
      <c r="E338" t="s">
        <v>50</v>
      </c>
      <c r="F338" s="11">
        <v>7195</v>
      </c>
      <c r="G338">
        <f t="shared" ca="1" si="23"/>
        <v>1</v>
      </c>
      <c r="H338" s="11">
        <f ca="1">IF(Table1[[#This Row],[Category]]="Electronics",Table1[[#This Row],[Sales]]*0.6,
IF(Table1[[#This Row],[Category]]="Furniture",Table1[[#This Row],[Sales]]*0.75,
IF(Table1[[#This Row],[Category]]="Clothing",Table1[[#This Row],[Sales]]*0.65,
Table1[[#This Row],[Sales]]*0.7)))</f>
        <v>5036.5</v>
      </c>
      <c r="I338" s="11">
        <f ca="1">Table1[[#This Row],[Sales]]-H338</f>
        <v>2158.5</v>
      </c>
      <c r="J338" s="2">
        <f ca="1">Table1[[#This Row],[Profit]]/Table1[[#This Row],[Sales]]</f>
        <v>0.3</v>
      </c>
      <c r="K338" t="str">
        <f ca="1">TEXT(Table1[[#This Row],[Order_Date]],"mmm")</f>
        <v>Feb</v>
      </c>
      <c r="L338">
        <f ca="1">YEAR(Table1[[#This Row],[Order_Date]])</f>
        <v>2023</v>
      </c>
    </row>
    <row r="339" spans="1:12" x14ac:dyDescent="0.3">
      <c r="A339">
        <f t="shared" si="20"/>
        <v>338</v>
      </c>
      <c r="B339" s="1">
        <f t="shared" ca="1" si="21"/>
        <v>45250</v>
      </c>
      <c r="C339" t="s">
        <v>8</v>
      </c>
      <c r="D339" t="str">
        <f t="shared" ca="1" si="22"/>
        <v>Furniture</v>
      </c>
      <c r="E339" t="s">
        <v>71</v>
      </c>
      <c r="F339" s="11">
        <v>13486</v>
      </c>
      <c r="G339">
        <f t="shared" ca="1" si="23"/>
        <v>7</v>
      </c>
      <c r="H339" s="11">
        <f ca="1">IF(Table1[[#This Row],[Category]]="Electronics",Table1[[#This Row],[Sales]]*0.6,
IF(Table1[[#This Row],[Category]]="Furniture",Table1[[#This Row],[Sales]]*0.75,
IF(Table1[[#This Row],[Category]]="Clothing",Table1[[#This Row],[Sales]]*0.65,
Table1[[#This Row],[Sales]]*0.7)))</f>
        <v>10114.5</v>
      </c>
      <c r="I339" s="11">
        <f ca="1">Table1[[#This Row],[Sales]]-H339</f>
        <v>3371.5</v>
      </c>
      <c r="J339" s="2">
        <f ca="1">Table1[[#This Row],[Profit]]/Table1[[#This Row],[Sales]]</f>
        <v>0.25</v>
      </c>
      <c r="K339" t="str">
        <f ca="1">TEXT(Table1[[#This Row],[Order_Date]],"mmm")</f>
        <v>Nov</v>
      </c>
      <c r="L339">
        <f ca="1">YEAR(Table1[[#This Row],[Order_Date]])</f>
        <v>2023</v>
      </c>
    </row>
    <row r="340" spans="1:12" x14ac:dyDescent="0.3">
      <c r="A340">
        <f t="shared" si="20"/>
        <v>339</v>
      </c>
      <c r="B340" s="1">
        <f t="shared" ca="1" si="21"/>
        <v>45187</v>
      </c>
      <c r="C340" t="s">
        <v>9</v>
      </c>
      <c r="D340" t="str">
        <f t="shared" ca="1" si="22"/>
        <v>Clothing</v>
      </c>
      <c r="E340" t="s">
        <v>41</v>
      </c>
      <c r="F340" s="11">
        <v>11739</v>
      </c>
      <c r="G340">
        <f t="shared" ca="1" si="23"/>
        <v>3</v>
      </c>
      <c r="H340" s="11">
        <f ca="1">IF(Table1[[#This Row],[Category]]="Electronics",Table1[[#This Row],[Sales]]*0.6,
IF(Table1[[#This Row],[Category]]="Furniture",Table1[[#This Row],[Sales]]*0.75,
IF(Table1[[#This Row],[Category]]="Clothing",Table1[[#This Row],[Sales]]*0.65,
Table1[[#This Row],[Sales]]*0.7)))</f>
        <v>7630.35</v>
      </c>
      <c r="I340" s="11">
        <f ca="1">Table1[[#This Row],[Sales]]-H340</f>
        <v>4108.6499999999996</v>
      </c>
      <c r="J340" s="2">
        <f ca="1">Table1[[#This Row],[Profit]]/Table1[[#This Row],[Sales]]</f>
        <v>0.35</v>
      </c>
      <c r="K340" t="str">
        <f ca="1">TEXT(Table1[[#This Row],[Order_Date]],"mmm")</f>
        <v>Sep</v>
      </c>
      <c r="L340">
        <f ca="1">YEAR(Table1[[#This Row],[Order_Date]])</f>
        <v>2023</v>
      </c>
    </row>
    <row r="341" spans="1:12" x14ac:dyDescent="0.3">
      <c r="A341">
        <f t="shared" si="20"/>
        <v>340</v>
      </c>
      <c r="B341" s="1">
        <f t="shared" ca="1" si="21"/>
        <v>45255</v>
      </c>
      <c r="C341" t="s">
        <v>10</v>
      </c>
      <c r="D341" t="str">
        <f t="shared" ca="1" si="22"/>
        <v>Electronics</v>
      </c>
      <c r="E341" t="s">
        <v>59</v>
      </c>
      <c r="F341" s="11">
        <v>11397</v>
      </c>
      <c r="G341">
        <f t="shared" ca="1" si="23"/>
        <v>9</v>
      </c>
      <c r="H341" s="11">
        <f ca="1">IF(Table1[[#This Row],[Category]]="Electronics",Table1[[#This Row],[Sales]]*0.6,
IF(Table1[[#This Row],[Category]]="Furniture",Table1[[#This Row],[Sales]]*0.75,
IF(Table1[[#This Row],[Category]]="Clothing",Table1[[#This Row],[Sales]]*0.65,
Table1[[#This Row],[Sales]]*0.7)))</f>
        <v>6838.2</v>
      </c>
      <c r="I341" s="11">
        <f ca="1">Table1[[#This Row],[Sales]]-H341</f>
        <v>4558.8</v>
      </c>
      <c r="J341" s="2">
        <f ca="1">Table1[[#This Row],[Profit]]/Table1[[#This Row],[Sales]]</f>
        <v>0.4</v>
      </c>
      <c r="K341" t="str">
        <f ca="1">TEXT(Table1[[#This Row],[Order_Date]],"mmm")</f>
        <v>Nov</v>
      </c>
      <c r="L341">
        <f ca="1">YEAR(Table1[[#This Row],[Order_Date]])</f>
        <v>2023</v>
      </c>
    </row>
    <row r="342" spans="1:12" x14ac:dyDescent="0.3">
      <c r="A342">
        <f t="shared" si="20"/>
        <v>341</v>
      </c>
      <c r="B342" s="1">
        <f t="shared" ca="1" si="21"/>
        <v>45268</v>
      </c>
      <c r="C342" t="s">
        <v>7</v>
      </c>
      <c r="D342" t="str">
        <f t="shared" ca="1" si="22"/>
        <v>Clothing</v>
      </c>
      <c r="E342" t="s">
        <v>54</v>
      </c>
      <c r="F342" s="11">
        <v>1537</v>
      </c>
      <c r="G342">
        <f t="shared" ca="1" si="23"/>
        <v>4</v>
      </c>
      <c r="H342" s="11">
        <f ca="1">IF(Table1[[#This Row],[Category]]="Electronics",Table1[[#This Row],[Sales]]*0.6,
IF(Table1[[#This Row],[Category]]="Furniture",Table1[[#This Row],[Sales]]*0.75,
IF(Table1[[#This Row],[Category]]="Clothing",Table1[[#This Row],[Sales]]*0.65,
Table1[[#This Row],[Sales]]*0.7)))</f>
        <v>999.05000000000007</v>
      </c>
      <c r="I342" s="11">
        <f ca="1">Table1[[#This Row],[Sales]]-H342</f>
        <v>537.94999999999993</v>
      </c>
      <c r="J342" s="2">
        <f ca="1">Table1[[#This Row],[Profit]]/Table1[[#This Row],[Sales]]</f>
        <v>0.35</v>
      </c>
      <c r="K342" t="str">
        <f ca="1">TEXT(Table1[[#This Row],[Order_Date]],"mmm")</f>
        <v>Dec</v>
      </c>
      <c r="L342">
        <f ca="1">YEAR(Table1[[#This Row],[Order_Date]])</f>
        <v>2023</v>
      </c>
    </row>
    <row r="343" spans="1:12" x14ac:dyDescent="0.3">
      <c r="A343">
        <f t="shared" si="20"/>
        <v>342</v>
      </c>
      <c r="B343" s="1">
        <f t="shared" ca="1" si="21"/>
        <v>45006</v>
      </c>
      <c r="C343" t="s">
        <v>8</v>
      </c>
      <c r="D343" t="str">
        <f t="shared" ca="1" si="22"/>
        <v>Clothing</v>
      </c>
      <c r="E343" t="s">
        <v>73</v>
      </c>
      <c r="F343" s="11">
        <v>631</v>
      </c>
      <c r="G343">
        <f t="shared" ca="1" si="23"/>
        <v>2</v>
      </c>
      <c r="H343" s="11">
        <f ca="1">IF(Table1[[#This Row],[Category]]="Electronics",Table1[[#This Row],[Sales]]*0.6,
IF(Table1[[#This Row],[Category]]="Furniture",Table1[[#This Row],[Sales]]*0.75,
IF(Table1[[#This Row],[Category]]="Clothing",Table1[[#This Row],[Sales]]*0.65,
Table1[[#This Row],[Sales]]*0.7)))</f>
        <v>410.15000000000003</v>
      </c>
      <c r="I343" s="11">
        <f ca="1">Table1[[#This Row],[Sales]]-H343</f>
        <v>220.84999999999997</v>
      </c>
      <c r="J343" s="2">
        <f ca="1">Table1[[#This Row],[Profit]]/Table1[[#This Row],[Sales]]</f>
        <v>0.34999999999999992</v>
      </c>
      <c r="K343" t="str">
        <f ca="1">TEXT(Table1[[#This Row],[Order_Date]],"mmm")</f>
        <v>Mar</v>
      </c>
      <c r="L343">
        <f ca="1">YEAR(Table1[[#This Row],[Order_Date]])</f>
        <v>2023</v>
      </c>
    </row>
    <row r="344" spans="1:12" x14ac:dyDescent="0.3">
      <c r="A344">
        <f t="shared" si="20"/>
        <v>343</v>
      </c>
      <c r="B344" s="1">
        <f t="shared" ca="1" si="21"/>
        <v>45257</v>
      </c>
      <c r="C344" t="s">
        <v>9</v>
      </c>
      <c r="D344" t="str">
        <f t="shared" ca="1" si="22"/>
        <v>Electronics</v>
      </c>
      <c r="E344" t="s">
        <v>53</v>
      </c>
      <c r="F344" s="11">
        <v>11567</v>
      </c>
      <c r="G344">
        <f t="shared" ca="1" si="23"/>
        <v>3</v>
      </c>
      <c r="H344" s="11">
        <f ca="1">IF(Table1[[#This Row],[Category]]="Electronics",Table1[[#This Row],[Sales]]*0.6,
IF(Table1[[#This Row],[Category]]="Furniture",Table1[[#This Row],[Sales]]*0.75,
IF(Table1[[#This Row],[Category]]="Clothing",Table1[[#This Row],[Sales]]*0.65,
Table1[[#This Row],[Sales]]*0.7)))</f>
        <v>6940.2</v>
      </c>
      <c r="I344" s="11">
        <f ca="1">Table1[[#This Row],[Sales]]-H344</f>
        <v>4626.8</v>
      </c>
      <c r="J344" s="2">
        <f ca="1">Table1[[#This Row],[Profit]]/Table1[[#This Row],[Sales]]</f>
        <v>0.4</v>
      </c>
      <c r="K344" t="str">
        <f ca="1">TEXT(Table1[[#This Row],[Order_Date]],"mmm")</f>
        <v>Nov</v>
      </c>
      <c r="L344">
        <f ca="1">YEAR(Table1[[#This Row],[Order_Date]])</f>
        <v>2023</v>
      </c>
    </row>
    <row r="345" spans="1:12" x14ac:dyDescent="0.3">
      <c r="A345">
        <f t="shared" si="20"/>
        <v>344</v>
      </c>
      <c r="B345" s="1">
        <f t="shared" ca="1" si="21"/>
        <v>44975</v>
      </c>
      <c r="C345" t="s">
        <v>10</v>
      </c>
      <c r="D345" t="str">
        <f t="shared" ca="1" si="22"/>
        <v>Electronics</v>
      </c>
      <c r="E345" t="s">
        <v>59</v>
      </c>
      <c r="F345" s="11">
        <v>15499</v>
      </c>
      <c r="G345">
        <f t="shared" ca="1" si="23"/>
        <v>5</v>
      </c>
      <c r="H345" s="11">
        <f ca="1">IF(Table1[[#This Row],[Category]]="Electronics",Table1[[#This Row],[Sales]]*0.6,
IF(Table1[[#This Row],[Category]]="Furniture",Table1[[#This Row],[Sales]]*0.75,
IF(Table1[[#This Row],[Category]]="Clothing",Table1[[#This Row],[Sales]]*0.65,
Table1[[#This Row],[Sales]]*0.7)))</f>
        <v>9299.4</v>
      </c>
      <c r="I345" s="11">
        <f ca="1">Table1[[#This Row],[Sales]]-H345</f>
        <v>6199.6</v>
      </c>
      <c r="J345" s="2">
        <f ca="1">Table1[[#This Row],[Profit]]/Table1[[#This Row],[Sales]]</f>
        <v>0.4</v>
      </c>
      <c r="K345" t="str">
        <f ca="1">TEXT(Table1[[#This Row],[Order_Date]],"mmm")</f>
        <v>Feb</v>
      </c>
      <c r="L345">
        <f ca="1">YEAR(Table1[[#This Row],[Order_Date]])</f>
        <v>2023</v>
      </c>
    </row>
    <row r="346" spans="1:12" x14ac:dyDescent="0.3">
      <c r="A346">
        <f t="shared" si="20"/>
        <v>345</v>
      </c>
      <c r="B346" s="1">
        <f t="shared" ca="1" si="21"/>
        <v>44927</v>
      </c>
      <c r="C346" t="s">
        <v>7</v>
      </c>
      <c r="D346" t="str">
        <f t="shared" ca="1" si="22"/>
        <v>Furniture</v>
      </c>
      <c r="E346" t="s">
        <v>52</v>
      </c>
      <c r="F346" s="11">
        <v>14483</v>
      </c>
      <c r="G346">
        <f t="shared" ca="1" si="23"/>
        <v>8</v>
      </c>
      <c r="H346" s="11">
        <f ca="1">IF(Table1[[#This Row],[Category]]="Electronics",Table1[[#This Row],[Sales]]*0.6,
IF(Table1[[#This Row],[Category]]="Furniture",Table1[[#This Row],[Sales]]*0.75,
IF(Table1[[#This Row],[Category]]="Clothing",Table1[[#This Row],[Sales]]*0.65,
Table1[[#This Row],[Sales]]*0.7)))</f>
        <v>10862.25</v>
      </c>
      <c r="I346" s="11">
        <f ca="1">Table1[[#This Row],[Sales]]-H346</f>
        <v>3620.75</v>
      </c>
      <c r="J346" s="2">
        <f ca="1">Table1[[#This Row],[Profit]]/Table1[[#This Row],[Sales]]</f>
        <v>0.25</v>
      </c>
      <c r="K346" t="str">
        <f ca="1">TEXT(Table1[[#This Row],[Order_Date]],"mmm")</f>
        <v>Jan</v>
      </c>
      <c r="L346">
        <f ca="1">YEAR(Table1[[#This Row],[Order_Date]])</f>
        <v>2023</v>
      </c>
    </row>
    <row r="347" spans="1:12" x14ac:dyDescent="0.3">
      <c r="A347">
        <f t="shared" si="20"/>
        <v>346</v>
      </c>
      <c r="B347" s="1">
        <f t="shared" ca="1" si="21"/>
        <v>45277</v>
      </c>
      <c r="C347" t="s">
        <v>8</v>
      </c>
      <c r="D347" t="str">
        <f t="shared" ca="1" si="22"/>
        <v>Office Supplies</v>
      </c>
      <c r="E347" t="s">
        <v>71</v>
      </c>
      <c r="F347" s="11">
        <v>8038</v>
      </c>
      <c r="G347">
        <f t="shared" ca="1" si="23"/>
        <v>4</v>
      </c>
      <c r="H347" s="11">
        <f ca="1">IF(Table1[[#This Row],[Category]]="Electronics",Table1[[#This Row],[Sales]]*0.6,
IF(Table1[[#This Row],[Category]]="Furniture",Table1[[#This Row],[Sales]]*0.75,
IF(Table1[[#This Row],[Category]]="Clothing",Table1[[#This Row],[Sales]]*0.65,
Table1[[#This Row],[Sales]]*0.7)))</f>
        <v>5626.5999999999995</v>
      </c>
      <c r="I347" s="11">
        <f ca="1">Table1[[#This Row],[Sales]]-H347</f>
        <v>2411.4000000000005</v>
      </c>
      <c r="J347" s="2">
        <f ca="1">Table1[[#This Row],[Profit]]/Table1[[#This Row],[Sales]]</f>
        <v>0.30000000000000004</v>
      </c>
      <c r="K347" t="str">
        <f ca="1">TEXT(Table1[[#This Row],[Order_Date]],"mmm")</f>
        <v>Dec</v>
      </c>
      <c r="L347">
        <f ca="1">YEAR(Table1[[#This Row],[Order_Date]])</f>
        <v>2023</v>
      </c>
    </row>
    <row r="348" spans="1:12" x14ac:dyDescent="0.3">
      <c r="A348">
        <f t="shared" si="20"/>
        <v>347</v>
      </c>
      <c r="B348" s="1">
        <f t="shared" ca="1" si="21"/>
        <v>45231</v>
      </c>
      <c r="C348" t="s">
        <v>9</v>
      </c>
      <c r="D348" t="str">
        <f t="shared" ca="1" si="22"/>
        <v>Clothing</v>
      </c>
      <c r="E348" t="s">
        <v>61</v>
      </c>
      <c r="F348" s="11">
        <v>12471</v>
      </c>
      <c r="G348">
        <f t="shared" ca="1" si="23"/>
        <v>9</v>
      </c>
      <c r="H348" s="11">
        <f ca="1">IF(Table1[[#This Row],[Category]]="Electronics",Table1[[#This Row],[Sales]]*0.6,
IF(Table1[[#This Row],[Category]]="Furniture",Table1[[#This Row],[Sales]]*0.75,
IF(Table1[[#This Row],[Category]]="Clothing",Table1[[#This Row],[Sales]]*0.65,
Table1[[#This Row],[Sales]]*0.7)))</f>
        <v>8106.1500000000005</v>
      </c>
      <c r="I348" s="11">
        <f ca="1">Table1[[#This Row],[Sales]]-H348</f>
        <v>4364.8499999999995</v>
      </c>
      <c r="J348" s="2">
        <f ca="1">Table1[[#This Row],[Profit]]/Table1[[#This Row],[Sales]]</f>
        <v>0.35</v>
      </c>
      <c r="K348" t="str">
        <f ca="1">TEXT(Table1[[#This Row],[Order_Date]],"mmm")</f>
        <v>Nov</v>
      </c>
      <c r="L348">
        <f ca="1">YEAR(Table1[[#This Row],[Order_Date]])</f>
        <v>2023</v>
      </c>
    </row>
    <row r="349" spans="1:12" x14ac:dyDescent="0.3">
      <c r="A349">
        <f t="shared" si="20"/>
        <v>348</v>
      </c>
      <c r="B349" s="1">
        <f t="shared" ca="1" si="21"/>
        <v>45248</v>
      </c>
      <c r="C349" t="s">
        <v>10</v>
      </c>
      <c r="D349" t="str">
        <f t="shared" ca="1" si="22"/>
        <v>Furniture</v>
      </c>
      <c r="E349" t="s">
        <v>36</v>
      </c>
      <c r="F349" s="11">
        <v>4227</v>
      </c>
      <c r="G349">
        <f t="shared" ca="1" si="23"/>
        <v>1</v>
      </c>
      <c r="H349" s="11">
        <f ca="1">IF(Table1[[#This Row],[Category]]="Electronics",Table1[[#This Row],[Sales]]*0.6,
IF(Table1[[#This Row],[Category]]="Furniture",Table1[[#This Row],[Sales]]*0.75,
IF(Table1[[#This Row],[Category]]="Clothing",Table1[[#This Row],[Sales]]*0.65,
Table1[[#This Row],[Sales]]*0.7)))</f>
        <v>3170.25</v>
      </c>
      <c r="I349" s="11">
        <f ca="1">Table1[[#This Row],[Sales]]-H349</f>
        <v>1056.75</v>
      </c>
      <c r="J349" s="2">
        <f ca="1">Table1[[#This Row],[Profit]]/Table1[[#This Row],[Sales]]</f>
        <v>0.25</v>
      </c>
      <c r="K349" t="str">
        <f ca="1">TEXT(Table1[[#This Row],[Order_Date]],"mmm")</f>
        <v>Nov</v>
      </c>
      <c r="L349">
        <f ca="1">YEAR(Table1[[#This Row],[Order_Date]])</f>
        <v>2023</v>
      </c>
    </row>
    <row r="350" spans="1:12" x14ac:dyDescent="0.3">
      <c r="A350">
        <f t="shared" si="20"/>
        <v>349</v>
      </c>
      <c r="B350" s="1">
        <f t="shared" ca="1" si="21"/>
        <v>45218</v>
      </c>
      <c r="C350" t="s">
        <v>7</v>
      </c>
      <c r="D350" t="str">
        <f t="shared" ca="1" si="22"/>
        <v>Office Supplies</v>
      </c>
      <c r="E350" t="s">
        <v>78</v>
      </c>
      <c r="F350" s="11">
        <v>7344</v>
      </c>
      <c r="G350">
        <f t="shared" ca="1" si="23"/>
        <v>5</v>
      </c>
      <c r="H350" s="11">
        <f ca="1">IF(Table1[[#This Row],[Category]]="Electronics",Table1[[#This Row],[Sales]]*0.6,
IF(Table1[[#This Row],[Category]]="Furniture",Table1[[#This Row],[Sales]]*0.75,
IF(Table1[[#This Row],[Category]]="Clothing",Table1[[#This Row],[Sales]]*0.65,
Table1[[#This Row],[Sales]]*0.7)))</f>
        <v>5140.7999999999993</v>
      </c>
      <c r="I350" s="11">
        <f ca="1">Table1[[#This Row],[Sales]]-H350</f>
        <v>2203.2000000000007</v>
      </c>
      <c r="J350" s="2">
        <f ca="1">Table1[[#This Row],[Profit]]/Table1[[#This Row],[Sales]]</f>
        <v>0.3000000000000001</v>
      </c>
      <c r="K350" t="str">
        <f ca="1">TEXT(Table1[[#This Row],[Order_Date]],"mmm")</f>
        <v>Oct</v>
      </c>
      <c r="L350">
        <f ca="1">YEAR(Table1[[#This Row],[Order_Date]])</f>
        <v>2023</v>
      </c>
    </row>
    <row r="351" spans="1:12" x14ac:dyDescent="0.3">
      <c r="A351">
        <f t="shared" si="20"/>
        <v>350</v>
      </c>
      <c r="B351" s="1">
        <f t="shared" ca="1" si="21"/>
        <v>45039</v>
      </c>
      <c r="C351" t="s">
        <v>8</v>
      </c>
      <c r="D351" t="str">
        <f t="shared" ca="1" si="22"/>
        <v>Furniture</v>
      </c>
      <c r="E351" t="s">
        <v>60</v>
      </c>
      <c r="F351" s="11">
        <v>8581</v>
      </c>
      <c r="G351">
        <f t="shared" ca="1" si="23"/>
        <v>2</v>
      </c>
      <c r="H351" s="11">
        <f ca="1">IF(Table1[[#This Row],[Category]]="Electronics",Table1[[#This Row],[Sales]]*0.6,
IF(Table1[[#This Row],[Category]]="Furniture",Table1[[#This Row],[Sales]]*0.75,
IF(Table1[[#This Row],[Category]]="Clothing",Table1[[#This Row],[Sales]]*0.65,
Table1[[#This Row],[Sales]]*0.7)))</f>
        <v>6435.75</v>
      </c>
      <c r="I351" s="11">
        <f ca="1">Table1[[#This Row],[Sales]]-H351</f>
        <v>2145.25</v>
      </c>
      <c r="J351" s="2">
        <f ca="1">Table1[[#This Row],[Profit]]/Table1[[#This Row],[Sales]]</f>
        <v>0.25</v>
      </c>
      <c r="K351" t="str">
        <f ca="1">TEXT(Table1[[#This Row],[Order_Date]],"mmm")</f>
        <v>Apr</v>
      </c>
      <c r="L351">
        <f ca="1">YEAR(Table1[[#This Row],[Order_Date]])</f>
        <v>2023</v>
      </c>
    </row>
    <row r="352" spans="1:12" x14ac:dyDescent="0.3">
      <c r="A352">
        <f t="shared" si="20"/>
        <v>351</v>
      </c>
      <c r="B352" s="1">
        <f t="shared" ca="1" si="21"/>
        <v>45145</v>
      </c>
      <c r="C352" t="s">
        <v>9</v>
      </c>
      <c r="D352" t="str">
        <f t="shared" ca="1" si="22"/>
        <v>Electronics</v>
      </c>
      <c r="E352" t="s">
        <v>65</v>
      </c>
      <c r="F352" s="11">
        <v>2476</v>
      </c>
      <c r="G352">
        <f t="shared" ca="1" si="23"/>
        <v>4</v>
      </c>
      <c r="H352" s="11">
        <f ca="1">IF(Table1[[#This Row],[Category]]="Electronics",Table1[[#This Row],[Sales]]*0.6,
IF(Table1[[#This Row],[Category]]="Furniture",Table1[[#This Row],[Sales]]*0.75,
IF(Table1[[#This Row],[Category]]="Clothing",Table1[[#This Row],[Sales]]*0.65,
Table1[[#This Row],[Sales]]*0.7)))</f>
        <v>1485.6</v>
      </c>
      <c r="I352" s="11">
        <f ca="1">Table1[[#This Row],[Sales]]-H352</f>
        <v>990.40000000000009</v>
      </c>
      <c r="J352" s="2">
        <f ca="1">Table1[[#This Row],[Profit]]/Table1[[#This Row],[Sales]]</f>
        <v>0.4</v>
      </c>
      <c r="K352" t="str">
        <f ca="1">TEXT(Table1[[#This Row],[Order_Date]],"mmm")</f>
        <v>Aug</v>
      </c>
      <c r="L352">
        <f ca="1">YEAR(Table1[[#This Row],[Order_Date]])</f>
        <v>2023</v>
      </c>
    </row>
    <row r="353" spans="1:12" x14ac:dyDescent="0.3">
      <c r="A353">
        <f t="shared" si="20"/>
        <v>352</v>
      </c>
      <c r="B353" s="1">
        <f t="shared" ca="1" si="21"/>
        <v>45180</v>
      </c>
      <c r="C353" t="s">
        <v>10</v>
      </c>
      <c r="D353" t="str">
        <f t="shared" ca="1" si="22"/>
        <v>Clothing</v>
      </c>
      <c r="E353" t="s">
        <v>43</v>
      </c>
      <c r="F353" s="11">
        <v>4104</v>
      </c>
      <c r="G353">
        <f t="shared" ca="1" si="23"/>
        <v>6</v>
      </c>
      <c r="H353" s="11">
        <f ca="1">IF(Table1[[#This Row],[Category]]="Electronics",Table1[[#This Row],[Sales]]*0.6,
IF(Table1[[#This Row],[Category]]="Furniture",Table1[[#This Row],[Sales]]*0.75,
IF(Table1[[#This Row],[Category]]="Clothing",Table1[[#This Row],[Sales]]*0.65,
Table1[[#This Row],[Sales]]*0.7)))</f>
        <v>2667.6</v>
      </c>
      <c r="I353" s="11">
        <f ca="1">Table1[[#This Row],[Sales]]-H353</f>
        <v>1436.4</v>
      </c>
      <c r="J353" s="2">
        <f ca="1">Table1[[#This Row],[Profit]]/Table1[[#This Row],[Sales]]</f>
        <v>0.35000000000000003</v>
      </c>
      <c r="K353" t="str">
        <f ca="1">TEXT(Table1[[#This Row],[Order_Date]],"mmm")</f>
        <v>Sep</v>
      </c>
      <c r="L353">
        <f ca="1">YEAR(Table1[[#This Row],[Order_Date]])</f>
        <v>2023</v>
      </c>
    </row>
    <row r="354" spans="1:12" x14ac:dyDescent="0.3">
      <c r="A354">
        <f t="shared" si="20"/>
        <v>353</v>
      </c>
      <c r="B354" s="1">
        <f t="shared" ca="1" si="21"/>
        <v>45254</v>
      </c>
      <c r="C354" t="s">
        <v>7</v>
      </c>
      <c r="D354" t="str">
        <f t="shared" ca="1" si="22"/>
        <v>Clothing</v>
      </c>
      <c r="E354" t="s">
        <v>48</v>
      </c>
      <c r="F354" s="11">
        <v>10054</v>
      </c>
      <c r="G354">
        <f t="shared" ca="1" si="23"/>
        <v>6</v>
      </c>
      <c r="H354" s="11">
        <f ca="1">IF(Table1[[#This Row],[Category]]="Electronics",Table1[[#This Row],[Sales]]*0.6,
IF(Table1[[#This Row],[Category]]="Furniture",Table1[[#This Row],[Sales]]*0.75,
IF(Table1[[#This Row],[Category]]="Clothing",Table1[[#This Row],[Sales]]*0.65,
Table1[[#This Row],[Sales]]*0.7)))</f>
        <v>6535.1</v>
      </c>
      <c r="I354" s="11">
        <f ca="1">Table1[[#This Row],[Sales]]-H354</f>
        <v>3518.8999999999996</v>
      </c>
      <c r="J354" s="2">
        <f ca="1">Table1[[#This Row],[Profit]]/Table1[[#This Row],[Sales]]</f>
        <v>0.35</v>
      </c>
      <c r="K354" t="str">
        <f ca="1">TEXT(Table1[[#This Row],[Order_Date]],"mmm")</f>
        <v>Nov</v>
      </c>
      <c r="L354">
        <f ca="1">YEAR(Table1[[#This Row],[Order_Date]])</f>
        <v>2023</v>
      </c>
    </row>
    <row r="355" spans="1:12" x14ac:dyDescent="0.3">
      <c r="A355">
        <f t="shared" si="20"/>
        <v>354</v>
      </c>
      <c r="B355" s="1">
        <f t="shared" ca="1" si="21"/>
        <v>44928</v>
      </c>
      <c r="C355" t="s">
        <v>8</v>
      </c>
      <c r="D355" t="str">
        <f t="shared" ca="1" si="22"/>
        <v>Furniture</v>
      </c>
      <c r="E355" t="s">
        <v>57</v>
      </c>
      <c r="F355" s="11">
        <v>7760</v>
      </c>
      <c r="G355">
        <f t="shared" ca="1" si="23"/>
        <v>8</v>
      </c>
      <c r="H355" s="11">
        <f ca="1">IF(Table1[[#This Row],[Category]]="Electronics",Table1[[#This Row],[Sales]]*0.6,
IF(Table1[[#This Row],[Category]]="Furniture",Table1[[#This Row],[Sales]]*0.75,
IF(Table1[[#This Row],[Category]]="Clothing",Table1[[#This Row],[Sales]]*0.65,
Table1[[#This Row],[Sales]]*0.7)))</f>
        <v>5820</v>
      </c>
      <c r="I355" s="11">
        <f ca="1">Table1[[#This Row],[Sales]]-H355</f>
        <v>1940</v>
      </c>
      <c r="J355" s="2">
        <f ca="1">Table1[[#This Row],[Profit]]/Table1[[#This Row],[Sales]]</f>
        <v>0.25</v>
      </c>
      <c r="K355" t="str">
        <f ca="1">TEXT(Table1[[#This Row],[Order_Date]],"mmm")</f>
        <v>Jan</v>
      </c>
      <c r="L355">
        <f ca="1">YEAR(Table1[[#This Row],[Order_Date]])</f>
        <v>2023</v>
      </c>
    </row>
    <row r="356" spans="1:12" x14ac:dyDescent="0.3">
      <c r="A356">
        <f t="shared" si="20"/>
        <v>355</v>
      </c>
      <c r="B356" s="1">
        <f t="shared" ca="1" si="21"/>
        <v>45026</v>
      </c>
      <c r="C356" t="s">
        <v>9</v>
      </c>
      <c r="D356" t="str">
        <f t="shared" ca="1" si="22"/>
        <v>Clothing</v>
      </c>
      <c r="E356" t="s">
        <v>36</v>
      </c>
      <c r="F356" s="11">
        <v>4531</v>
      </c>
      <c r="G356">
        <f t="shared" ca="1" si="23"/>
        <v>10</v>
      </c>
      <c r="H356" s="11">
        <f ca="1">IF(Table1[[#This Row],[Category]]="Electronics",Table1[[#This Row],[Sales]]*0.6,
IF(Table1[[#This Row],[Category]]="Furniture",Table1[[#This Row],[Sales]]*0.75,
IF(Table1[[#This Row],[Category]]="Clothing",Table1[[#This Row],[Sales]]*0.65,
Table1[[#This Row],[Sales]]*0.7)))</f>
        <v>2945.15</v>
      </c>
      <c r="I356" s="11">
        <f ca="1">Table1[[#This Row],[Sales]]-H356</f>
        <v>1585.85</v>
      </c>
      <c r="J356" s="2">
        <f ca="1">Table1[[#This Row],[Profit]]/Table1[[#This Row],[Sales]]</f>
        <v>0.35</v>
      </c>
      <c r="K356" t="str">
        <f ca="1">TEXT(Table1[[#This Row],[Order_Date]],"mmm")</f>
        <v>Apr</v>
      </c>
      <c r="L356">
        <f ca="1">YEAR(Table1[[#This Row],[Order_Date]])</f>
        <v>2023</v>
      </c>
    </row>
    <row r="357" spans="1:12" x14ac:dyDescent="0.3">
      <c r="A357">
        <f t="shared" si="20"/>
        <v>356</v>
      </c>
      <c r="B357" s="1">
        <f t="shared" ca="1" si="21"/>
        <v>45124</v>
      </c>
      <c r="C357" t="s">
        <v>10</v>
      </c>
      <c r="D357" t="str">
        <f t="shared" ca="1" si="22"/>
        <v>Electronics</v>
      </c>
      <c r="E357" t="s">
        <v>73</v>
      </c>
      <c r="F357" s="11">
        <v>5910</v>
      </c>
      <c r="G357">
        <f t="shared" ca="1" si="23"/>
        <v>3</v>
      </c>
      <c r="H357" s="11">
        <f ca="1">IF(Table1[[#This Row],[Category]]="Electronics",Table1[[#This Row],[Sales]]*0.6,
IF(Table1[[#This Row],[Category]]="Furniture",Table1[[#This Row],[Sales]]*0.75,
IF(Table1[[#This Row],[Category]]="Clothing",Table1[[#This Row],[Sales]]*0.65,
Table1[[#This Row],[Sales]]*0.7)))</f>
        <v>3546</v>
      </c>
      <c r="I357" s="11">
        <f ca="1">Table1[[#This Row],[Sales]]-H357</f>
        <v>2364</v>
      </c>
      <c r="J357" s="2">
        <f ca="1">Table1[[#This Row],[Profit]]/Table1[[#This Row],[Sales]]</f>
        <v>0.4</v>
      </c>
      <c r="K357" t="str">
        <f ca="1">TEXT(Table1[[#This Row],[Order_Date]],"mmm")</f>
        <v>Jul</v>
      </c>
      <c r="L357">
        <f ca="1">YEAR(Table1[[#This Row],[Order_Date]])</f>
        <v>2023</v>
      </c>
    </row>
    <row r="358" spans="1:12" x14ac:dyDescent="0.3">
      <c r="A358">
        <f t="shared" si="20"/>
        <v>357</v>
      </c>
      <c r="B358" s="1">
        <f t="shared" ca="1" si="21"/>
        <v>45059</v>
      </c>
      <c r="C358" t="s">
        <v>7</v>
      </c>
      <c r="D358" t="str">
        <f t="shared" ca="1" si="22"/>
        <v>Clothing</v>
      </c>
      <c r="E358" t="s">
        <v>78</v>
      </c>
      <c r="F358" s="11">
        <v>9602</v>
      </c>
      <c r="G358">
        <f t="shared" ca="1" si="23"/>
        <v>9</v>
      </c>
      <c r="H358" s="11">
        <f ca="1">IF(Table1[[#This Row],[Category]]="Electronics",Table1[[#This Row],[Sales]]*0.6,
IF(Table1[[#This Row],[Category]]="Furniture",Table1[[#This Row],[Sales]]*0.75,
IF(Table1[[#This Row],[Category]]="Clothing",Table1[[#This Row],[Sales]]*0.65,
Table1[[#This Row],[Sales]]*0.7)))</f>
        <v>6241.3</v>
      </c>
      <c r="I358" s="11">
        <f ca="1">Table1[[#This Row],[Sales]]-H358</f>
        <v>3360.7</v>
      </c>
      <c r="J358" s="2">
        <f ca="1">Table1[[#This Row],[Profit]]/Table1[[#This Row],[Sales]]</f>
        <v>0.35</v>
      </c>
      <c r="K358" t="str">
        <f ca="1">TEXT(Table1[[#This Row],[Order_Date]],"mmm")</f>
        <v>May</v>
      </c>
      <c r="L358">
        <f ca="1">YEAR(Table1[[#This Row],[Order_Date]])</f>
        <v>2023</v>
      </c>
    </row>
    <row r="359" spans="1:12" x14ac:dyDescent="0.3">
      <c r="A359">
        <f t="shared" si="20"/>
        <v>358</v>
      </c>
      <c r="B359" s="1">
        <f t="shared" ca="1" si="21"/>
        <v>45209</v>
      </c>
      <c r="C359" t="s">
        <v>8</v>
      </c>
      <c r="D359" t="str">
        <f t="shared" ca="1" si="22"/>
        <v>Office Supplies</v>
      </c>
      <c r="E359" t="s">
        <v>62</v>
      </c>
      <c r="F359" s="11">
        <v>10840</v>
      </c>
      <c r="G359">
        <f t="shared" ca="1" si="23"/>
        <v>1</v>
      </c>
      <c r="H359" s="11">
        <f ca="1">IF(Table1[[#This Row],[Category]]="Electronics",Table1[[#This Row],[Sales]]*0.6,
IF(Table1[[#This Row],[Category]]="Furniture",Table1[[#This Row],[Sales]]*0.75,
IF(Table1[[#This Row],[Category]]="Clothing",Table1[[#This Row],[Sales]]*0.65,
Table1[[#This Row],[Sales]]*0.7)))</f>
        <v>7587.9999999999991</v>
      </c>
      <c r="I359" s="11">
        <f ca="1">Table1[[#This Row],[Sales]]-H359</f>
        <v>3252.0000000000009</v>
      </c>
      <c r="J359" s="2">
        <f ca="1">Table1[[#This Row],[Profit]]/Table1[[#This Row],[Sales]]</f>
        <v>0.3000000000000001</v>
      </c>
      <c r="K359" t="str">
        <f ca="1">TEXT(Table1[[#This Row],[Order_Date]],"mmm")</f>
        <v>Oct</v>
      </c>
      <c r="L359">
        <f ca="1">YEAR(Table1[[#This Row],[Order_Date]])</f>
        <v>2023</v>
      </c>
    </row>
    <row r="360" spans="1:12" x14ac:dyDescent="0.3">
      <c r="A360">
        <f t="shared" si="20"/>
        <v>359</v>
      </c>
      <c r="B360" s="1">
        <f t="shared" ca="1" si="21"/>
        <v>45280</v>
      </c>
      <c r="C360" t="s">
        <v>9</v>
      </c>
      <c r="D360" t="str">
        <f t="shared" ca="1" si="22"/>
        <v>Electronics</v>
      </c>
      <c r="E360" t="s">
        <v>70</v>
      </c>
      <c r="F360" s="11">
        <v>14579</v>
      </c>
      <c r="G360">
        <f t="shared" ca="1" si="23"/>
        <v>4</v>
      </c>
      <c r="H360" s="11">
        <f ca="1">IF(Table1[[#This Row],[Category]]="Electronics",Table1[[#This Row],[Sales]]*0.6,
IF(Table1[[#This Row],[Category]]="Furniture",Table1[[#This Row],[Sales]]*0.75,
IF(Table1[[#This Row],[Category]]="Clothing",Table1[[#This Row],[Sales]]*0.65,
Table1[[#This Row],[Sales]]*0.7)))</f>
        <v>8747.4</v>
      </c>
      <c r="I360" s="11">
        <f ca="1">Table1[[#This Row],[Sales]]-H360</f>
        <v>5831.6</v>
      </c>
      <c r="J360" s="2">
        <f ca="1">Table1[[#This Row],[Profit]]/Table1[[#This Row],[Sales]]</f>
        <v>0.4</v>
      </c>
      <c r="K360" t="str">
        <f ca="1">TEXT(Table1[[#This Row],[Order_Date]],"mmm")</f>
        <v>Dec</v>
      </c>
      <c r="L360">
        <f ca="1">YEAR(Table1[[#This Row],[Order_Date]])</f>
        <v>2023</v>
      </c>
    </row>
    <row r="361" spans="1:12" x14ac:dyDescent="0.3">
      <c r="A361">
        <f t="shared" si="20"/>
        <v>360</v>
      </c>
      <c r="B361" s="1">
        <f t="shared" ca="1" si="21"/>
        <v>45181</v>
      </c>
      <c r="C361" t="s">
        <v>10</v>
      </c>
      <c r="D361" t="str">
        <f t="shared" ca="1" si="22"/>
        <v>Clothing</v>
      </c>
      <c r="E361" t="s">
        <v>74</v>
      </c>
      <c r="F361" s="11">
        <v>7153</v>
      </c>
      <c r="G361">
        <f t="shared" ca="1" si="23"/>
        <v>4</v>
      </c>
      <c r="H361" s="11">
        <f ca="1">IF(Table1[[#This Row],[Category]]="Electronics",Table1[[#This Row],[Sales]]*0.6,
IF(Table1[[#This Row],[Category]]="Furniture",Table1[[#This Row],[Sales]]*0.75,
IF(Table1[[#This Row],[Category]]="Clothing",Table1[[#This Row],[Sales]]*0.65,
Table1[[#This Row],[Sales]]*0.7)))</f>
        <v>4649.45</v>
      </c>
      <c r="I361" s="11">
        <f ca="1">Table1[[#This Row],[Sales]]-H361</f>
        <v>2503.5500000000002</v>
      </c>
      <c r="J361" s="2">
        <f ca="1">Table1[[#This Row],[Profit]]/Table1[[#This Row],[Sales]]</f>
        <v>0.35000000000000003</v>
      </c>
      <c r="K361" t="str">
        <f ca="1">TEXT(Table1[[#This Row],[Order_Date]],"mmm")</f>
        <v>Sep</v>
      </c>
      <c r="L361">
        <f ca="1">YEAR(Table1[[#This Row],[Order_Date]])</f>
        <v>2023</v>
      </c>
    </row>
    <row r="362" spans="1:12" x14ac:dyDescent="0.3">
      <c r="A362">
        <f t="shared" si="20"/>
        <v>361</v>
      </c>
      <c r="B362" s="1">
        <f t="shared" ca="1" si="21"/>
        <v>45227</v>
      </c>
      <c r="C362" t="s">
        <v>7</v>
      </c>
      <c r="D362" t="str">
        <f t="shared" ca="1" si="22"/>
        <v>Clothing</v>
      </c>
      <c r="E362" t="s">
        <v>66</v>
      </c>
      <c r="F362" s="11">
        <v>13818</v>
      </c>
      <c r="G362">
        <f t="shared" ca="1" si="23"/>
        <v>5</v>
      </c>
      <c r="H362" s="11">
        <f ca="1">IF(Table1[[#This Row],[Category]]="Electronics",Table1[[#This Row],[Sales]]*0.6,
IF(Table1[[#This Row],[Category]]="Furniture",Table1[[#This Row],[Sales]]*0.75,
IF(Table1[[#This Row],[Category]]="Clothing",Table1[[#This Row],[Sales]]*0.65,
Table1[[#This Row],[Sales]]*0.7)))</f>
        <v>8981.7000000000007</v>
      </c>
      <c r="I362" s="11">
        <f ca="1">Table1[[#This Row],[Sales]]-H362</f>
        <v>4836.2999999999993</v>
      </c>
      <c r="J362" s="2">
        <f ca="1">Table1[[#This Row],[Profit]]/Table1[[#This Row],[Sales]]</f>
        <v>0.34999999999999992</v>
      </c>
      <c r="K362" t="str">
        <f ca="1">TEXT(Table1[[#This Row],[Order_Date]],"mmm")</f>
        <v>Oct</v>
      </c>
      <c r="L362">
        <f ca="1">YEAR(Table1[[#This Row],[Order_Date]])</f>
        <v>2023</v>
      </c>
    </row>
    <row r="363" spans="1:12" x14ac:dyDescent="0.3">
      <c r="A363">
        <f t="shared" si="20"/>
        <v>362</v>
      </c>
      <c r="B363" s="1">
        <f t="shared" ca="1" si="21"/>
        <v>45231</v>
      </c>
      <c r="C363" t="s">
        <v>8</v>
      </c>
      <c r="D363" t="str">
        <f t="shared" ca="1" si="22"/>
        <v>Furniture</v>
      </c>
      <c r="E363" t="s">
        <v>40</v>
      </c>
      <c r="F363" s="11">
        <v>12810</v>
      </c>
      <c r="G363">
        <f t="shared" ca="1" si="23"/>
        <v>1</v>
      </c>
      <c r="H363" s="11">
        <f ca="1">IF(Table1[[#This Row],[Category]]="Electronics",Table1[[#This Row],[Sales]]*0.6,
IF(Table1[[#This Row],[Category]]="Furniture",Table1[[#This Row],[Sales]]*0.75,
IF(Table1[[#This Row],[Category]]="Clothing",Table1[[#This Row],[Sales]]*0.65,
Table1[[#This Row],[Sales]]*0.7)))</f>
        <v>9607.5</v>
      </c>
      <c r="I363" s="11">
        <f ca="1">Table1[[#This Row],[Sales]]-H363</f>
        <v>3202.5</v>
      </c>
      <c r="J363" s="2">
        <f ca="1">Table1[[#This Row],[Profit]]/Table1[[#This Row],[Sales]]</f>
        <v>0.25</v>
      </c>
      <c r="K363" t="str">
        <f ca="1">TEXT(Table1[[#This Row],[Order_Date]],"mmm")</f>
        <v>Nov</v>
      </c>
      <c r="L363">
        <f ca="1">YEAR(Table1[[#This Row],[Order_Date]])</f>
        <v>2023</v>
      </c>
    </row>
    <row r="364" spans="1:12" x14ac:dyDescent="0.3">
      <c r="A364">
        <f t="shared" si="20"/>
        <v>363</v>
      </c>
      <c r="B364" s="1">
        <f t="shared" ca="1" si="21"/>
        <v>45286</v>
      </c>
      <c r="C364" t="s">
        <v>9</v>
      </c>
      <c r="D364" t="str">
        <f t="shared" ca="1" si="22"/>
        <v>Furniture</v>
      </c>
      <c r="E364" t="s">
        <v>39</v>
      </c>
      <c r="F364" s="11">
        <v>18660</v>
      </c>
      <c r="G364">
        <f t="shared" ca="1" si="23"/>
        <v>1</v>
      </c>
      <c r="H364" s="11">
        <f ca="1">IF(Table1[[#This Row],[Category]]="Electronics",Table1[[#This Row],[Sales]]*0.6,
IF(Table1[[#This Row],[Category]]="Furniture",Table1[[#This Row],[Sales]]*0.75,
IF(Table1[[#This Row],[Category]]="Clothing",Table1[[#This Row],[Sales]]*0.65,
Table1[[#This Row],[Sales]]*0.7)))</f>
        <v>13995</v>
      </c>
      <c r="I364" s="11">
        <f ca="1">Table1[[#This Row],[Sales]]-H364</f>
        <v>4665</v>
      </c>
      <c r="J364" s="2">
        <f ca="1">Table1[[#This Row],[Profit]]/Table1[[#This Row],[Sales]]</f>
        <v>0.25</v>
      </c>
      <c r="K364" t="str">
        <f ca="1">TEXT(Table1[[#This Row],[Order_Date]],"mmm")</f>
        <v>Dec</v>
      </c>
      <c r="L364">
        <f ca="1">YEAR(Table1[[#This Row],[Order_Date]])</f>
        <v>2023</v>
      </c>
    </row>
    <row r="365" spans="1:12" x14ac:dyDescent="0.3">
      <c r="A365">
        <f t="shared" si="20"/>
        <v>364</v>
      </c>
      <c r="B365" s="1">
        <f t="shared" ca="1" si="21"/>
        <v>45047</v>
      </c>
      <c r="C365" t="s">
        <v>10</v>
      </c>
      <c r="D365" t="str">
        <f t="shared" ca="1" si="22"/>
        <v>Clothing</v>
      </c>
      <c r="E365" t="s">
        <v>75</v>
      </c>
      <c r="F365" s="11">
        <v>8912</v>
      </c>
      <c r="G365">
        <f t="shared" ca="1" si="23"/>
        <v>3</v>
      </c>
      <c r="H365" s="11">
        <f ca="1">IF(Table1[[#This Row],[Category]]="Electronics",Table1[[#This Row],[Sales]]*0.6,
IF(Table1[[#This Row],[Category]]="Furniture",Table1[[#This Row],[Sales]]*0.75,
IF(Table1[[#This Row],[Category]]="Clothing",Table1[[#This Row],[Sales]]*0.65,
Table1[[#This Row],[Sales]]*0.7)))</f>
        <v>5792.8</v>
      </c>
      <c r="I365" s="11">
        <f ca="1">Table1[[#This Row],[Sales]]-H365</f>
        <v>3119.2</v>
      </c>
      <c r="J365" s="2">
        <f ca="1">Table1[[#This Row],[Profit]]/Table1[[#This Row],[Sales]]</f>
        <v>0.35</v>
      </c>
      <c r="K365" t="str">
        <f ca="1">TEXT(Table1[[#This Row],[Order_Date]],"mmm")</f>
        <v>May</v>
      </c>
      <c r="L365">
        <f ca="1">YEAR(Table1[[#This Row],[Order_Date]])</f>
        <v>2023</v>
      </c>
    </row>
    <row r="366" spans="1:12" x14ac:dyDescent="0.3">
      <c r="A366">
        <f t="shared" si="20"/>
        <v>365</v>
      </c>
      <c r="B366" s="1">
        <f t="shared" ca="1" si="21"/>
        <v>45142</v>
      </c>
      <c r="C366" t="s">
        <v>7</v>
      </c>
      <c r="D366" t="str">
        <f t="shared" ca="1" si="22"/>
        <v>Electronics</v>
      </c>
      <c r="E366" t="s">
        <v>53</v>
      </c>
      <c r="F366" s="11">
        <v>1023</v>
      </c>
      <c r="G366">
        <f t="shared" ca="1" si="23"/>
        <v>7</v>
      </c>
      <c r="H366" s="11">
        <f ca="1">IF(Table1[[#This Row],[Category]]="Electronics",Table1[[#This Row],[Sales]]*0.6,
IF(Table1[[#This Row],[Category]]="Furniture",Table1[[#This Row],[Sales]]*0.75,
IF(Table1[[#This Row],[Category]]="Clothing",Table1[[#This Row],[Sales]]*0.65,
Table1[[#This Row],[Sales]]*0.7)))</f>
        <v>613.79999999999995</v>
      </c>
      <c r="I366" s="11">
        <f ca="1">Table1[[#This Row],[Sales]]-H366</f>
        <v>409.20000000000005</v>
      </c>
      <c r="J366" s="2">
        <f ca="1">Table1[[#This Row],[Profit]]/Table1[[#This Row],[Sales]]</f>
        <v>0.4</v>
      </c>
      <c r="K366" t="str">
        <f ca="1">TEXT(Table1[[#This Row],[Order_Date]],"mmm")</f>
        <v>Aug</v>
      </c>
      <c r="L366">
        <f ca="1">YEAR(Table1[[#This Row],[Order_Date]])</f>
        <v>2023</v>
      </c>
    </row>
    <row r="367" spans="1:12" x14ac:dyDescent="0.3">
      <c r="A367">
        <f t="shared" si="20"/>
        <v>366</v>
      </c>
      <c r="B367" s="1">
        <f t="shared" ca="1" si="21"/>
        <v>45275</v>
      </c>
      <c r="C367" t="s">
        <v>8</v>
      </c>
      <c r="D367" t="str">
        <f t="shared" ca="1" si="22"/>
        <v>Electronics</v>
      </c>
      <c r="E367" t="s">
        <v>59</v>
      </c>
      <c r="F367" s="11">
        <v>17935</v>
      </c>
      <c r="G367">
        <f t="shared" ca="1" si="23"/>
        <v>7</v>
      </c>
      <c r="H367" s="11">
        <f ca="1">IF(Table1[[#This Row],[Category]]="Electronics",Table1[[#This Row],[Sales]]*0.6,
IF(Table1[[#This Row],[Category]]="Furniture",Table1[[#This Row],[Sales]]*0.75,
IF(Table1[[#This Row],[Category]]="Clothing",Table1[[#This Row],[Sales]]*0.65,
Table1[[#This Row],[Sales]]*0.7)))</f>
        <v>10761</v>
      </c>
      <c r="I367" s="11">
        <f ca="1">Table1[[#This Row],[Sales]]-H367</f>
        <v>7174</v>
      </c>
      <c r="J367" s="2">
        <f ca="1">Table1[[#This Row],[Profit]]/Table1[[#This Row],[Sales]]</f>
        <v>0.4</v>
      </c>
      <c r="K367" t="str">
        <f ca="1">TEXT(Table1[[#This Row],[Order_Date]],"mmm")</f>
        <v>Dec</v>
      </c>
      <c r="L367">
        <f ca="1">YEAR(Table1[[#This Row],[Order_Date]])</f>
        <v>2023</v>
      </c>
    </row>
    <row r="368" spans="1:12" x14ac:dyDescent="0.3">
      <c r="A368">
        <f t="shared" si="20"/>
        <v>367</v>
      </c>
      <c r="B368" s="1">
        <f t="shared" ca="1" si="21"/>
        <v>45151</v>
      </c>
      <c r="C368" t="s">
        <v>9</v>
      </c>
      <c r="D368" t="str">
        <f t="shared" ca="1" si="22"/>
        <v>Office Supplies</v>
      </c>
      <c r="E368" t="s">
        <v>53</v>
      </c>
      <c r="F368" s="11">
        <v>13363</v>
      </c>
      <c r="G368">
        <f t="shared" ca="1" si="23"/>
        <v>4</v>
      </c>
      <c r="H368" s="11">
        <f ca="1">IF(Table1[[#This Row],[Category]]="Electronics",Table1[[#This Row],[Sales]]*0.6,
IF(Table1[[#This Row],[Category]]="Furniture",Table1[[#This Row],[Sales]]*0.75,
IF(Table1[[#This Row],[Category]]="Clothing",Table1[[#This Row],[Sales]]*0.65,
Table1[[#This Row],[Sales]]*0.7)))</f>
        <v>9354.0999999999985</v>
      </c>
      <c r="I368" s="11">
        <f ca="1">Table1[[#This Row],[Sales]]-H368</f>
        <v>4008.9000000000015</v>
      </c>
      <c r="J368" s="2">
        <f ca="1">Table1[[#This Row],[Profit]]/Table1[[#This Row],[Sales]]</f>
        <v>0.3000000000000001</v>
      </c>
      <c r="K368" t="str">
        <f ca="1">TEXT(Table1[[#This Row],[Order_Date]],"mmm")</f>
        <v>Aug</v>
      </c>
      <c r="L368">
        <f ca="1">YEAR(Table1[[#This Row],[Order_Date]])</f>
        <v>2023</v>
      </c>
    </row>
    <row r="369" spans="1:12" x14ac:dyDescent="0.3">
      <c r="A369">
        <f t="shared" si="20"/>
        <v>368</v>
      </c>
      <c r="B369" s="1">
        <f t="shared" ca="1" si="21"/>
        <v>45024</v>
      </c>
      <c r="C369" t="s">
        <v>10</v>
      </c>
      <c r="D369" t="str">
        <f t="shared" ca="1" si="22"/>
        <v>Electronics</v>
      </c>
      <c r="E369" t="s">
        <v>78</v>
      </c>
      <c r="F369" s="11">
        <v>3227</v>
      </c>
      <c r="G369">
        <f t="shared" ca="1" si="23"/>
        <v>5</v>
      </c>
      <c r="H369" s="11">
        <f ca="1">IF(Table1[[#This Row],[Category]]="Electronics",Table1[[#This Row],[Sales]]*0.6,
IF(Table1[[#This Row],[Category]]="Furniture",Table1[[#This Row],[Sales]]*0.75,
IF(Table1[[#This Row],[Category]]="Clothing",Table1[[#This Row],[Sales]]*0.65,
Table1[[#This Row],[Sales]]*0.7)))</f>
        <v>1936.1999999999998</v>
      </c>
      <c r="I369" s="11">
        <f ca="1">Table1[[#This Row],[Sales]]-H369</f>
        <v>1290.8000000000002</v>
      </c>
      <c r="J369" s="2">
        <f ca="1">Table1[[#This Row],[Profit]]/Table1[[#This Row],[Sales]]</f>
        <v>0.40000000000000008</v>
      </c>
      <c r="K369" t="str">
        <f ca="1">TEXT(Table1[[#This Row],[Order_Date]],"mmm")</f>
        <v>Apr</v>
      </c>
      <c r="L369">
        <f ca="1">YEAR(Table1[[#This Row],[Order_Date]])</f>
        <v>2023</v>
      </c>
    </row>
    <row r="370" spans="1:12" x14ac:dyDescent="0.3">
      <c r="A370">
        <f t="shared" si="20"/>
        <v>369</v>
      </c>
      <c r="B370" s="1">
        <f t="shared" ca="1" si="21"/>
        <v>44966</v>
      </c>
      <c r="C370" t="s">
        <v>7</v>
      </c>
      <c r="D370" t="str">
        <f t="shared" ca="1" si="22"/>
        <v>Clothing</v>
      </c>
      <c r="E370" t="s">
        <v>55</v>
      </c>
      <c r="F370" s="11">
        <v>3870</v>
      </c>
      <c r="G370">
        <f t="shared" ca="1" si="23"/>
        <v>2</v>
      </c>
      <c r="H370" s="11">
        <f ca="1">IF(Table1[[#This Row],[Category]]="Electronics",Table1[[#This Row],[Sales]]*0.6,
IF(Table1[[#This Row],[Category]]="Furniture",Table1[[#This Row],[Sales]]*0.75,
IF(Table1[[#This Row],[Category]]="Clothing",Table1[[#This Row],[Sales]]*0.65,
Table1[[#This Row],[Sales]]*0.7)))</f>
        <v>2515.5</v>
      </c>
      <c r="I370" s="11">
        <f ca="1">Table1[[#This Row],[Sales]]-H370</f>
        <v>1354.5</v>
      </c>
      <c r="J370" s="2">
        <f ca="1">Table1[[#This Row],[Profit]]/Table1[[#This Row],[Sales]]</f>
        <v>0.35</v>
      </c>
      <c r="K370" t="str">
        <f ca="1">TEXT(Table1[[#This Row],[Order_Date]],"mmm")</f>
        <v>Feb</v>
      </c>
      <c r="L370">
        <f ca="1">YEAR(Table1[[#This Row],[Order_Date]])</f>
        <v>2023</v>
      </c>
    </row>
    <row r="371" spans="1:12" x14ac:dyDescent="0.3">
      <c r="A371">
        <f t="shared" si="20"/>
        <v>370</v>
      </c>
      <c r="B371" s="1">
        <f t="shared" ca="1" si="21"/>
        <v>44931</v>
      </c>
      <c r="C371" t="s">
        <v>8</v>
      </c>
      <c r="D371" t="str">
        <f t="shared" ca="1" si="22"/>
        <v>Clothing</v>
      </c>
      <c r="E371" t="s">
        <v>67</v>
      </c>
      <c r="F371" s="11">
        <v>7336</v>
      </c>
      <c r="G371">
        <f t="shared" ca="1" si="23"/>
        <v>5</v>
      </c>
      <c r="H371" s="11">
        <f ca="1">IF(Table1[[#This Row],[Category]]="Electronics",Table1[[#This Row],[Sales]]*0.6,
IF(Table1[[#This Row],[Category]]="Furniture",Table1[[#This Row],[Sales]]*0.75,
IF(Table1[[#This Row],[Category]]="Clothing",Table1[[#This Row],[Sales]]*0.65,
Table1[[#This Row],[Sales]]*0.7)))</f>
        <v>4768.4000000000005</v>
      </c>
      <c r="I371" s="11">
        <f ca="1">Table1[[#This Row],[Sales]]-H371</f>
        <v>2567.5999999999995</v>
      </c>
      <c r="J371" s="2">
        <f ca="1">Table1[[#This Row],[Profit]]/Table1[[#This Row],[Sales]]</f>
        <v>0.34999999999999992</v>
      </c>
      <c r="K371" t="str">
        <f ca="1">TEXT(Table1[[#This Row],[Order_Date]],"mmm")</f>
        <v>Jan</v>
      </c>
      <c r="L371">
        <f ca="1">YEAR(Table1[[#This Row],[Order_Date]])</f>
        <v>2023</v>
      </c>
    </row>
    <row r="372" spans="1:12" x14ac:dyDescent="0.3">
      <c r="A372">
        <f t="shared" si="20"/>
        <v>371</v>
      </c>
      <c r="B372" s="1">
        <f t="shared" ca="1" si="21"/>
        <v>45252</v>
      </c>
      <c r="C372" t="s">
        <v>9</v>
      </c>
      <c r="D372" t="str">
        <f t="shared" ca="1" si="22"/>
        <v>Office Supplies</v>
      </c>
      <c r="E372" t="s">
        <v>72</v>
      </c>
      <c r="F372" s="11">
        <v>8924</v>
      </c>
      <c r="G372">
        <f t="shared" ca="1" si="23"/>
        <v>10</v>
      </c>
      <c r="H372" s="11">
        <f ca="1">IF(Table1[[#This Row],[Category]]="Electronics",Table1[[#This Row],[Sales]]*0.6,
IF(Table1[[#This Row],[Category]]="Furniture",Table1[[#This Row],[Sales]]*0.75,
IF(Table1[[#This Row],[Category]]="Clothing",Table1[[#This Row],[Sales]]*0.65,
Table1[[#This Row],[Sales]]*0.7)))</f>
        <v>6246.7999999999993</v>
      </c>
      <c r="I372" s="11">
        <f ca="1">Table1[[#This Row],[Sales]]-H372</f>
        <v>2677.2000000000007</v>
      </c>
      <c r="J372" s="2">
        <f ca="1">Table1[[#This Row],[Profit]]/Table1[[#This Row],[Sales]]</f>
        <v>0.3000000000000001</v>
      </c>
      <c r="K372" t="str">
        <f ca="1">TEXT(Table1[[#This Row],[Order_Date]],"mmm")</f>
        <v>Nov</v>
      </c>
      <c r="L372">
        <f ca="1">YEAR(Table1[[#This Row],[Order_Date]])</f>
        <v>2023</v>
      </c>
    </row>
    <row r="373" spans="1:12" x14ac:dyDescent="0.3">
      <c r="A373">
        <f t="shared" si="20"/>
        <v>372</v>
      </c>
      <c r="B373" s="1">
        <f t="shared" ca="1" si="21"/>
        <v>45037</v>
      </c>
      <c r="C373" t="s">
        <v>10</v>
      </c>
      <c r="D373" t="str">
        <f t="shared" ca="1" si="22"/>
        <v>Clothing</v>
      </c>
      <c r="E373" t="s">
        <v>72</v>
      </c>
      <c r="F373" s="11">
        <v>7087</v>
      </c>
      <c r="G373">
        <f t="shared" ca="1" si="23"/>
        <v>9</v>
      </c>
      <c r="H373" s="11">
        <f ca="1">IF(Table1[[#This Row],[Category]]="Electronics",Table1[[#This Row],[Sales]]*0.6,
IF(Table1[[#This Row],[Category]]="Furniture",Table1[[#This Row],[Sales]]*0.75,
IF(Table1[[#This Row],[Category]]="Clothing",Table1[[#This Row],[Sales]]*0.65,
Table1[[#This Row],[Sales]]*0.7)))</f>
        <v>4606.55</v>
      </c>
      <c r="I373" s="11">
        <f ca="1">Table1[[#This Row],[Sales]]-H373</f>
        <v>2480.4499999999998</v>
      </c>
      <c r="J373" s="2">
        <f ca="1">Table1[[#This Row],[Profit]]/Table1[[#This Row],[Sales]]</f>
        <v>0.35</v>
      </c>
      <c r="K373" t="str">
        <f ca="1">TEXT(Table1[[#This Row],[Order_Date]],"mmm")</f>
        <v>Apr</v>
      </c>
      <c r="L373">
        <f ca="1">YEAR(Table1[[#This Row],[Order_Date]])</f>
        <v>2023</v>
      </c>
    </row>
    <row r="374" spans="1:12" x14ac:dyDescent="0.3">
      <c r="A374">
        <f t="shared" si="20"/>
        <v>373</v>
      </c>
      <c r="B374" s="1">
        <f t="shared" ca="1" si="21"/>
        <v>44933</v>
      </c>
      <c r="C374" t="s">
        <v>7</v>
      </c>
      <c r="D374" t="str">
        <f t="shared" ca="1" si="22"/>
        <v>Furniture</v>
      </c>
      <c r="E374" t="s">
        <v>66</v>
      </c>
      <c r="F374" s="11">
        <v>6467</v>
      </c>
      <c r="G374">
        <f t="shared" ca="1" si="23"/>
        <v>10</v>
      </c>
      <c r="H374" s="11">
        <f ca="1">IF(Table1[[#This Row],[Category]]="Electronics",Table1[[#This Row],[Sales]]*0.6,
IF(Table1[[#This Row],[Category]]="Furniture",Table1[[#This Row],[Sales]]*0.75,
IF(Table1[[#This Row],[Category]]="Clothing",Table1[[#This Row],[Sales]]*0.65,
Table1[[#This Row],[Sales]]*0.7)))</f>
        <v>4850.25</v>
      </c>
      <c r="I374" s="11">
        <f ca="1">Table1[[#This Row],[Sales]]-H374</f>
        <v>1616.75</v>
      </c>
      <c r="J374" s="2">
        <f ca="1">Table1[[#This Row],[Profit]]/Table1[[#This Row],[Sales]]</f>
        <v>0.25</v>
      </c>
      <c r="K374" t="str">
        <f ca="1">TEXT(Table1[[#This Row],[Order_Date]],"mmm")</f>
        <v>Jan</v>
      </c>
      <c r="L374">
        <f ca="1">YEAR(Table1[[#This Row],[Order_Date]])</f>
        <v>2023</v>
      </c>
    </row>
    <row r="375" spans="1:12" x14ac:dyDescent="0.3">
      <c r="A375">
        <f t="shared" si="20"/>
        <v>374</v>
      </c>
      <c r="B375" s="1">
        <f t="shared" ca="1" si="21"/>
        <v>45034</v>
      </c>
      <c r="C375" t="s">
        <v>8</v>
      </c>
      <c r="D375" t="str">
        <f t="shared" ca="1" si="22"/>
        <v>Office Supplies</v>
      </c>
      <c r="E375" t="s">
        <v>51</v>
      </c>
      <c r="F375" s="11">
        <v>18468</v>
      </c>
      <c r="G375">
        <f t="shared" ca="1" si="23"/>
        <v>5</v>
      </c>
      <c r="H375" s="11">
        <f ca="1">IF(Table1[[#This Row],[Category]]="Electronics",Table1[[#This Row],[Sales]]*0.6,
IF(Table1[[#This Row],[Category]]="Furniture",Table1[[#This Row],[Sales]]*0.75,
IF(Table1[[#This Row],[Category]]="Clothing",Table1[[#This Row],[Sales]]*0.65,
Table1[[#This Row],[Sales]]*0.7)))</f>
        <v>12927.599999999999</v>
      </c>
      <c r="I375" s="11">
        <f ca="1">Table1[[#This Row],[Sales]]-H375</f>
        <v>5540.4000000000015</v>
      </c>
      <c r="J375" s="2">
        <f ca="1">Table1[[#This Row],[Profit]]/Table1[[#This Row],[Sales]]</f>
        <v>0.3000000000000001</v>
      </c>
      <c r="K375" t="str">
        <f ca="1">TEXT(Table1[[#This Row],[Order_Date]],"mmm")</f>
        <v>Apr</v>
      </c>
      <c r="L375">
        <f ca="1">YEAR(Table1[[#This Row],[Order_Date]])</f>
        <v>2023</v>
      </c>
    </row>
    <row r="376" spans="1:12" x14ac:dyDescent="0.3">
      <c r="A376">
        <f t="shared" si="20"/>
        <v>375</v>
      </c>
      <c r="B376" s="1">
        <f t="shared" ca="1" si="21"/>
        <v>45179</v>
      </c>
      <c r="C376" t="s">
        <v>9</v>
      </c>
      <c r="D376" t="str">
        <f t="shared" ca="1" si="22"/>
        <v>Clothing</v>
      </c>
      <c r="E376" t="s">
        <v>80</v>
      </c>
      <c r="F376" s="11">
        <v>18922</v>
      </c>
      <c r="G376">
        <f t="shared" ca="1" si="23"/>
        <v>1</v>
      </c>
      <c r="H376" s="11">
        <f ca="1">IF(Table1[[#This Row],[Category]]="Electronics",Table1[[#This Row],[Sales]]*0.6,
IF(Table1[[#This Row],[Category]]="Furniture",Table1[[#This Row],[Sales]]*0.75,
IF(Table1[[#This Row],[Category]]="Clothing",Table1[[#This Row],[Sales]]*0.65,
Table1[[#This Row],[Sales]]*0.7)))</f>
        <v>12299.300000000001</v>
      </c>
      <c r="I376" s="11">
        <f ca="1">Table1[[#This Row],[Sales]]-H376</f>
        <v>6622.6999999999989</v>
      </c>
      <c r="J376" s="2">
        <f ca="1">Table1[[#This Row],[Profit]]/Table1[[#This Row],[Sales]]</f>
        <v>0.34999999999999992</v>
      </c>
      <c r="K376" t="str">
        <f ca="1">TEXT(Table1[[#This Row],[Order_Date]],"mmm")</f>
        <v>Sep</v>
      </c>
      <c r="L376">
        <f ca="1">YEAR(Table1[[#This Row],[Order_Date]])</f>
        <v>2023</v>
      </c>
    </row>
    <row r="377" spans="1:12" x14ac:dyDescent="0.3">
      <c r="A377">
        <f t="shared" si="20"/>
        <v>376</v>
      </c>
      <c r="B377" s="1">
        <f t="shared" ca="1" si="21"/>
        <v>45159</v>
      </c>
      <c r="C377" t="s">
        <v>10</v>
      </c>
      <c r="D377" t="str">
        <f t="shared" ca="1" si="22"/>
        <v>Electronics</v>
      </c>
      <c r="E377" t="s">
        <v>83</v>
      </c>
      <c r="F377" s="11">
        <v>18677</v>
      </c>
      <c r="G377">
        <f t="shared" ca="1" si="23"/>
        <v>5</v>
      </c>
      <c r="H377" s="11">
        <f ca="1">IF(Table1[[#This Row],[Category]]="Electronics",Table1[[#This Row],[Sales]]*0.6,
IF(Table1[[#This Row],[Category]]="Furniture",Table1[[#This Row],[Sales]]*0.75,
IF(Table1[[#This Row],[Category]]="Clothing",Table1[[#This Row],[Sales]]*0.65,
Table1[[#This Row],[Sales]]*0.7)))</f>
        <v>11206.199999999999</v>
      </c>
      <c r="I377" s="11">
        <f ca="1">Table1[[#This Row],[Sales]]-H377</f>
        <v>7470.8000000000011</v>
      </c>
      <c r="J377" s="2">
        <f ca="1">Table1[[#This Row],[Profit]]/Table1[[#This Row],[Sales]]</f>
        <v>0.40000000000000008</v>
      </c>
      <c r="K377" t="str">
        <f ca="1">TEXT(Table1[[#This Row],[Order_Date]],"mmm")</f>
        <v>Aug</v>
      </c>
      <c r="L377">
        <f ca="1">YEAR(Table1[[#This Row],[Order_Date]])</f>
        <v>2023</v>
      </c>
    </row>
    <row r="378" spans="1:12" x14ac:dyDescent="0.3">
      <c r="A378">
        <f t="shared" si="20"/>
        <v>377</v>
      </c>
      <c r="B378" s="1">
        <f t="shared" ca="1" si="21"/>
        <v>44993</v>
      </c>
      <c r="C378" t="s">
        <v>7</v>
      </c>
      <c r="D378" t="str">
        <f t="shared" ca="1" si="22"/>
        <v>Electronics</v>
      </c>
      <c r="E378" t="s">
        <v>74</v>
      </c>
      <c r="F378" s="11">
        <v>15006</v>
      </c>
      <c r="G378">
        <f t="shared" ca="1" si="23"/>
        <v>1</v>
      </c>
      <c r="H378" s="11">
        <f ca="1">IF(Table1[[#This Row],[Category]]="Electronics",Table1[[#This Row],[Sales]]*0.6,
IF(Table1[[#This Row],[Category]]="Furniture",Table1[[#This Row],[Sales]]*0.75,
IF(Table1[[#This Row],[Category]]="Clothing",Table1[[#This Row],[Sales]]*0.65,
Table1[[#This Row],[Sales]]*0.7)))</f>
        <v>9003.6</v>
      </c>
      <c r="I378" s="11">
        <f ca="1">Table1[[#This Row],[Sales]]-H378</f>
        <v>6002.4</v>
      </c>
      <c r="J378" s="2">
        <f ca="1">Table1[[#This Row],[Profit]]/Table1[[#This Row],[Sales]]</f>
        <v>0.39999999999999997</v>
      </c>
      <c r="K378" t="str">
        <f ca="1">TEXT(Table1[[#This Row],[Order_Date]],"mmm")</f>
        <v>Mar</v>
      </c>
      <c r="L378">
        <f ca="1">YEAR(Table1[[#This Row],[Order_Date]])</f>
        <v>2023</v>
      </c>
    </row>
    <row r="379" spans="1:12" x14ac:dyDescent="0.3">
      <c r="A379">
        <f t="shared" si="20"/>
        <v>378</v>
      </c>
      <c r="B379" s="1">
        <f t="shared" ca="1" si="21"/>
        <v>45088</v>
      </c>
      <c r="C379" t="s">
        <v>8</v>
      </c>
      <c r="D379" t="str">
        <f t="shared" ca="1" si="22"/>
        <v>Furniture</v>
      </c>
      <c r="E379" t="s">
        <v>42</v>
      </c>
      <c r="F379" s="11">
        <v>16681</v>
      </c>
      <c r="G379">
        <f t="shared" ca="1" si="23"/>
        <v>8</v>
      </c>
      <c r="H379" s="11">
        <f ca="1">IF(Table1[[#This Row],[Category]]="Electronics",Table1[[#This Row],[Sales]]*0.6,
IF(Table1[[#This Row],[Category]]="Furniture",Table1[[#This Row],[Sales]]*0.75,
IF(Table1[[#This Row],[Category]]="Clothing",Table1[[#This Row],[Sales]]*0.65,
Table1[[#This Row],[Sales]]*0.7)))</f>
        <v>12510.75</v>
      </c>
      <c r="I379" s="11">
        <f ca="1">Table1[[#This Row],[Sales]]-H379</f>
        <v>4170.25</v>
      </c>
      <c r="J379" s="2">
        <f ca="1">Table1[[#This Row],[Profit]]/Table1[[#This Row],[Sales]]</f>
        <v>0.25</v>
      </c>
      <c r="K379" t="str">
        <f ca="1">TEXT(Table1[[#This Row],[Order_Date]],"mmm")</f>
        <v>Jun</v>
      </c>
      <c r="L379">
        <f ca="1">YEAR(Table1[[#This Row],[Order_Date]])</f>
        <v>2023</v>
      </c>
    </row>
    <row r="380" spans="1:12" x14ac:dyDescent="0.3">
      <c r="A380">
        <f t="shared" si="20"/>
        <v>379</v>
      </c>
      <c r="B380" s="1">
        <f t="shared" ca="1" si="21"/>
        <v>45036</v>
      </c>
      <c r="C380" t="s">
        <v>9</v>
      </c>
      <c r="D380" t="str">
        <f t="shared" ca="1" si="22"/>
        <v>Furniture</v>
      </c>
      <c r="E380" t="s">
        <v>72</v>
      </c>
      <c r="F380" s="11">
        <v>19130</v>
      </c>
      <c r="G380">
        <f t="shared" ca="1" si="23"/>
        <v>2</v>
      </c>
      <c r="H380" s="11">
        <f ca="1">IF(Table1[[#This Row],[Category]]="Electronics",Table1[[#This Row],[Sales]]*0.6,
IF(Table1[[#This Row],[Category]]="Furniture",Table1[[#This Row],[Sales]]*0.75,
IF(Table1[[#This Row],[Category]]="Clothing",Table1[[#This Row],[Sales]]*0.65,
Table1[[#This Row],[Sales]]*0.7)))</f>
        <v>14347.5</v>
      </c>
      <c r="I380" s="11">
        <f ca="1">Table1[[#This Row],[Sales]]-H380</f>
        <v>4782.5</v>
      </c>
      <c r="J380" s="2">
        <f ca="1">Table1[[#This Row],[Profit]]/Table1[[#This Row],[Sales]]</f>
        <v>0.25</v>
      </c>
      <c r="K380" t="str">
        <f ca="1">TEXT(Table1[[#This Row],[Order_Date]],"mmm")</f>
        <v>Apr</v>
      </c>
      <c r="L380">
        <f ca="1">YEAR(Table1[[#This Row],[Order_Date]])</f>
        <v>2023</v>
      </c>
    </row>
    <row r="381" spans="1:12" x14ac:dyDescent="0.3">
      <c r="A381">
        <f t="shared" si="20"/>
        <v>380</v>
      </c>
      <c r="B381" s="1">
        <f t="shared" ca="1" si="21"/>
        <v>45060</v>
      </c>
      <c r="C381" t="s">
        <v>10</v>
      </c>
      <c r="D381" t="str">
        <f t="shared" ca="1" si="22"/>
        <v>Furniture</v>
      </c>
      <c r="E381" t="s">
        <v>77</v>
      </c>
      <c r="F381" s="11">
        <v>10385</v>
      </c>
      <c r="G381">
        <f t="shared" ca="1" si="23"/>
        <v>9</v>
      </c>
      <c r="H381" s="11">
        <f ca="1">IF(Table1[[#This Row],[Category]]="Electronics",Table1[[#This Row],[Sales]]*0.6,
IF(Table1[[#This Row],[Category]]="Furniture",Table1[[#This Row],[Sales]]*0.75,
IF(Table1[[#This Row],[Category]]="Clothing",Table1[[#This Row],[Sales]]*0.65,
Table1[[#This Row],[Sales]]*0.7)))</f>
        <v>7788.75</v>
      </c>
      <c r="I381" s="11">
        <f ca="1">Table1[[#This Row],[Sales]]-H381</f>
        <v>2596.25</v>
      </c>
      <c r="J381" s="2">
        <f ca="1">Table1[[#This Row],[Profit]]/Table1[[#This Row],[Sales]]</f>
        <v>0.25</v>
      </c>
      <c r="K381" t="str">
        <f ca="1">TEXT(Table1[[#This Row],[Order_Date]],"mmm")</f>
        <v>May</v>
      </c>
      <c r="L381">
        <f ca="1">YEAR(Table1[[#This Row],[Order_Date]])</f>
        <v>2023</v>
      </c>
    </row>
    <row r="382" spans="1:12" x14ac:dyDescent="0.3">
      <c r="A382">
        <f t="shared" si="20"/>
        <v>381</v>
      </c>
      <c r="B382" s="1">
        <f t="shared" ca="1" si="21"/>
        <v>45172</v>
      </c>
      <c r="C382" t="s">
        <v>7</v>
      </c>
      <c r="D382" t="str">
        <f t="shared" ca="1" si="22"/>
        <v>Electronics</v>
      </c>
      <c r="E382" t="s">
        <v>53</v>
      </c>
      <c r="F382" s="11">
        <v>11367</v>
      </c>
      <c r="G382">
        <f t="shared" ca="1" si="23"/>
        <v>1</v>
      </c>
      <c r="H382" s="11">
        <f ca="1">IF(Table1[[#This Row],[Category]]="Electronics",Table1[[#This Row],[Sales]]*0.6,
IF(Table1[[#This Row],[Category]]="Furniture",Table1[[#This Row],[Sales]]*0.75,
IF(Table1[[#This Row],[Category]]="Clothing",Table1[[#This Row],[Sales]]*0.65,
Table1[[#This Row],[Sales]]*0.7)))</f>
        <v>6820.2</v>
      </c>
      <c r="I382" s="11">
        <f ca="1">Table1[[#This Row],[Sales]]-H382</f>
        <v>4546.8</v>
      </c>
      <c r="J382" s="2">
        <f ca="1">Table1[[#This Row],[Profit]]/Table1[[#This Row],[Sales]]</f>
        <v>0.4</v>
      </c>
      <c r="K382" t="str">
        <f ca="1">TEXT(Table1[[#This Row],[Order_Date]],"mmm")</f>
        <v>Sep</v>
      </c>
      <c r="L382">
        <f ca="1">YEAR(Table1[[#This Row],[Order_Date]])</f>
        <v>2023</v>
      </c>
    </row>
    <row r="383" spans="1:12" x14ac:dyDescent="0.3">
      <c r="A383">
        <f t="shared" si="20"/>
        <v>382</v>
      </c>
      <c r="B383" s="1">
        <f t="shared" ca="1" si="21"/>
        <v>45216</v>
      </c>
      <c r="C383" t="s">
        <v>8</v>
      </c>
      <c r="D383" t="str">
        <f t="shared" ca="1" si="22"/>
        <v>Clothing</v>
      </c>
      <c r="E383" t="s">
        <v>68</v>
      </c>
      <c r="F383" s="11">
        <v>7091</v>
      </c>
      <c r="G383">
        <f t="shared" ca="1" si="23"/>
        <v>7</v>
      </c>
      <c r="H383" s="11">
        <f ca="1">IF(Table1[[#This Row],[Category]]="Electronics",Table1[[#This Row],[Sales]]*0.6,
IF(Table1[[#This Row],[Category]]="Furniture",Table1[[#This Row],[Sales]]*0.75,
IF(Table1[[#This Row],[Category]]="Clothing",Table1[[#This Row],[Sales]]*0.65,
Table1[[#This Row],[Sales]]*0.7)))</f>
        <v>4609.1500000000005</v>
      </c>
      <c r="I383" s="11">
        <f ca="1">Table1[[#This Row],[Sales]]-H383</f>
        <v>2481.8499999999995</v>
      </c>
      <c r="J383" s="2">
        <f ca="1">Table1[[#This Row],[Profit]]/Table1[[#This Row],[Sales]]</f>
        <v>0.34999999999999992</v>
      </c>
      <c r="K383" t="str">
        <f ca="1">TEXT(Table1[[#This Row],[Order_Date]],"mmm")</f>
        <v>Oct</v>
      </c>
      <c r="L383">
        <f ca="1">YEAR(Table1[[#This Row],[Order_Date]])</f>
        <v>2023</v>
      </c>
    </row>
    <row r="384" spans="1:12" x14ac:dyDescent="0.3">
      <c r="A384">
        <f t="shared" si="20"/>
        <v>383</v>
      </c>
      <c r="B384" s="1">
        <f t="shared" ca="1" si="21"/>
        <v>45265</v>
      </c>
      <c r="C384" t="s">
        <v>9</v>
      </c>
      <c r="D384" t="str">
        <f t="shared" ca="1" si="22"/>
        <v>Furniture</v>
      </c>
      <c r="E384" t="s">
        <v>80</v>
      </c>
      <c r="F384" s="11">
        <v>6523</v>
      </c>
      <c r="G384">
        <f t="shared" ca="1" si="23"/>
        <v>1</v>
      </c>
      <c r="H384" s="11">
        <f ca="1">IF(Table1[[#This Row],[Category]]="Electronics",Table1[[#This Row],[Sales]]*0.6,
IF(Table1[[#This Row],[Category]]="Furniture",Table1[[#This Row],[Sales]]*0.75,
IF(Table1[[#This Row],[Category]]="Clothing",Table1[[#This Row],[Sales]]*0.65,
Table1[[#This Row],[Sales]]*0.7)))</f>
        <v>4892.25</v>
      </c>
      <c r="I384" s="11">
        <f ca="1">Table1[[#This Row],[Sales]]-H384</f>
        <v>1630.75</v>
      </c>
      <c r="J384" s="2">
        <f ca="1">Table1[[#This Row],[Profit]]/Table1[[#This Row],[Sales]]</f>
        <v>0.25</v>
      </c>
      <c r="K384" t="str">
        <f ca="1">TEXT(Table1[[#This Row],[Order_Date]],"mmm")</f>
        <v>Dec</v>
      </c>
      <c r="L384">
        <f ca="1">YEAR(Table1[[#This Row],[Order_Date]])</f>
        <v>2023</v>
      </c>
    </row>
    <row r="385" spans="1:12" x14ac:dyDescent="0.3">
      <c r="A385">
        <f t="shared" si="20"/>
        <v>384</v>
      </c>
      <c r="B385" s="1">
        <f t="shared" ca="1" si="21"/>
        <v>45162</v>
      </c>
      <c r="C385" t="s">
        <v>10</v>
      </c>
      <c r="D385" t="str">
        <f t="shared" ca="1" si="22"/>
        <v>Office Supplies</v>
      </c>
      <c r="E385" t="s">
        <v>37</v>
      </c>
      <c r="F385" s="11">
        <v>4748</v>
      </c>
      <c r="G385">
        <f t="shared" ca="1" si="23"/>
        <v>5</v>
      </c>
      <c r="H385" s="11">
        <f ca="1">IF(Table1[[#This Row],[Category]]="Electronics",Table1[[#This Row],[Sales]]*0.6,
IF(Table1[[#This Row],[Category]]="Furniture",Table1[[#This Row],[Sales]]*0.75,
IF(Table1[[#This Row],[Category]]="Clothing",Table1[[#This Row],[Sales]]*0.65,
Table1[[#This Row],[Sales]]*0.7)))</f>
        <v>3323.6</v>
      </c>
      <c r="I385" s="11">
        <f ca="1">Table1[[#This Row],[Sales]]-H385</f>
        <v>1424.4</v>
      </c>
      <c r="J385" s="2">
        <f ca="1">Table1[[#This Row],[Profit]]/Table1[[#This Row],[Sales]]</f>
        <v>0.30000000000000004</v>
      </c>
      <c r="K385" t="str">
        <f ca="1">TEXT(Table1[[#This Row],[Order_Date]],"mmm")</f>
        <v>Aug</v>
      </c>
      <c r="L385">
        <f ca="1">YEAR(Table1[[#This Row],[Order_Date]])</f>
        <v>2023</v>
      </c>
    </row>
    <row r="386" spans="1:12" x14ac:dyDescent="0.3">
      <c r="A386">
        <f t="shared" si="20"/>
        <v>385</v>
      </c>
      <c r="B386" s="1">
        <f t="shared" ca="1" si="21"/>
        <v>45265</v>
      </c>
      <c r="C386" t="s">
        <v>7</v>
      </c>
      <c r="D386" t="str">
        <f t="shared" ca="1" si="22"/>
        <v>Clothing</v>
      </c>
      <c r="E386" t="s">
        <v>46</v>
      </c>
      <c r="F386" s="11">
        <v>15378</v>
      </c>
      <c r="G386">
        <f t="shared" ca="1" si="23"/>
        <v>3</v>
      </c>
      <c r="H386" s="11">
        <f ca="1">IF(Table1[[#This Row],[Category]]="Electronics",Table1[[#This Row],[Sales]]*0.6,
IF(Table1[[#This Row],[Category]]="Furniture",Table1[[#This Row],[Sales]]*0.75,
IF(Table1[[#This Row],[Category]]="Clothing",Table1[[#This Row],[Sales]]*0.65,
Table1[[#This Row],[Sales]]*0.7)))</f>
        <v>9995.7000000000007</v>
      </c>
      <c r="I386" s="11">
        <f ca="1">Table1[[#This Row],[Sales]]-H386</f>
        <v>5382.2999999999993</v>
      </c>
      <c r="J386" s="2">
        <f ca="1">Table1[[#This Row],[Profit]]/Table1[[#This Row],[Sales]]</f>
        <v>0.35</v>
      </c>
      <c r="K386" t="str">
        <f ca="1">TEXT(Table1[[#This Row],[Order_Date]],"mmm")</f>
        <v>Dec</v>
      </c>
      <c r="L386">
        <f ca="1">YEAR(Table1[[#This Row],[Order_Date]])</f>
        <v>2023</v>
      </c>
    </row>
    <row r="387" spans="1:12" x14ac:dyDescent="0.3">
      <c r="A387">
        <f t="shared" ref="A387:A450" si="24">ROW()-1</f>
        <v>386</v>
      </c>
      <c r="B387" s="1">
        <f t="shared" ref="B387:B450" ca="1" si="25">DATE(2023, RANDBETWEEN(1,12), RANDBETWEEN(1,28))</f>
        <v>44934</v>
      </c>
      <c r="C387" t="s">
        <v>8</v>
      </c>
      <c r="D387" t="str">
        <f t="shared" ref="D387:D450" ca="1" si="26">CHOOSE(RANDBETWEEN(1,4),"Electronics","Furniture","Clothing","Office Supplies")</f>
        <v>Clothing</v>
      </c>
      <c r="E387" t="s">
        <v>85</v>
      </c>
      <c r="F387" s="11">
        <v>18359</v>
      </c>
      <c r="G387">
        <f t="shared" ref="G387:G450" ca="1" si="27">RANDBETWEEN(1,10)</f>
        <v>3</v>
      </c>
      <c r="H387" s="11">
        <f ca="1">IF(Table1[[#This Row],[Category]]="Electronics",Table1[[#This Row],[Sales]]*0.6,
IF(Table1[[#This Row],[Category]]="Furniture",Table1[[#This Row],[Sales]]*0.75,
IF(Table1[[#This Row],[Category]]="Clothing",Table1[[#This Row],[Sales]]*0.65,
Table1[[#This Row],[Sales]]*0.7)))</f>
        <v>11933.35</v>
      </c>
      <c r="I387" s="11">
        <f ca="1">Table1[[#This Row],[Sales]]-H387</f>
        <v>6425.65</v>
      </c>
      <c r="J387" s="2">
        <f ca="1">Table1[[#This Row],[Profit]]/Table1[[#This Row],[Sales]]</f>
        <v>0.35</v>
      </c>
      <c r="K387" t="str">
        <f ca="1">TEXT(Table1[[#This Row],[Order_Date]],"mmm")</f>
        <v>Jan</v>
      </c>
      <c r="L387">
        <f ca="1">YEAR(Table1[[#This Row],[Order_Date]])</f>
        <v>2023</v>
      </c>
    </row>
    <row r="388" spans="1:12" x14ac:dyDescent="0.3">
      <c r="A388">
        <f t="shared" si="24"/>
        <v>387</v>
      </c>
      <c r="B388" s="1">
        <f t="shared" ca="1" si="25"/>
        <v>45000</v>
      </c>
      <c r="C388" t="s">
        <v>9</v>
      </c>
      <c r="D388" t="str">
        <f t="shared" ca="1" si="26"/>
        <v>Electronics</v>
      </c>
      <c r="E388" t="s">
        <v>84</v>
      </c>
      <c r="F388" s="11">
        <v>3896</v>
      </c>
      <c r="G388">
        <f t="shared" ca="1" si="27"/>
        <v>2</v>
      </c>
      <c r="H388" s="11">
        <f ca="1">IF(Table1[[#This Row],[Category]]="Electronics",Table1[[#This Row],[Sales]]*0.6,
IF(Table1[[#This Row],[Category]]="Furniture",Table1[[#This Row],[Sales]]*0.75,
IF(Table1[[#This Row],[Category]]="Clothing",Table1[[#This Row],[Sales]]*0.65,
Table1[[#This Row],[Sales]]*0.7)))</f>
        <v>2337.6</v>
      </c>
      <c r="I388" s="11">
        <f ca="1">Table1[[#This Row],[Sales]]-H388</f>
        <v>1558.4</v>
      </c>
      <c r="J388" s="2">
        <f ca="1">Table1[[#This Row],[Profit]]/Table1[[#This Row],[Sales]]</f>
        <v>0.4</v>
      </c>
      <c r="K388" t="str">
        <f ca="1">TEXT(Table1[[#This Row],[Order_Date]],"mmm")</f>
        <v>Mar</v>
      </c>
      <c r="L388">
        <f ca="1">YEAR(Table1[[#This Row],[Order_Date]])</f>
        <v>2023</v>
      </c>
    </row>
    <row r="389" spans="1:12" x14ac:dyDescent="0.3">
      <c r="A389">
        <f t="shared" si="24"/>
        <v>388</v>
      </c>
      <c r="B389" s="1">
        <f t="shared" ca="1" si="25"/>
        <v>44993</v>
      </c>
      <c r="C389" t="s">
        <v>10</v>
      </c>
      <c r="D389" t="str">
        <f t="shared" ca="1" si="26"/>
        <v>Furniture</v>
      </c>
      <c r="E389" t="s">
        <v>41</v>
      </c>
      <c r="F389" s="11">
        <v>7631</v>
      </c>
      <c r="G389">
        <f t="shared" ca="1" si="27"/>
        <v>3</v>
      </c>
      <c r="H389" s="11">
        <f ca="1">IF(Table1[[#This Row],[Category]]="Electronics",Table1[[#This Row],[Sales]]*0.6,
IF(Table1[[#This Row],[Category]]="Furniture",Table1[[#This Row],[Sales]]*0.75,
IF(Table1[[#This Row],[Category]]="Clothing",Table1[[#This Row],[Sales]]*0.65,
Table1[[#This Row],[Sales]]*0.7)))</f>
        <v>5723.25</v>
      </c>
      <c r="I389" s="11">
        <f ca="1">Table1[[#This Row],[Sales]]-H389</f>
        <v>1907.75</v>
      </c>
      <c r="J389" s="2">
        <f ca="1">Table1[[#This Row],[Profit]]/Table1[[#This Row],[Sales]]</f>
        <v>0.25</v>
      </c>
      <c r="K389" t="str">
        <f ca="1">TEXT(Table1[[#This Row],[Order_Date]],"mmm")</f>
        <v>Mar</v>
      </c>
      <c r="L389">
        <f ca="1">YEAR(Table1[[#This Row],[Order_Date]])</f>
        <v>2023</v>
      </c>
    </row>
    <row r="390" spans="1:12" x14ac:dyDescent="0.3">
      <c r="A390">
        <f t="shared" si="24"/>
        <v>389</v>
      </c>
      <c r="B390" s="1">
        <f t="shared" ca="1" si="25"/>
        <v>44993</v>
      </c>
      <c r="C390" t="s">
        <v>7</v>
      </c>
      <c r="D390" t="str">
        <f t="shared" ca="1" si="26"/>
        <v>Furniture</v>
      </c>
      <c r="E390" t="s">
        <v>76</v>
      </c>
      <c r="F390" s="11">
        <v>3311</v>
      </c>
      <c r="G390">
        <f t="shared" ca="1" si="27"/>
        <v>4</v>
      </c>
      <c r="H390" s="11">
        <f ca="1">IF(Table1[[#This Row],[Category]]="Electronics",Table1[[#This Row],[Sales]]*0.6,
IF(Table1[[#This Row],[Category]]="Furniture",Table1[[#This Row],[Sales]]*0.75,
IF(Table1[[#This Row],[Category]]="Clothing",Table1[[#This Row],[Sales]]*0.65,
Table1[[#This Row],[Sales]]*0.7)))</f>
        <v>2483.25</v>
      </c>
      <c r="I390" s="11">
        <f ca="1">Table1[[#This Row],[Sales]]-H390</f>
        <v>827.75</v>
      </c>
      <c r="J390" s="2">
        <f ca="1">Table1[[#This Row],[Profit]]/Table1[[#This Row],[Sales]]</f>
        <v>0.25</v>
      </c>
      <c r="K390" t="str">
        <f ca="1">TEXT(Table1[[#This Row],[Order_Date]],"mmm")</f>
        <v>Mar</v>
      </c>
      <c r="L390">
        <f ca="1">YEAR(Table1[[#This Row],[Order_Date]])</f>
        <v>2023</v>
      </c>
    </row>
    <row r="391" spans="1:12" x14ac:dyDescent="0.3">
      <c r="A391">
        <f t="shared" si="24"/>
        <v>390</v>
      </c>
      <c r="B391" s="1">
        <f t="shared" ca="1" si="25"/>
        <v>45007</v>
      </c>
      <c r="C391" t="s">
        <v>8</v>
      </c>
      <c r="D391" t="str">
        <f t="shared" ca="1" si="26"/>
        <v>Clothing</v>
      </c>
      <c r="E391" t="s">
        <v>50</v>
      </c>
      <c r="F391" s="11">
        <v>9174</v>
      </c>
      <c r="G391">
        <f t="shared" ca="1" si="27"/>
        <v>8</v>
      </c>
      <c r="H391" s="11">
        <f ca="1">IF(Table1[[#This Row],[Category]]="Electronics",Table1[[#This Row],[Sales]]*0.6,
IF(Table1[[#This Row],[Category]]="Furniture",Table1[[#This Row],[Sales]]*0.75,
IF(Table1[[#This Row],[Category]]="Clothing",Table1[[#This Row],[Sales]]*0.65,
Table1[[#This Row],[Sales]]*0.7)))</f>
        <v>5963.1</v>
      </c>
      <c r="I391" s="11">
        <f ca="1">Table1[[#This Row],[Sales]]-H391</f>
        <v>3210.8999999999996</v>
      </c>
      <c r="J391" s="2">
        <f ca="1">Table1[[#This Row],[Profit]]/Table1[[#This Row],[Sales]]</f>
        <v>0.35</v>
      </c>
      <c r="K391" t="str">
        <f ca="1">TEXT(Table1[[#This Row],[Order_Date]],"mmm")</f>
        <v>Mar</v>
      </c>
      <c r="L391">
        <f ca="1">YEAR(Table1[[#This Row],[Order_Date]])</f>
        <v>2023</v>
      </c>
    </row>
    <row r="392" spans="1:12" x14ac:dyDescent="0.3">
      <c r="A392">
        <f t="shared" si="24"/>
        <v>391</v>
      </c>
      <c r="B392" s="1">
        <f t="shared" ca="1" si="25"/>
        <v>45220</v>
      </c>
      <c r="C392" t="s">
        <v>9</v>
      </c>
      <c r="D392" t="str">
        <f t="shared" ca="1" si="26"/>
        <v>Clothing</v>
      </c>
      <c r="E392" t="s">
        <v>53</v>
      </c>
      <c r="F392" s="11">
        <v>8324</v>
      </c>
      <c r="G392">
        <f t="shared" ca="1" si="27"/>
        <v>6</v>
      </c>
      <c r="H392" s="11">
        <f ca="1">IF(Table1[[#This Row],[Category]]="Electronics",Table1[[#This Row],[Sales]]*0.6,
IF(Table1[[#This Row],[Category]]="Furniture",Table1[[#This Row],[Sales]]*0.75,
IF(Table1[[#This Row],[Category]]="Clothing",Table1[[#This Row],[Sales]]*0.65,
Table1[[#This Row],[Sales]]*0.7)))</f>
        <v>5410.6</v>
      </c>
      <c r="I392" s="11">
        <f ca="1">Table1[[#This Row],[Sales]]-H392</f>
        <v>2913.3999999999996</v>
      </c>
      <c r="J392" s="2">
        <f ca="1">Table1[[#This Row],[Profit]]/Table1[[#This Row],[Sales]]</f>
        <v>0.35</v>
      </c>
      <c r="K392" t="str">
        <f ca="1">TEXT(Table1[[#This Row],[Order_Date]],"mmm")</f>
        <v>Oct</v>
      </c>
      <c r="L392">
        <f ca="1">YEAR(Table1[[#This Row],[Order_Date]])</f>
        <v>2023</v>
      </c>
    </row>
    <row r="393" spans="1:12" x14ac:dyDescent="0.3">
      <c r="A393">
        <f t="shared" si="24"/>
        <v>392</v>
      </c>
      <c r="B393" s="1">
        <f t="shared" ca="1" si="25"/>
        <v>45006</v>
      </c>
      <c r="C393" t="s">
        <v>10</v>
      </c>
      <c r="D393" t="str">
        <f t="shared" ca="1" si="26"/>
        <v>Office Supplies</v>
      </c>
      <c r="E393" t="s">
        <v>62</v>
      </c>
      <c r="F393" s="11">
        <v>1375</v>
      </c>
      <c r="G393">
        <f t="shared" ca="1" si="27"/>
        <v>1</v>
      </c>
      <c r="H393" s="11">
        <f ca="1">IF(Table1[[#This Row],[Category]]="Electronics",Table1[[#This Row],[Sales]]*0.6,
IF(Table1[[#This Row],[Category]]="Furniture",Table1[[#This Row],[Sales]]*0.75,
IF(Table1[[#This Row],[Category]]="Clothing",Table1[[#This Row],[Sales]]*0.65,
Table1[[#This Row],[Sales]]*0.7)))</f>
        <v>962.49999999999989</v>
      </c>
      <c r="I393" s="11">
        <f ca="1">Table1[[#This Row],[Sales]]-H393</f>
        <v>412.50000000000011</v>
      </c>
      <c r="J393" s="2">
        <f ca="1">Table1[[#This Row],[Profit]]/Table1[[#This Row],[Sales]]</f>
        <v>0.3000000000000001</v>
      </c>
      <c r="K393" t="str">
        <f ca="1">TEXT(Table1[[#This Row],[Order_Date]],"mmm")</f>
        <v>Mar</v>
      </c>
      <c r="L393">
        <f ca="1">YEAR(Table1[[#This Row],[Order_Date]])</f>
        <v>2023</v>
      </c>
    </row>
    <row r="394" spans="1:12" x14ac:dyDescent="0.3">
      <c r="A394">
        <f t="shared" si="24"/>
        <v>393</v>
      </c>
      <c r="B394" s="1">
        <f t="shared" ca="1" si="25"/>
        <v>45194</v>
      </c>
      <c r="C394" t="s">
        <v>7</v>
      </c>
      <c r="D394" t="str">
        <f t="shared" ca="1" si="26"/>
        <v>Electronics</v>
      </c>
      <c r="E394" t="s">
        <v>51</v>
      </c>
      <c r="F394" s="11">
        <v>6070</v>
      </c>
      <c r="G394">
        <f t="shared" ca="1" si="27"/>
        <v>9</v>
      </c>
      <c r="H394" s="11">
        <f ca="1">IF(Table1[[#This Row],[Category]]="Electronics",Table1[[#This Row],[Sales]]*0.6,
IF(Table1[[#This Row],[Category]]="Furniture",Table1[[#This Row],[Sales]]*0.75,
IF(Table1[[#This Row],[Category]]="Clothing",Table1[[#This Row],[Sales]]*0.65,
Table1[[#This Row],[Sales]]*0.7)))</f>
        <v>3642</v>
      </c>
      <c r="I394" s="11">
        <f ca="1">Table1[[#This Row],[Sales]]-H394</f>
        <v>2428</v>
      </c>
      <c r="J394" s="2">
        <f ca="1">Table1[[#This Row],[Profit]]/Table1[[#This Row],[Sales]]</f>
        <v>0.4</v>
      </c>
      <c r="K394" t="str">
        <f ca="1">TEXT(Table1[[#This Row],[Order_Date]],"mmm")</f>
        <v>Sep</v>
      </c>
      <c r="L394">
        <f ca="1">YEAR(Table1[[#This Row],[Order_Date]])</f>
        <v>2023</v>
      </c>
    </row>
    <row r="395" spans="1:12" x14ac:dyDescent="0.3">
      <c r="A395">
        <f t="shared" si="24"/>
        <v>394</v>
      </c>
      <c r="B395" s="1">
        <f t="shared" ca="1" si="25"/>
        <v>44983</v>
      </c>
      <c r="C395" t="s">
        <v>8</v>
      </c>
      <c r="D395" t="str">
        <f t="shared" ca="1" si="26"/>
        <v>Furniture</v>
      </c>
      <c r="E395" t="s">
        <v>40</v>
      </c>
      <c r="F395" s="11">
        <v>14754</v>
      </c>
      <c r="G395">
        <f t="shared" ca="1" si="27"/>
        <v>2</v>
      </c>
      <c r="H395" s="11">
        <f ca="1">IF(Table1[[#This Row],[Category]]="Electronics",Table1[[#This Row],[Sales]]*0.6,
IF(Table1[[#This Row],[Category]]="Furniture",Table1[[#This Row],[Sales]]*0.75,
IF(Table1[[#This Row],[Category]]="Clothing",Table1[[#This Row],[Sales]]*0.65,
Table1[[#This Row],[Sales]]*0.7)))</f>
        <v>11065.5</v>
      </c>
      <c r="I395" s="11">
        <f ca="1">Table1[[#This Row],[Sales]]-H395</f>
        <v>3688.5</v>
      </c>
      <c r="J395" s="2">
        <f ca="1">Table1[[#This Row],[Profit]]/Table1[[#This Row],[Sales]]</f>
        <v>0.25</v>
      </c>
      <c r="K395" t="str">
        <f ca="1">TEXT(Table1[[#This Row],[Order_Date]],"mmm")</f>
        <v>Feb</v>
      </c>
      <c r="L395">
        <f ca="1">YEAR(Table1[[#This Row],[Order_Date]])</f>
        <v>2023</v>
      </c>
    </row>
    <row r="396" spans="1:12" x14ac:dyDescent="0.3">
      <c r="A396">
        <f t="shared" si="24"/>
        <v>395</v>
      </c>
      <c r="B396" s="1">
        <f t="shared" ca="1" si="25"/>
        <v>44976</v>
      </c>
      <c r="C396" t="s">
        <v>9</v>
      </c>
      <c r="D396" t="str">
        <f t="shared" ca="1" si="26"/>
        <v>Office Supplies</v>
      </c>
      <c r="E396" t="s">
        <v>51</v>
      </c>
      <c r="F396" s="11">
        <v>7517</v>
      </c>
      <c r="G396">
        <f t="shared" ca="1" si="27"/>
        <v>5</v>
      </c>
      <c r="H396" s="11">
        <f ca="1">IF(Table1[[#This Row],[Category]]="Electronics",Table1[[#This Row],[Sales]]*0.6,
IF(Table1[[#This Row],[Category]]="Furniture",Table1[[#This Row],[Sales]]*0.75,
IF(Table1[[#This Row],[Category]]="Clothing",Table1[[#This Row],[Sales]]*0.65,
Table1[[#This Row],[Sales]]*0.7)))</f>
        <v>5261.9</v>
      </c>
      <c r="I396" s="11">
        <f ca="1">Table1[[#This Row],[Sales]]-H396</f>
        <v>2255.1000000000004</v>
      </c>
      <c r="J396" s="2">
        <f ca="1">Table1[[#This Row],[Profit]]/Table1[[#This Row],[Sales]]</f>
        <v>0.30000000000000004</v>
      </c>
      <c r="K396" t="str">
        <f ca="1">TEXT(Table1[[#This Row],[Order_Date]],"mmm")</f>
        <v>Feb</v>
      </c>
      <c r="L396">
        <f ca="1">YEAR(Table1[[#This Row],[Order_Date]])</f>
        <v>2023</v>
      </c>
    </row>
    <row r="397" spans="1:12" x14ac:dyDescent="0.3">
      <c r="A397">
        <f t="shared" si="24"/>
        <v>396</v>
      </c>
      <c r="B397" s="1">
        <f t="shared" ca="1" si="25"/>
        <v>45257</v>
      </c>
      <c r="C397" t="s">
        <v>10</v>
      </c>
      <c r="D397" t="str">
        <f t="shared" ca="1" si="26"/>
        <v>Office Supplies</v>
      </c>
      <c r="E397" t="s">
        <v>60</v>
      </c>
      <c r="F397" s="11">
        <v>10242</v>
      </c>
      <c r="G397">
        <f t="shared" ca="1" si="27"/>
        <v>3</v>
      </c>
      <c r="H397" s="11">
        <f ca="1">IF(Table1[[#This Row],[Category]]="Electronics",Table1[[#This Row],[Sales]]*0.6,
IF(Table1[[#This Row],[Category]]="Furniture",Table1[[#This Row],[Sales]]*0.75,
IF(Table1[[#This Row],[Category]]="Clothing",Table1[[#This Row],[Sales]]*0.65,
Table1[[#This Row],[Sales]]*0.7)))</f>
        <v>7169.4</v>
      </c>
      <c r="I397" s="11">
        <f ca="1">Table1[[#This Row],[Sales]]-H397</f>
        <v>3072.6000000000004</v>
      </c>
      <c r="J397" s="2">
        <f ca="1">Table1[[#This Row],[Profit]]/Table1[[#This Row],[Sales]]</f>
        <v>0.30000000000000004</v>
      </c>
      <c r="K397" t="str">
        <f ca="1">TEXT(Table1[[#This Row],[Order_Date]],"mmm")</f>
        <v>Nov</v>
      </c>
      <c r="L397">
        <f ca="1">YEAR(Table1[[#This Row],[Order_Date]])</f>
        <v>2023</v>
      </c>
    </row>
    <row r="398" spans="1:12" x14ac:dyDescent="0.3">
      <c r="A398">
        <f t="shared" si="24"/>
        <v>397</v>
      </c>
      <c r="B398" s="1">
        <f t="shared" ca="1" si="25"/>
        <v>45253</v>
      </c>
      <c r="C398" t="s">
        <v>7</v>
      </c>
      <c r="D398" t="str">
        <f t="shared" ca="1" si="26"/>
        <v>Furniture</v>
      </c>
      <c r="E398" t="s">
        <v>50</v>
      </c>
      <c r="F398" s="11">
        <v>16468</v>
      </c>
      <c r="G398">
        <f t="shared" ca="1" si="27"/>
        <v>2</v>
      </c>
      <c r="H398" s="11">
        <f ca="1">IF(Table1[[#This Row],[Category]]="Electronics",Table1[[#This Row],[Sales]]*0.6,
IF(Table1[[#This Row],[Category]]="Furniture",Table1[[#This Row],[Sales]]*0.75,
IF(Table1[[#This Row],[Category]]="Clothing",Table1[[#This Row],[Sales]]*0.65,
Table1[[#This Row],[Sales]]*0.7)))</f>
        <v>12351</v>
      </c>
      <c r="I398" s="11">
        <f ca="1">Table1[[#This Row],[Sales]]-H398</f>
        <v>4117</v>
      </c>
      <c r="J398" s="2">
        <f ca="1">Table1[[#This Row],[Profit]]/Table1[[#This Row],[Sales]]</f>
        <v>0.25</v>
      </c>
      <c r="K398" t="str">
        <f ca="1">TEXT(Table1[[#This Row],[Order_Date]],"mmm")</f>
        <v>Nov</v>
      </c>
      <c r="L398">
        <f ca="1">YEAR(Table1[[#This Row],[Order_Date]])</f>
        <v>2023</v>
      </c>
    </row>
    <row r="399" spans="1:12" x14ac:dyDescent="0.3">
      <c r="A399">
        <f t="shared" si="24"/>
        <v>398</v>
      </c>
      <c r="B399" s="1">
        <f t="shared" ca="1" si="25"/>
        <v>45083</v>
      </c>
      <c r="C399" t="s">
        <v>8</v>
      </c>
      <c r="D399" t="str">
        <f t="shared" ca="1" si="26"/>
        <v>Clothing</v>
      </c>
      <c r="E399" t="s">
        <v>60</v>
      </c>
      <c r="F399" s="11">
        <v>16197</v>
      </c>
      <c r="G399">
        <f t="shared" ca="1" si="27"/>
        <v>2</v>
      </c>
      <c r="H399" s="11">
        <f ca="1">IF(Table1[[#This Row],[Category]]="Electronics",Table1[[#This Row],[Sales]]*0.6,
IF(Table1[[#This Row],[Category]]="Furniture",Table1[[#This Row],[Sales]]*0.75,
IF(Table1[[#This Row],[Category]]="Clothing",Table1[[#This Row],[Sales]]*0.65,
Table1[[#This Row],[Sales]]*0.7)))</f>
        <v>10528.050000000001</v>
      </c>
      <c r="I399" s="11">
        <f ca="1">Table1[[#This Row],[Sales]]-H399</f>
        <v>5668.9499999999989</v>
      </c>
      <c r="J399" s="2">
        <f ca="1">Table1[[#This Row],[Profit]]/Table1[[#This Row],[Sales]]</f>
        <v>0.34999999999999992</v>
      </c>
      <c r="K399" t="str">
        <f ca="1">TEXT(Table1[[#This Row],[Order_Date]],"mmm")</f>
        <v>Jun</v>
      </c>
      <c r="L399">
        <f ca="1">YEAR(Table1[[#This Row],[Order_Date]])</f>
        <v>2023</v>
      </c>
    </row>
    <row r="400" spans="1:12" x14ac:dyDescent="0.3">
      <c r="A400">
        <f t="shared" si="24"/>
        <v>399</v>
      </c>
      <c r="B400" s="1">
        <f t="shared" ca="1" si="25"/>
        <v>45276</v>
      </c>
      <c r="C400" t="s">
        <v>9</v>
      </c>
      <c r="D400" t="str">
        <f t="shared" ca="1" si="26"/>
        <v>Clothing</v>
      </c>
      <c r="E400" t="s">
        <v>41</v>
      </c>
      <c r="F400" s="11">
        <v>11995</v>
      </c>
      <c r="G400">
        <f t="shared" ca="1" si="27"/>
        <v>2</v>
      </c>
      <c r="H400" s="11">
        <f ca="1">IF(Table1[[#This Row],[Category]]="Electronics",Table1[[#This Row],[Sales]]*0.6,
IF(Table1[[#This Row],[Category]]="Furniture",Table1[[#This Row],[Sales]]*0.75,
IF(Table1[[#This Row],[Category]]="Clothing",Table1[[#This Row],[Sales]]*0.65,
Table1[[#This Row],[Sales]]*0.7)))</f>
        <v>7796.75</v>
      </c>
      <c r="I400" s="11">
        <f ca="1">Table1[[#This Row],[Sales]]-H400</f>
        <v>4198.25</v>
      </c>
      <c r="J400" s="2">
        <f ca="1">Table1[[#This Row],[Profit]]/Table1[[#This Row],[Sales]]</f>
        <v>0.35</v>
      </c>
      <c r="K400" t="str">
        <f ca="1">TEXT(Table1[[#This Row],[Order_Date]],"mmm")</f>
        <v>Dec</v>
      </c>
      <c r="L400">
        <f ca="1">YEAR(Table1[[#This Row],[Order_Date]])</f>
        <v>2023</v>
      </c>
    </row>
    <row r="401" spans="1:12" x14ac:dyDescent="0.3">
      <c r="A401">
        <f t="shared" si="24"/>
        <v>400</v>
      </c>
      <c r="B401" s="1">
        <f t="shared" ca="1" si="25"/>
        <v>45233</v>
      </c>
      <c r="C401" t="s">
        <v>10</v>
      </c>
      <c r="D401" t="str">
        <f t="shared" ca="1" si="26"/>
        <v>Office Supplies</v>
      </c>
      <c r="E401" t="s">
        <v>52</v>
      </c>
      <c r="F401" s="11">
        <v>17066</v>
      </c>
      <c r="G401">
        <f t="shared" ca="1" si="27"/>
        <v>6</v>
      </c>
      <c r="H401" s="11">
        <f ca="1">IF(Table1[[#This Row],[Category]]="Electronics",Table1[[#This Row],[Sales]]*0.6,
IF(Table1[[#This Row],[Category]]="Furniture",Table1[[#This Row],[Sales]]*0.75,
IF(Table1[[#This Row],[Category]]="Clothing",Table1[[#This Row],[Sales]]*0.65,
Table1[[#This Row],[Sales]]*0.7)))</f>
        <v>11946.199999999999</v>
      </c>
      <c r="I401" s="11">
        <f ca="1">Table1[[#This Row],[Sales]]-H401</f>
        <v>5119.8000000000011</v>
      </c>
      <c r="J401" s="2">
        <f ca="1">Table1[[#This Row],[Profit]]/Table1[[#This Row],[Sales]]</f>
        <v>0.30000000000000004</v>
      </c>
      <c r="K401" t="str">
        <f ca="1">TEXT(Table1[[#This Row],[Order_Date]],"mmm")</f>
        <v>Nov</v>
      </c>
      <c r="L401">
        <f ca="1">YEAR(Table1[[#This Row],[Order_Date]])</f>
        <v>2023</v>
      </c>
    </row>
    <row r="402" spans="1:12" x14ac:dyDescent="0.3">
      <c r="A402">
        <f t="shared" si="24"/>
        <v>401</v>
      </c>
      <c r="B402" s="1">
        <f t="shared" ca="1" si="25"/>
        <v>45059</v>
      </c>
      <c r="C402" t="s">
        <v>7</v>
      </c>
      <c r="D402" t="str">
        <f t="shared" ca="1" si="26"/>
        <v>Furniture</v>
      </c>
      <c r="E402" t="s">
        <v>58</v>
      </c>
      <c r="F402" s="11">
        <v>18903</v>
      </c>
      <c r="G402">
        <f t="shared" ca="1" si="27"/>
        <v>2</v>
      </c>
      <c r="H402" s="11">
        <f ca="1">IF(Table1[[#This Row],[Category]]="Electronics",Table1[[#This Row],[Sales]]*0.6,
IF(Table1[[#This Row],[Category]]="Furniture",Table1[[#This Row],[Sales]]*0.75,
IF(Table1[[#This Row],[Category]]="Clothing",Table1[[#This Row],[Sales]]*0.65,
Table1[[#This Row],[Sales]]*0.7)))</f>
        <v>14177.25</v>
      </c>
      <c r="I402" s="11">
        <f ca="1">Table1[[#This Row],[Sales]]-H402</f>
        <v>4725.75</v>
      </c>
      <c r="J402" s="2">
        <f ca="1">Table1[[#This Row],[Profit]]/Table1[[#This Row],[Sales]]</f>
        <v>0.25</v>
      </c>
      <c r="K402" t="str">
        <f ca="1">TEXT(Table1[[#This Row],[Order_Date]],"mmm")</f>
        <v>May</v>
      </c>
      <c r="L402">
        <f ca="1">YEAR(Table1[[#This Row],[Order_Date]])</f>
        <v>2023</v>
      </c>
    </row>
    <row r="403" spans="1:12" x14ac:dyDescent="0.3">
      <c r="A403">
        <f t="shared" si="24"/>
        <v>402</v>
      </c>
      <c r="B403" s="1">
        <f t="shared" ca="1" si="25"/>
        <v>45180</v>
      </c>
      <c r="C403" t="s">
        <v>8</v>
      </c>
      <c r="D403" t="str">
        <f t="shared" ca="1" si="26"/>
        <v>Furniture</v>
      </c>
      <c r="E403" t="s">
        <v>75</v>
      </c>
      <c r="F403" s="11">
        <v>1379</v>
      </c>
      <c r="G403">
        <f t="shared" ca="1" si="27"/>
        <v>1</v>
      </c>
      <c r="H403" s="11">
        <f ca="1">IF(Table1[[#This Row],[Category]]="Electronics",Table1[[#This Row],[Sales]]*0.6,
IF(Table1[[#This Row],[Category]]="Furniture",Table1[[#This Row],[Sales]]*0.75,
IF(Table1[[#This Row],[Category]]="Clothing",Table1[[#This Row],[Sales]]*0.65,
Table1[[#This Row],[Sales]]*0.7)))</f>
        <v>1034.25</v>
      </c>
      <c r="I403" s="11">
        <f ca="1">Table1[[#This Row],[Sales]]-H403</f>
        <v>344.75</v>
      </c>
      <c r="J403" s="2">
        <f ca="1">Table1[[#This Row],[Profit]]/Table1[[#This Row],[Sales]]</f>
        <v>0.25</v>
      </c>
      <c r="K403" t="str">
        <f ca="1">TEXT(Table1[[#This Row],[Order_Date]],"mmm")</f>
        <v>Sep</v>
      </c>
      <c r="L403">
        <f ca="1">YEAR(Table1[[#This Row],[Order_Date]])</f>
        <v>2023</v>
      </c>
    </row>
    <row r="404" spans="1:12" x14ac:dyDescent="0.3">
      <c r="A404">
        <f t="shared" si="24"/>
        <v>403</v>
      </c>
      <c r="B404" s="1">
        <f t="shared" ca="1" si="25"/>
        <v>45009</v>
      </c>
      <c r="C404" t="s">
        <v>9</v>
      </c>
      <c r="D404" t="str">
        <f t="shared" ca="1" si="26"/>
        <v>Furniture</v>
      </c>
      <c r="E404" t="s">
        <v>51</v>
      </c>
      <c r="F404" s="11">
        <v>13197</v>
      </c>
      <c r="G404">
        <f t="shared" ca="1" si="27"/>
        <v>6</v>
      </c>
      <c r="H404" s="11">
        <f ca="1">IF(Table1[[#This Row],[Category]]="Electronics",Table1[[#This Row],[Sales]]*0.6,
IF(Table1[[#This Row],[Category]]="Furniture",Table1[[#This Row],[Sales]]*0.75,
IF(Table1[[#This Row],[Category]]="Clothing",Table1[[#This Row],[Sales]]*0.65,
Table1[[#This Row],[Sales]]*0.7)))</f>
        <v>9897.75</v>
      </c>
      <c r="I404" s="11">
        <f ca="1">Table1[[#This Row],[Sales]]-H404</f>
        <v>3299.25</v>
      </c>
      <c r="J404" s="2">
        <f ca="1">Table1[[#This Row],[Profit]]/Table1[[#This Row],[Sales]]</f>
        <v>0.25</v>
      </c>
      <c r="K404" t="str">
        <f ca="1">TEXT(Table1[[#This Row],[Order_Date]],"mmm")</f>
        <v>Mar</v>
      </c>
      <c r="L404">
        <f ca="1">YEAR(Table1[[#This Row],[Order_Date]])</f>
        <v>2023</v>
      </c>
    </row>
    <row r="405" spans="1:12" x14ac:dyDescent="0.3">
      <c r="A405">
        <f t="shared" si="24"/>
        <v>404</v>
      </c>
      <c r="B405" s="1">
        <f t="shared" ca="1" si="25"/>
        <v>45280</v>
      </c>
      <c r="C405" t="s">
        <v>10</v>
      </c>
      <c r="D405" t="str">
        <f t="shared" ca="1" si="26"/>
        <v>Clothing</v>
      </c>
      <c r="E405" t="s">
        <v>40</v>
      </c>
      <c r="F405" s="11">
        <v>892</v>
      </c>
      <c r="G405">
        <f t="shared" ca="1" si="27"/>
        <v>10</v>
      </c>
      <c r="H405" s="11">
        <f ca="1">IF(Table1[[#This Row],[Category]]="Electronics",Table1[[#This Row],[Sales]]*0.6,
IF(Table1[[#This Row],[Category]]="Furniture",Table1[[#This Row],[Sales]]*0.75,
IF(Table1[[#This Row],[Category]]="Clothing",Table1[[#This Row],[Sales]]*0.65,
Table1[[#This Row],[Sales]]*0.7)))</f>
        <v>579.80000000000007</v>
      </c>
      <c r="I405" s="11">
        <f ca="1">Table1[[#This Row],[Sales]]-H405</f>
        <v>312.19999999999993</v>
      </c>
      <c r="J405" s="2">
        <f ca="1">Table1[[#This Row],[Profit]]/Table1[[#This Row],[Sales]]</f>
        <v>0.34999999999999992</v>
      </c>
      <c r="K405" t="str">
        <f ca="1">TEXT(Table1[[#This Row],[Order_Date]],"mmm")</f>
        <v>Dec</v>
      </c>
      <c r="L405">
        <f ca="1">YEAR(Table1[[#This Row],[Order_Date]])</f>
        <v>2023</v>
      </c>
    </row>
    <row r="406" spans="1:12" x14ac:dyDescent="0.3">
      <c r="A406">
        <f t="shared" si="24"/>
        <v>405</v>
      </c>
      <c r="B406" s="1">
        <f t="shared" ca="1" si="25"/>
        <v>44978</v>
      </c>
      <c r="C406" t="s">
        <v>7</v>
      </c>
      <c r="D406" t="str">
        <f t="shared" ca="1" si="26"/>
        <v>Furniture</v>
      </c>
      <c r="E406" t="s">
        <v>54</v>
      </c>
      <c r="F406" s="11">
        <v>8806</v>
      </c>
      <c r="G406">
        <f t="shared" ca="1" si="27"/>
        <v>2</v>
      </c>
      <c r="H406" s="11">
        <f ca="1">IF(Table1[[#This Row],[Category]]="Electronics",Table1[[#This Row],[Sales]]*0.6,
IF(Table1[[#This Row],[Category]]="Furniture",Table1[[#This Row],[Sales]]*0.75,
IF(Table1[[#This Row],[Category]]="Clothing",Table1[[#This Row],[Sales]]*0.65,
Table1[[#This Row],[Sales]]*0.7)))</f>
        <v>6604.5</v>
      </c>
      <c r="I406" s="11">
        <f ca="1">Table1[[#This Row],[Sales]]-H406</f>
        <v>2201.5</v>
      </c>
      <c r="J406" s="2">
        <f ca="1">Table1[[#This Row],[Profit]]/Table1[[#This Row],[Sales]]</f>
        <v>0.25</v>
      </c>
      <c r="K406" t="str">
        <f ca="1">TEXT(Table1[[#This Row],[Order_Date]],"mmm")</f>
        <v>Feb</v>
      </c>
      <c r="L406">
        <f ca="1">YEAR(Table1[[#This Row],[Order_Date]])</f>
        <v>2023</v>
      </c>
    </row>
    <row r="407" spans="1:12" x14ac:dyDescent="0.3">
      <c r="A407">
        <f t="shared" si="24"/>
        <v>406</v>
      </c>
      <c r="B407" s="1">
        <f t="shared" ca="1" si="25"/>
        <v>45180</v>
      </c>
      <c r="C407" t="s">
        <v>8</v>
      </c>
      <c r="D407" t="str">
        <f t="shared" ca="1" si="26"/>
        <v>Office Supplies</v>
      </c>
      <c r="E407" t="s">
        <v>60</v>
      </c>
      <c r="F407" s="11">
        <v>13937</v>
      </c>
      <c r="G407">
        <f t="shared" ca="1" si="27"/>
        <v>4</v>
      </c>
      <c r="H407" s="11">
        <f ca="1">IF(Table1[[#This Row],[Category]]="Electronics",Table1[[#This Row],[Sales]]*0.6,
IF(Table1[[#This Row],[Category]]="Furniture",Table1[[#This Row],[Sales]]*0.75,
IF(Table1[[#This Row],[Category]]="Clothing",Table1[[#This Row],[Sales]]*0.65,
Table1[[#This Row],[Sales]]*0.7)))</f>
        <v>9755.9</v>
      </c>
      <c r="I407" s="11">
        <f ca="1">Table1[[#This Row],[Sales]]-H407</f>
        <v>4181.1000000000004</v>
      </c>
      <c r="J407" s="2">
        <f ca="1">Table1[[#This Row],[Profit]]/Table1[[#This Row],[Sales]]</f>
        <v>0.30000000000000004</v>
      </c>
      <c r="K407" t="str">
        <f ca="1">TEXT(Table1[[#This Row],[Order_Date]],"mmm")</f>
        <v>Sep</v>
      </c>
      <c r="L407">
        <f ca="1">YEAR(Table1[[#This Row],[Order_Date]])</f>
        <v>2023</v>
      </c>
    </row>
    <row r="408" spans="1:12" x14ac:dyDescent="0.3">
      <c r="A408">
        <f t="shared" si="24"/>
        <v>407</v>
      </c>
      <c r="B408" s="1">
        <f t="shared" ca="1" si="25"/>
        <v>45066</v>
      </c>
      <c r="C408" t="s">
        <v>9</v>
      </c>
      <c r="D408" t="str">
        <f t="shared" ca="1" si="26"/>
        <v>Electronics</v>
      </c>
      <c r="E408" t="s">
        <v>53</v>
      </c>
      <c r="F408" s="11">
        <v>10160</v>
      </c>
      <c r="G408">
        <f t="shared" ca="1" si="27"/>
        <v>2</v>
      </c>
      <c r="H408" s="11">
        <f ca="1">IF(Table1[[#This Row],[Category]]="Electronics",Table1[[#This Row],[Sales]]*0.6,
IF(Table1[[#This Row],[Category]]="Furniture",Table1[[#This Row],[Sales]]*0.75,
IF(Table1[[#This Row],[Category]]="Clothing",Table1[[#This Row],[Sales]]*0.65,
Table1[[#This Row],[Sales]]*0.7)))</f>
        <v>6096</v>
      </c>
      <c r="I408" s="11">
        <f ca="1">Table1[[#This Row],[Sales]]-H408</f>
        <v>4064</v>
      </c>
      <c r="J408" s="2">
        <f ca="1">Table1[[#This Row],[Profit]]/Table1[[#This Row],[Sales]]</f>
        <v>0.4</v>
      </c>
      <c r="K408" t="str">
        <f ca="1">TEXT(Table1[[#This Row],[Order_Date]],"mmm")</f>
        <v>May</v>
      </c>
      <c r="L408">
        <f ca="1">YEAR(Table1[[#This Row],[Order_Date]])</f>
        <v>2023</v>
      </c>
    </row>
    <row r="409" spans="1:12" x14ac:dyDescent="0.3">
      <c r="A409">
        <f t="shared" si="24"/>
        <v>408</v>
      </c>
      <c r="B409" s="1">
        <f t="shared" ca="1" si="25"/>
        <v>45277</v>
      </c>
      <c r="C409" t="s">
        <v>10</v>
      </c>
      <c r="D409" t="str">
        <f t="shared" ca="1" si="26"/>
        <v>Electronics</v>
      </c>
      <c r="E409" t="s">
        <v>46</v>
      </c>
      <c r="F409" s="11">
        <v>15000</v>
      </c>
      <c r="G409">
        <f t="shared" ca="1" si="27"/>
        <v>2</v>
      </c>
      <c r="H409" s="11">
        <f ca="1">IF(Table1[[#This Row],[Category]]="Electronics",Table1[[#This Row],[Sales]]*0.6,
IF(Table1[[#This Row],[Category]]="Furniture",Table1[[#This Row],[Sales]]*0.75,
IF(Table1[[#This Row],[Category]]="Clothing",Table1[[#This Row],[Sales]]*0.65,
Table1[[#This Row],[Sales]]*0.7)))</f>
        <v>9000</v>
      </c>
      <c r="I409" s="11">
        <f ca="1">Table1[[#This Row],[Sales]]-H409</f>
        <v>6000</v>
      </c>
      <c r="J409" s="2">
        <f ca="1">Table1[[#This Row],[Profit]]/Table1[[#This Row],[Sales]]</f>
        <v>0.4</v>
      </c>
      <c r="K409" t="str">
        <f ca="1">TEXT(Table1[[#This Row],[Order_Date]],"mmm")</f>
        <v>Dec</v>
      </c>
      <c r="L409">
        <f ca="1">YEAR(Table1[[#This Row],[Order_Date]])</f>
        <v>2023</v>
      </c>
    </row>
    <row r="410" spans="1:12" x14ac:dyDescent="0.3">
      <c r="A410">
        <f t="shared" si="24"/>
        <v>409</v>
      </c>
      <c r="B410" s="1">
        <f t="shared" ca="1" si="25"/>
        <v>44942</v>
      </c>
      <c r="C410" t="s">
        <v>7</v>
      </c>
      <c r="D410" t="str">
        <f t="shared" ca="1" si="26"/>
        <v>Furniture</v>
      </c>
      <c r="E410" t="s">
        <v>84</v>
      </c>
      <c r="F410" s="11">
        <v>1636</v>
      </c>
      <c r="G410">
        <f t="shared" ca="1" si="27"/>
        <v>9</v>
      </c>
      <c r="H410" s="11">
        <f ca="1">IF(Table1[[#This Row],[Category]]="Electronics",Table1[[#This Row],[Sales]]*0.6,
IF(Table1[[#This Row],[Category]]="Furniture",Table1[[#This Row],[Sales]]*0.75,
IF(Table1[[#This Row],[Category]]="Clothing",Table1[[#This Row],[Sales]]*0.65,
Table1[[#This Row],[Sales]]*0.7)))</f>
        <v>1227</v>
      </c>
      <c r="I410" s="11">
        <f ca="1">Table1[[#This Row],[Sales]]-H410</f>
        <v>409</v>
      </c>
      <c r="J410" s="2">
        <f ca="1">Table1[[#This Row],[Profit]]/Table1[[#This Row],[Sales]]</f>
        <v>0.25</v>
      </c>
      <c r="K410" t="str">
        <f ca="1">TEXT(Table1[[#This Row],[Order_Date]],"mmm")</f>
        <v>Jan</v>
      </c>
      <c r="L410">
        <f ca="1">YEAR(Table1[[#This Row],[Order_Date]])</f>
        <v>2023</v>
      </c>
    </row>
    <row r="411" spans="1:12" x14ac:dyDescent="0.3">
      <c r="A411">
        <f t="shared" si="24"/>
        <v>410</v>
      </c>
      <c r="B411" s="1">
        <f t="shared" ca="1" si="25"/>
        <v>45273</v>
      </c>
      <c r="C411" t="s">
        <v>8</v>
      </c>
      <c r="D411" t="str">
        <f t="shared" ca="1" si="26"/>
        <v>Clothing</v>
      </c>
      <c r="E411" t="s">
        <v>73</v>
      </c>
      <c r="F411" s="11">
        <v>9237</v>
      </c>
      <c r="G411">
        <f t="shared" ca="1" si="27"/>
        <v>1</v>
      </c>
      <c r="H411" s="11">
        <f ca="1">IF(Table1[[#This Row],[Category]]="Electronics",Table1[[#This Row],[Sales]]*0.6,
IF(Table1[[#This Row],[Category]]="Furniture",Table1[[#This Row],[Sales]]*0.75,
IF(Table1[[#This Row],[Category]]="Clothing",Table1[[#This Row],[Sales]]*0.65,
Table1[[#This Row],[Sales]]*0.7)))</f>
        <v>6004.05</v>
      </c>
      <c r="I411" s="11">
        <f ca="1">Table1[[#This Row],[Sales]]-H411</f>
        <v>3232.95</v>
      </c>
      <c r="J411" s="2">
        <f ca="1">Table1[[#This Row],[Profit]]/Table1[[#This Row],[Sales]]</f>
        <v>0.35</v>
      </c>
      <c r="K411" t="str">
        <f ca="1">TEXT(Table1[[#This Row],[Order_Date]],"mmm")</f>
        <v>Dec</v>
      </c>
      <c r="L411">
        <f ca="1">YEAR(Table1[[#This Row],[Order_Date]])</f>
        <v>2023</v>
      </c>
    </row>
    <row r="412" spans="1:12" x14ac:dyDescent="0.3">
      <c r="A412">
        <f t="shared" si="24"/>
        <v>411</v>
      </c>
      <c r="B412" s="1">
        <f t="shared" ca="1" si="25"/>
        <v>45058</v>
      </c>
      <c r="C412" t="s">
        <v>9</v>
      </c>
      <c r="D412" t="str">
        <f t="shared" ca="1" si="26"/>
        <v>Furniture</v>
      </c>
      <c r="E412" t="s">
        <v>82</v>
      </c>
      <c r="F412" s="11">
        <v>8093</v>
      </c>
      <c r="G412">
        <f t="shared" ca="1" si="27"/>
        <v>7</v>
      </c>
      <c r="H412" s="11">
        <f ca="1">IF(Table1[[#This Row],[Category]]="Electronics",Table1[[#This Row],[Sales]]*0.6,
IF(Table1[[#This Row],[Category]]="Furniture",Table1[[#This Row],[Sales]]*0.75,
IF(Table1[[#This Row],[Category]]="Clothing",Table1[[#This Row],[Sales]]*0.65,
Table1[[#This Row],[Sales]]*0.7)))</f>
        <v>6069.75</v>
      </c>
      <c r="I412" s="11">
        <f ca="1">Table1[[#This Row],[Sales]]-H412</f>
        <v>2023.25</v>
      </c>
      <c r="J412" s="2">
        <f ca="1">Table1[[#This Row],[Profit]]/Table1[[#This Row],[Sales]]</f>
        <v>0.25</v>
      </c>
      <c r="K412" t="str">
        <f ca="1">TEXT(Table1[[#This Row],[Order_Date]],"mmm")</f>
        <v>May</v>
      </c>
      <c r="L412">
        <f ca="1">YEAR(Table1[[#This Row],[Order_Date]])</f>
        <v>2023</v>
      </c>
    </row>
    <row r="413" spans="1:12" x14ac:dyDescent="0.3">
      <c r="A413">
        <f t="shared" si="24"/>
        <v>412</v>
      </c>
      <c r="B413" s="1">
        <f t="shared" ca="1" si="25"/>
        <v>45146</v>
      </c>
      <c r="C413" t="s">
        <v>10</v>
      </c>
      <c r="D413" t="str">
        <f t="shared" ca="1" si="26"/>
        <v>Office Supplies</v>
      </c>
      <c r="E413" t="s">
        <v>47</v>
      </c>
      <c r="F413" s="11">
        <v>4488</v>
      </c>
      <c r="G413">
        <f t="shared" ca="1" si="27"/>
        <v>7</v>
      </c>
      <c r="H413" s="11">
        <f ca="1">IF(Table1[[#This Row],[Category]]="Electronics",Table1[[#This Row],[Sales]]*0.6,
IF(Table1[[#This Row],[Category]]="Furniture",Table1[[#This Row],[Sales]]*0.75,
IF(Table1[[#This Row],[Category]]="Clothing",Table1[[#This Row],[Sales]]*0.65,
Table1[[#This Row],[Sales]]*0.7)))</f>
        <v>3141.6</v>
      </c>
      <c r="I413" s="11">
        <f ca="1">Table1[[#This Row],[Sales]]-H413</f>
        <v>1346.4</v>
      </c>
      <c r="J413" s="2">
        <f ca="1">Table1[[#This Row],[Profit]]/Table1[[#This Row],[Sales]]</f>
        <v>0.30000000000000004</v>
      </c>
      <c r="K413" t="str">
        <f ca="1">TEXT(Table1[[#This Row],[Order_Date]],"mmm")</f>
        <v>Aug</v>
      </c>
      <c r="L413">
        <f ca="1">YEAR(Table1[[#This Row],[Order_Date]])</f>
        <v>2023</v>
      </c>
    </row>
    <row r="414" spans="1:12" x14ac:dyDescent="0.3">
      <c r="A414">
        <f t="shared" si="24"/>
        <v>413</v>
      </c>
      <c r="B414" s="1">
        <f t="shared" ca="1" si="25"/>
        <v>45238</v>
      </c>
      <c r="C414" t="s">
        <v>7</v>
      </c>
      <c r="D414" t="str">
        <f t="shared" ca="1" si="26"/>
        <v>Furniture</v>
      </c>
      <c r="E414" t="s">
        <v>59</v>
      </c>
      <c r="F414" s="11">
        <v>1358</v>
      </c>
      <c r="G414">
        <f t="shared" ca="1" si="27"/>
        <v>4</v>
      </c>
      <c r="H414" s="11">
        <f ca="1">IF(Table1[[#This Row],[Category]]="Electronics",Table1[[#This Row],[Sales]]*0.6,
IF(Table1[[#This Row],[Category]]="Furniture",Table1[[#This Row],[Sales]]*0.75,
IF(Table1[[#This Row],[Category]]="Clothing",Table1[[#This Row],[Sales]]*0.65,
Table1[[#This Row],[Sales]]*0.7)))</f>
        <v>1018.5</v>
      </c>
      <c r="I414" s="11">
        <f ca="1">Table1[[#This Row],[Sales]]-H414</f>
        <v>339.5</v>
      </c>
      <c r="J414" s="2">
        <f ca="1">Table1[[#This Row],[Profit]]/Table1[[#This Row],[Sales]]</f>
        <v>0.25</v>
      </c>
      <c r="K414" t="str">
        <f ca="1">TEXT(Table1[[#This Row],[Order_Date]],"mmm")</f>
        <v>Nov</v>
      </c>
      <c r="L414">
        <f ca="1">YEAR(Table1[[#This Row],[Order_Date]])</f>
        <v>2023</v>
      </c>
    </row>
    <row r="415" spans="1:12" x14ac:dyDescent="0.3">
      <c r="A415">
        <f t="shared" si="24"/>
        <v>414</v>
      </c>
      <c r="B415" s="1">
        <f t="shared" ca="1" si="25"/>
        <v>44976</v>
      </c>
      <c r="C415" t="s">
        <v>8</v>
      </c>
      <c r="D415" t="str">
        <f t="shared" ca="1" si="26"/>
        <v>Electronics</v>
      </c>
      <c r="E415" t="s">
        <v>42</v>
      </c>
      <c r="F415" s="11">
        <v>13019</v>
      </c>
      <c r="G415">
        <f t="shared" ca="1" si="27"/>
        <v>1</v>
      </c>
      <c r="H415" s="11">
        <f ca="1">IF(Table1[[#This Row],[Category]]="Electronics",Table1[[#This Row],[Sales]]*0.6,
IF(Table1[[#This Row],[Category]]="Furniture",Table1[[#This Row],[Sales]]*0.75,
IF(Table1[[#This Row],[Category]]="Clothing",Table1[[#This Row],[Sales]]*0.65,
Table1[[#This Row],[Sales]]*0.7)))</f>
        <v>7811.4</v>
      </c>
      <c r="I415" s="11">
        <f ca="1">Table1[[#This Row],[Sales]]-H415</f>
        <v>5207.6000000000004</v>
      </c>
      <c r="J415" s="2">
        <f ca="1">Table1[[#This Row],[Profit]]/Table1[[#This Row],[Sales]]</f>
        <v>0.4</v>
      </c>
      <c r="K415" t="str">
        <f ca="1">TEXT(Table1[[#This Row],[Order_Date]],"mmm")</f>
        <v>Feb</v>
      </c>
      <c r="L415">
        <f ca="1">YEAR(Table1[[#This Row],[Order_Date]])</f>
        <v>2023</v>
      </c>
    </row>
    <row r="416" spans="1:12" x14ac:dyDescent="0.3">
      <c r="A416">
        <f t="shared" si="24"/>
        <v>415</v>
      </c>
      <c r="B416" s="1">
        <f t="shared" ca="1" si="25"/>
        <v>44987</v>
      </c>
      <c r="C416" t="s">
        <v>9</v>
      </c>
      <c r="D416" t="str">
        <f t="shared" ca="1" si="26"/>
        <v>Clothing</v>
      </c>
      <c r="E416" t="s">
        <v>66</v>
      </c>
      <c r="F416" s="11">
        <v>2358</v>
      </c>
      <c r="G416">
        <f t="shared" ca="1" si="27"/>
        <v>10</v>
      </c>
      <c r="H416" s="11">
        <f ca="1">IF(Table1[[#This Row],[Category]]="Electronics",Table1[[#This Row],[Sales]]*0.6,
IF(Table1[[#This Row],[Category]]="Furniture",Table1[[#This Row],[Sales]]*0.75,
IF(Table1[[#This Row],[Category]]="Clothing",Table1[[#This Row],[Sales]]*0.65,
Table1[[#This Row],[Sales]]*0.7)))</f>
        <v>1532.7</v>
      </c>
      <c r="I416" s="11">
        <f ca="1">Table1[[#This Row],[Sales]]-H416</f>
        <v>825.3</v>
      </c>
      <c r="J416" s="2">
        <f ca="1">Table1[[#This Row],[Profit]]/Table1[[#This Row],[Sales]]</f>
        <v>0.35</v>
      </c>
      <c r="K416" t="str">
        <f ca="1">TEXT(Table1[[#This Row],[Order_Date]],"mmm")</f>
        <v>Mar</v>
      </c>
      <c r="L416">
        <f ca="1">YEAR(Table1[[#This Row],[Order_Date]])</f>
        <v>2023</v>
      </c>
    </row>
    <row r="417" spans="1:12" x14ac:dyDescent="0.3">
      <c r="A417">
        <f t="shared" si="24"/>
        <v>416</v>
      </c>
      <c r="B417" s="1">
        <f t="shared" ca="1" si="25"/>
        <v>45060</v>
      </c>
      <c r="C417" t="s">
        <v>10</v>
      </c>
      <c r="D417" t="str">
        <f t="shared" ca="1" si="26"/>
        <v>Clothing</v>
      </c>
      <c r="E417" t="s">
        <v>55</v>
      </c>
      <c r="F417" s="11">
        <v>12284</v>
      </c>
      <c r="G417">
        <f t="shared" ca="1" si="27"/>
        <v>2</v>
      </c>
      <c r="H417" s="11">
        <f ca="1">IF(Table1[[#This Row],[Category]]="Electronics",Table1[[#This Row],[Sales]]*0.6,
IF(Table1[[#This Row],[Category]]="Furniture",Table1[[#This Row],[Sales]]*0.75,
IF(Table1[[#This Row],[Category]]="Clothing",Table1[[#This Row],[Sales]]*0.65,
Table1[[#This Row],[Sales]]*0.7)))</f>
        <v>7984.6</v>
      </c>
      <c r="I417" s="11">
        <f ca="1">Table1[[#This Row],[Sales]]-H417</f>
        <v>4299.3999999999996</v>
      </c>
      <c r="J417" s="2">
        <f ca="1">Table1[[#This Row],[Profit]]/Table1[[#This Row],[Sales]]</f>
        <v>0.35</v>
      </c>
      <c r="K417" t="str">
        <f ca="1">TEXT(Table1[[#This Row],[Order_Date]],"mmm")</f>
        <v>May</v>
      </c>
      <c r="L417">
        <f ca="1">YEAR(Table1[[#This Row],[Order_Date]])</f>
        <v>2023</v>
      </c>
    </row>
    <row r="418" spans="1:12" x14ac:dyDescent="0.3">
      <c r="A418">
        <f t="shared" si="24"/>
        <v>417</v>
      </c>
      <c r="B418" s="1">
        <f t="shared" ca="1" si="25"/>
        <v>45157</v>
      </c>
      <c r="C418" t="s">
        <v>7</v>
      </c>
      <c r="D418" t="str">
        <f t="shared" ca="1" si="26"/>
        <v>Furniture</v>
      </c>
      <c r="E418" t="s">
        <v>71</v>
      </c>
      <c r="F418" s="11">
        <v>3925</v>
      </c>
      <c r="G418">
        <f t="shared" ca="1" si="27"/>
        <v>8</v>
      </c>
      <c r="H418" s="11">
        <f ca="1">IF(Table1[[#This Row],[Category]]="Electronics",Table1[[#This Row],[Sales]]*0.6,
IF(Table1[[#This Row],[Category]]="Furniture",Table1[[#This Row],[Sales]]*0.75,
IF(Table1[[#This Row],[Category]]="Clothing",Table1[[#This Row],[Sales]]*0.65,
Table1[[#This Row],[Sales]]*0.7)))</f>
        <v>2943.75</v>
      </c>
      <c r="I418" s="11">
        <f ca="1">Table1[[#This Row],[Sales]]-H418</f>
        <v>981.25</v>
      </c>
      <c r="J418" s="2">
        <f ca="1">Table1[[#This Row],[Profit]]/Table1[[#This Row],[Sales]]</f>
        <v>0.25</v>
      </c>
      <c r="K418" t="str">
        <f ca="1">TEXT(Table1[[#This Row],[Order_Date]],"mmm")</f>
        <v>Aug</v>
      </c>
      <c r="L418">
        <f ca="1">YEAR(Table1[[#This Row],[Order_Date]])</f>
        <v>2023</v>
      </c>
    </row>
    <row r="419" spans="1:12" x14ac:dyDescent="0.3">
      <c r="A419">
        <f t="shared" si="24"/>
        <v>418</v>
      </c>
      <c r="B419" s="1">
        <f t="shared" ca="1" si="25"/>
        <v>45185</v>
      </c>
      <c r="C419" t="s">
        <v>8</v>
      </c>
      <c r="D419" t="str">
        <f t="shared" ca="1" si="26"/>
        <v>Furniture</v>
      </c>
      <c r="E419" t="s">
        <v>46</v>
      </c>
      <c r="F419" s="11">
        <v>19196</v>
      </c>
      <c r="G419">
        <f t="shared" ca="1" si="27"/>
        <v>9</v>
      </c>
      <c r="H419" s="11">
        <f ca="1">IF(Table1[[#This Row],[Category]]="Electronics",Table1[[#This Row],[Sales]]*0.6,
IF(Table1[[#This Row],[Category]]="Furniture",Table1[[#This Row],[Sales]]*0.75,
IF(Table1[[#This Row],[Category]]="Clothing",Table1[[#This Row],[Sales]]*0.65,
Table1[[#This Row],[Sales]]*0.7)))</f>
        <v>14397</v>
      </c>
      <c r="I419" s="11">
        <f ca="1">Table1[[#This Row],[Sales]]-H419</f>
        <v>4799</v>
      </c>
      <c r="J419" s="2">
        <f ca="1">Table1[[#This Row],[Profit]]/Table1[[#This Row],[Sales]]</f>
        <v>0.25</v>
      </c>
      <c r="K419" t="str">
        <f ca="1">TEXT(Table1[[#This Row],[Order_Date]],"mmm")</f>
        <v>Sep</v>
      </c>
      <c r="L419">
        <f ca="1">YEAR(Table1[[#This Row],[Order_Date]])</f>
        <v>2023</v>
      </c>
    </row>
    <row r="420" spans="1:12" x14ac:dyDescent="0.3">
      <c r="A420">
        <f t="shared" si="24"/>
        <v>419</v>
      </c>
      <c r="B420" s="1">
        <f t="shared" ca="1" si="25"/>
        <v>45060</v>
      </c>
      <c r="C420" t="s">
        <v>9</v>
      </c>
      <c r="D420" t="str">
        <f t="shared" ca="1" si="26"/>
        <v>Furniture</v>
      </c>
      <c r="E420" t="s">
        <v>71</v>
      </c>
      <c r="F420" s="11">
        <v>12593</v>
      </c>
      <c r="G420">
        <f t="shared" ca="1" si="27"/>
        <v>7</v>
      </c>
      <c r="H420" s="11">
        <f ca="1">IF(Table1[[#This Row],[Category]]="Electronics",Table1[[#This Row],[Sales]]*0.6,
IF(Table1[[#This Row],[Category]]="Furniture",Table1[[#This Row],[Sales]]*0.75,
IF(Table1[[#This Row],[Category]]="Clothing",Table1[[#This Row],[Sales]]*0.65,
Table1[[#This Row],[Sales]]*0.7)))</f>
        <v>9444.75</v>
      </c>
      <c r="I420" s="11">
        <f ca="1">Table1[[#This Row],[Sales]]-H420</f>
        <v>3148.25</v>
      </c>
      <c r="J420" s="2">
        <f ca="1">Table1[[#This Row],[Profit]]/Table1[[#This Row],[Sales]]</f>
        <v>0.25</v>
      </c>
      <c r="K420" t="str">
        <f ca="1">TEXT(Table1[[#This Row],[Order_Date]],"mmm")</f>
        <v>May</v>
      </c>
      <c r="L420">
        <f ca="1">YEAR(Table1[[#This Row],[Order_Date]])</f>
        <v>2023</v>
      </c>
    </row>
    <row r="421" spans="1:12" x14ac:dyDescent="0.3">
      <c r="A421">
        <f t="shared" si="24"/>
        <v>420</v>
      </c>
      <c r="B421" s="1">
        <f t="shared" ca="1" si="25"/>
        <v>44931</v>
      </c>
      <c r="C421" t="s">
        <v>10</v>
      </c>
      <c r="D421" t="str">
        <f t="shared" ca="1" si="26"/>
        <v>Furniture</v>
      </c>
      <c r="E421" t="s">
        <v>45</v>
      </c>
      <c r="F421" s="11">
        <v>14117</v>
      </c>
      <c r="G421">
        <f t="shared" ca="1" si="27"/>
        <v>8</v>
      </c>
      <c r="H421" s="11">
        <f ca="1">IF(Table1[[#This Row],[Category]]="Electronics",Table1[[#This Row],[Sales]]*0.6,
IF(Table1[[#This Row],[Category]]="Furniture",Table1[[#This Row],[Sales]]*0.75,
IF(Table1[[#This Row],[Category]]="Clothing",Table1[[#This Row],[Sales]]*0.65,
Table1[[#This Row],[Sales]]*0.7)))</f>
        <v>10587.75</v>
      </c>
      <c r="I421" s="11">
        <f ca="1">Table1[[#This Row],[Sales]]-H421</f>
        <v>3529.25</v>
      </c>
      <c r="J421" s="2">
        <f ca="1">Table1[[#This Row],[Profit]]/Table1[[#This Row],[Sales]]</f>
        <v>0.25</v>
      </c>
      <c r="K421" t="str">
        <f ca="1">TEXT(Table1[[#This Row],[Order_Date]],"mmm")</f>
        <v>Jan</v>
      </c>
      <c r="L421">
        <f ca="1">YEAR(Table1[[#This Row],[Order_Date]])</f>
        <v>2023</v>
      </c>
    </row>
    <row r="422" spans="1:12" x14ac:dyDescent="0.3">
      <c r="A422">
        <f t="shared" si="24"/>
        <v>421</v>
      </c>
      <c r="B422" s="1">
        <f t="shared" ca="1" si="25"/>
        <v>45039</v>
      </c>
      <c r="C422" t="s">
        <v>7</v>
      </c>
      <c r="D422" t="str">
        <f t="shared" ca="1" si="26"/>
        <v>Office Supplies</v>
      </c>
      <c r="E422" t="s">
        <v>56</v>
      </c>
      <c r="F422" s="11">
        <v>18459</v>
      </c>
      <c r="G422">
        <f t="shared" ca="1" si="27"/>
        <v>5</v>
      </c>
      <c r="H422" s="11">
        <f ca="1">IF(Table1[[#This Row],[Category]]="Electronics",Table1[[#This Row],[Sales]]*0.6,
IF(Table1[[#This Row],[Category]]="Furniture",Table1[[#This Row],[Sales]]*0.75,
IF(Table1[[#This Row],[Category]]="Clothing",Table1[[#This Row],[Sales]]*0.65,
Table1[[#This Row],[Sales]]*0.7)))</f>
        <v>12921.3</v>
      </c>
      <c r="I422" s="11">
        <f ca="1">Table1[[#This Row],[Sales]]-H422</f>
        <v>5537.7000000000007</v>
      </c>
      <c r="J422" s="2">
        <f ca="1">Table1[[#This Row],[Profit]]/Table1[[#This Row],[Sales]]</f>
        <v>0.30000000000000004</v>
      </c>
      <c r="K422" t="str">
        <f ca="1">TEXT(Table1[[#This Row],[Order_Date]],"mmm")</f>
        <v>Apr</v>
      </c>
      <c r="L422">
        <f ca="1">YEAR(Table1[[#This Row],[Order_Date]])</f>
        <v>2023</v>
      </c>
    </row>
    <row r="423" spans="1:12" x14ac:dyDescent="0.3">
      <c r="A423">
        <f t="shared" si="24"/>
        <v>422</v>
      </c>
      <c r="B423" s="1">
        <f t="shared" ca="1" si="25"/>
        <v>44932</v>
      </c>
      <c r="C423" t="s">
        <v>8</v>
      </c>
      <c r="D423" t="str">
        <f t="shared" ca="1" si="26"/>
        <v>Furniture</v>
      </c>
      <c r="E423" t="s">
        <v>67</v>
      </c>
      <c r="F423" s="11">
        <v>15570</v>
      </c>
      <c r="G423">
        <f t="shared" ca="1" si="27"/>
        <v>6</v>
      </c>
      <c r="H423" s="11">
        <f ca="1">IF(Table1[[#This Row],[Category]]="Electronics",Table1[[#This Row],[Sales]]*0.6,
IF(Table1[[#This Row],[Category]]="Furniture",Table1[[#This Row],[Sales]]*0.75,
IF(Table1[[#This Row],[Category]]="Clothing",Table1[[#This Row],[Sales]]*0.65,
Table1[[#This Row],[Sales]]*0.7)))</f>
        <v>11677.5</v>
      </c>
      <c r="I423" s="11">
        <f ca="1">Table1[[#This Row],[Sales]]-H423</f>
        <v>3892.5</v>
      </c>
      <c r="J423" s="2">
        <f ca="1">Table1[[#This Row],[Profit]]/Table1[[#This Row],[Sales]]</f>
        <v>0.25</v>
      </c>
      <c r="K423" t="str">
        <f ca="1">TEXT(Table1[[#This Row],[Order_Date]],"mmm")</f>
        <v>Jan</v>
      </c>
      <c r="L423">
        <f ca="1">YEAR(Table1[[#This Row],[Order_Date]])</f>
        <v>2023</v>
      </c>
    </row>
    <row r="424" spans="1:12" x14ac:dyDescent="0.3">
      <c r="A424">
        <f t="shared" si="24"/>
        <v>423</v>
      </c>
      <c r="B424" s="1">
        <f t="shared" ca="1" si="25"/>
        <v>45036</v>
      </c>
      <c r="C424" t="s">
        <v>9</v>
      </c>
      <c r="D424" t="str">
        <f t="shared" ca="1" si="26"/>
        <v>Electronics</v>
      </c>
      <c r="E424" t="s">
        <v>41</v>
      </c>
      <c r="F424" s="11">
        <v>13286</v>
      </c>
      <c r="G424">
        <f t="shared" ca="1" si="27"/>
        <v>9</v>
      </c>
      <c r="H424" s="11">
        <f ca="1">IF(Table1[[#This Row],[Category]]="Electronics",Table1[[#This Row],[Sales]]*0.6,
IF(Table1[[#This Row],[Category]]="Furniture",Table1[[#This Row],[Sales]]*0.75,
IF(Table1[[#This Row],[Category]]="Clothing",Table1[[#This Row],[Sales]]*0.65,
Table1[[#This Row],[Sales]]*0.7)))</f>
        <v>7971.5999999999995</v>
      </c>
      <c r="I424" s="11">
        <f ca="1">Table1[[#This Row],[Sales]]-H424</f>
        <v>5314.4000000000005</v>
      </c>
      <c r="J424" s="2">
        <f ca="1">Table1[[#This Row],[Profit]]/Table1[[#This Row],[Sales]]</f>
        <v>0.4</v>
      </c>
      <c r="K424" t="str">
        <f ca="1">TEXT(Table1[[#This Row],[Order_Date]],"mmm")</f>
        <v>Apr</v>
      </c>
      <c r="L424">
        <f ca="1">YEAR(Table1[[#This Row],[Order_Date]])</f>
        <v>2023</v>
      </c>
    </row>
    <row r="425" spans="1:12" x14ac:dyDescent="0.3">
      <c r="A425">
        <f t="shared" si="24"/>
        <v>424</v>
      </c>
      <c r="B425" s="1">
        <f t="shared" ca="1" si="25"/>
        <v>45030</v>
      </c>
      <c r="C425" t="s">
        <v>10</v>
      </c>
      <c r="D425" t="str">
        <f t="shared" ca="1" si="26"/>
        <v>Office Supplies</v>
      </c>
      <c r="E425" t="s">
        <v>62</v>
      </c>
      <c r="F425" s="11">
        <v>6744</v>
      </c>
      <c r="G425">
        <f t="shared" ca="1" si="27"/>
        <v>7</v>
      </c>
      <c r="H425" s="11">
        <f ca="1">IF(Table1[[#This Row],[Category]]="Electronics",Table1[[#This Row],[Sales]]*0.6,
IF(Table1[[#This Row],[Category]]="Furniture",Table1[[#This Row],[Sales]]*0.75,
IF(Table1[[#This Row],[Category]]="Clothing",Table1[[#This Row],[Sales]]*0.65,
Table1[[#This Row],[Sales]]*0.7)))</f>
        <v>4720.7999999999993</v>
      </c>
      <c r="I425" s="11">
        <f ca="1">Table1[[#This Row],[Sales]]-H425</f>
        <v>2023.2000000000007</v>
      </c>
      <c r="J425" s="2">
        <f ca="1">Table1[[#This Row],[Profit]]/Table1[[#This Row],[Sales]]</f>
        <v>0.3000000000000001</v>
      </c>
      <c r="K425" t="str">
        <f ca="1">TEXT(Table1[[#This Row],[Order_Date]],"mmm")</f>
        <v>Apr</v>
      </c>
      <c r="L425">
        <f ca="1">YEAR(Table1[[#This Row],[Order_Date]])</f>
        <v>2023</v>
      </c>
    </row>
    <row r="426" spans="1:12" x14ac:dyDescent="0.3">
      <c r="A426">
        <f t="shared" si="24"/>
        <v>425</v>
      </c>
      <c r="B426" s="1">
        <f t="shared" ca="1" si="25"/>
        <v>45181</v>
      </c>
      <c r="C426" t="s">
        <v>7</v>
      </c>
      <c r="D426" t="str">
        <f t="shared" ca="1" si="26"/>
        <v>Furniture</v>
      </c>
      <c r="E426" t="s">
        <v>82</v>
      </c>
      <c r="F426" s="11">
        <v>17220</v>
      </c>
      <c r="G426">
        <f t="shared" ca="1" si="27"/>
        <v>3</v>
      </c>
      <c r="H426" s="11">
        <f ca="1">IF(Table1[[#This Row],[Category]]="Electronics",Table1[[#This Row],[Sales]]*0.6,
IF(Table1[[#This Row],[Category]]="Furniture",Table1[[#This Row],[Sales]]*0.75,
IF(Table1[[#This Row],[Category]]="Clothing",Table1[[#This Row],[Sales]]*0.65,
Table1[[#This Row],[Sales]]*0.7)))</f>
        <v>12915</v>
      </c>
      <c r="I426" s="11">
        <f ca="1">Table1[[#This Row],[Sales]]-H426</f>
        <v>4305</v>
      </c>
      <c r="J426" s="2">
        <f ca="1">Table1[[#This Row],[Profit]]/Table1[[#This Row],[Sales]]</f>
        <v>0.25</v>
      </c>
      <c r="K426" t="str">
        <f ca="1">TEXT(Table1[[#This Row],[Order_Date]],"mmm")</f>
        <v>Sep</v>
      </c>
      <c r="L426">
        <f ca="1">YEAR(Table1[[#This Row],[Order_Date]])</f>
        <v>2023</v>
      </c>
    </row>
    <row r="427" spans="1:12" x14ac:dyDescent="0.3">
      <c r="A427">
        <f t="shared" si="24"/>
        <v>426</v>
      </c>
      <c r="B427" s="1">
        <f t="shared" ca="1" si="25"/>
        <v>45205</v>
      </c>
      <c r="C427" t="s">
        <v>8</v>
      </c>
      <c r="D427" t="str">
        <f t="shared" ca="1" si="26"/>
        <v>Electronics</v>
      </c>
      <c r="E427" t="s">
        <v>42</v>
      </c>
      <c r="F427" s="11">
        <v>17978</v>
      </c>
      <c r="G427">
        <f t="shared" ca="1" si="27"/>
        <v>7</v>
      </c>
      <c r="H427" s="11">
        <f ca="1">IF(Table1[[#This Row],[Category]]="Electronics",Table1[[#This Row],[Sales]]*0.6,
IF(Table1[[#This Row],[Category]]="Furniture",Table1[[#This Row],[Sales]]*0.75,
IF(Table1[[#This Row],[Category]]="Clothing",Table1[[#This Row],[Sales]]*0.65,
Table1[[#This Row],[Sales]]*0.7)))</f>
        <v>10786.8</v>
      </c>
      <c r="I427" s="11">
        <f ca="1">Table1[[#This Row],[Sales]]-H427</f>
        <v>7191.2000000000007</v>
      </c>
      <c r="J427" s="2">
        <f ca="1">Table1[[#This Row],[Profit]]/Table1[[#This Row],[Sales]]</f>
        <v>0.4</v>
      </c>
      <c r="K427" t="str">
        <f ca="1">TEXT(Table1[[#This Row],[Order_Date]],"mmm")</f>
        <v>Oct</v>
      </c>
      <c r="L427">
        <f ca="1">YEAR(Table1[[#This Row],[Order_Date]])</f>
        <v>2023</v>
      </c>
    </row>
    <row r="428" spans="1:12" x14ac:dyDescent="0.3">
      <c r="A428">
        <f t="shared" si="24"/>
        <v>427</v>
      </c>
      <c r="B428" s="1">
        <f t="shared" ca="1" si="25"/>
        <v>45092</v>
      </c>
      <c r="C428" t="s">
        <v>9</v>
      </c>
      <c r="D428" t="str">
        <f t="shared" ca="1" si="26"/>
        <v>Clothing</v>
      </c>
      <c r="E428" t="s">
        <v>83</v>
      </c>
      <c r="F428" s="11">
        <v>1478</v>
      </c>
      <c r="G428">
        <f t="shared" ca="1" si="27"/>
        <v>6</v>
      </c>
      <c r="H428" s="11">
        <f ca="1">IF(Table1[[#This Row],[Category]]="Electronics",Table1[[#This Row],[Sales]]*0.6,
IF(Table1[[#This Row],[Category]]="Furniture",Table1[[#This Row],[Sales]]*0.75,
IF(Table1[[#This Row],[Category]]="Clothing",Table1[[#This Row],[Sales]]*0.65,
Table1[[#This Row],[Sales]]*0.7)))</f>
        <v>960.7</v>
      </c>
      <c r="I428" s="11">
        <f ca="1">Table1[[#This Row],[Sales]]-H428</f>
        <v>517.29999999999995</v>
      </c>
      <c r="J428" s="2">
        <f ca="1">Table1[[#This Row],[Profit]]/Table1[[#This Row],[Sales]]</f>
        <v>0.35</v>
      </c>
      <c r="K428" t="str">
        <f ca="1">TEXT(Table1[[#This Row],[Order_Date]],"mmm")</f>
        <v>Jun</v>
      </c>
      <c r="L428">
        <f ca="1">YEAR(Table1[[#This Row],[Order_Date]])</f>
        <v>2023</v>
      </c>
    </row>
    <row r="429" spans="1:12" x14ac:dyDescent="0.3">
      <c r="A429">
        <f t="shared" si="24"/>
        <v>428</v>
      </c>
      <c r="B429" s="1">
        <f t="shared" ca="1" si="25"/>
        <v>45251</v>
      </c>
      <c r="C429" t="s">
        <v>10</v>
      </c>
      <c r="D429" t="str">
        <f t="shared" ca="1" si="26"/>
        <v>Furniture</v>
      </c>
      <c r="E429" t="s">
        <v>73</v>
      </c>
      <c r="F429" s="11">
        <v>3515</v>
      </c>
      <c r="G429">
        <f t="shared" ca="1" si="27"/>
        <v>4</v>
      </c>
      <c r="H429" s="11">
        <f ca="1">IF(Table1[[#This Row],[Category]]="Electronics",Table1[[#This Row],[Sales]]*0.6,
IF(Table1[[#This Row],[Category]]="Furniture",Table1[[#This Row],[Sales]]*0.75,
IF(Table1[[#This Row],[Category]]="Clothing",Table1[[#This Row],[Sales]]*0.65,
Table1[[#This Row],[Sales]]*0.7)))</f>
        <v>2636.25</v>
      </c>
      <c r="I429" s="11">
        <f ca="1">Table1[[#This Row],[Sales]]-H429</f>
        <v>878.75</v>
      </c>
      <c r="J429" s="2">
        <f ca="1">Table1[[#This Row],[Profit]]/Table1[[#This Row],[Sales]]</f>
        <v>0.25</v>
      </c>
      <c r="K429" t="str">
        <f ca="1">TEXT(Table1[[#This Row],[Order_Date]],"mmm")</f>
        <v>Nov</v>
      </c>
      <c r="L429">
        <f ca="1">YEAR(Table1[[#This Row],[Order_Date]])</f>
        <v>2023</v>
      </c>
    </row>
    <row r="430" spans="1:12" x14ac:dyDescent="0.3">
      <c r="A430">
        <f t="shared" si="24"/>
        <v>429</v>
      </c>
      <c r="B430" s="1">
        <f t="shared" ca="1" si="25"/>
        <v>45234</v>
      </c>
      <c r="C430" t="s">
        <v>7</v>
      </c>
      <c r="D430" t="str">
        <f t="shared" ca="1" si="26"/>
        <v>Furniture</v>
      </c>
      <c r="E430" t="s">
        <v>69</v>
      </c>
      <c r="F430" s="11">
        <v>9242</v>
      </c>
      <c r="G430">
        <f t="shared" ca="1" si="27"/>
        <v>10</v>
      </c>
      <c r="H430" s="11">
        <f ca="1">IF(Table1[[#This Row],[Category]]="Electronics",Table1[[#This Row],[Sales]]*0.6,
IF(Table1[[#This Row],[Category]]="Furniture",Table1[[#This Row],[Sales]]*0.75,
IF(Table1[[#This Row],[Category]]="Clothing",Table1[[#This Row],[Sales]]*0.65,
Table1[[#This Row],[Sales]]*0.7)))</f>
        <v>6931.5</v>
      </c>
      <c r="I430" s="11">
        <f ca="1">Table1[[#This Row],[Sales]]-H430</f>
        <v>2310.5</v>
      </c>
      <c r="J430" s="2">
        <f ca="1">Table1[[#This Row],[Profit]]/Table1[[#This Row],[Sales]]</f>
        <v>0.25</v>
      </c>
      <c r="K430" t="str">
        <f ca="1">TEXT(Table1[[#This Row],[Order_Date]],"mmm")</f>
        <v>Nov</v>
      </c>
      <c r="L430">
        <f ca="1">YEAR(Table1[[#This Row],[Order_Date]])</f>
        <v>2023</v>
      </c>
    </row>
    <row r="431" spans="1:12" x14ac:dyDescent="0.3">
      <c r="A431">
        <f t="shared" si="24"/>
        <v>430</v>
      </c>
      <c r="B431" s="1">
        <f t="shared" ca="1" si="25"/>
        <v>45038</v>
      </c>
      <c r="C431" t="s">
        <v>8</v>
      </c>
      <c r="D431" t="str">
        <f t="shared" ca="1" si="26"/>
        <v>Furniture</v>
      </c>
      <c r="E431" t="s">
        <v>50</v>
      </c>
      <c r="F431" s="11">
        <v>7279</v>
      </c>
      <c r="G431">
        <f t="shared" ca="1" si="27"/>
        <v>2</v>
      </c>
      <c r="H431" s="11">
        <f ca="1">IF(Table1[[#This Row],[Category]]="Electronics",Table1[[#This Row],[Sales]]*0.6,
IF(Table1[[#This Row],[Category]]="Furniture",Table1[[#This Row],[Sales]]*0.75,
IF(Table1[[#This Row],[Category]]="Clothing",Table1[[#This Row],[Sales]]*0.65,
Table1[[#This Row],[Sales]]*0.7)))</f>
        <v>5459.25</v>
      </c>
      <c r="I431" s="11">
        <f ca="1">Table1[[#This Row],[Sales]]-H431</f>
        <v>1819.75</v>
      </c>
      <c r="J431" s="2">
        <f ca="1">Table1[[#This Row],[Profit]]/Table1[[#This Row],[Sales]]</f>
        <v>0.25</v>
      </c>
      <c r="K431" t="str">
        <f ca="1">TEXT(Table1[[#This Row],[Order_Date]],"mmm")</f>
        <v>Apr</v>
      </c>
      <c r="L431">
        <f ca="1">YEAR(Table1[[#This Row],[Order_Date]])</f>
        <v>2023</v>
      </c>
    </row>
    <row r="432" spans="1:12" x14ac:dyDescent="0.3">
      <c r="A432">
        <f t="shared" si="24"/>
        <v>431</v>
      </c>
      <c r="B432" s="1">
        <f t="shared" ca="1" si="25"/>
        <v>45069</v>
      </c>
      <c r="C432" t="s">
        <v>9</v>
      </c>
      <c r="D432" t="str">
        <f t="shared" ca="1" si="26"/>
        <v>Electronics</v>
      </c>
      <c r="E432" t="s">
        <v>47</v>
      </c>
      <c r="F432" s="11">
        <v>8362</v>
      </c>
      <c r="G432">
        <f t="shared" ca="1" si="27"/>
        <v>3</v>
      </c>
      <c r="H432" s="11">
        <f ca="1">IF(Table1[[#This Row],[Category]]="Electronics",Table1[[#This Row],[Sales]]*0.6,
IF(Table1[[#This Row],[Category]]="Furniture",Table1[[#This Row],[Sales]]*0.75,
IF(Table1[[#This Row],[Category]]="Clothing",Table1[[#This Row],[Sales]]*0.65,
Table1[[#This Row],[Sales]]*0.7)))</f>
        <v>5017.2</v>
      </c>
      <c r="I432" s="11">
        <f ca="1">Table1[[#This Row],[Sales]]-H432</f>
        <v>3344.8</v>
      </c>
      <c r="J432" s="2">
        <f ca="1">Table1[[#This Row],[Profit]]/Table1[[#This Row],[Sales]]</f>
        <v>0.4</v>
      </c>
      <c r="K432" t="str">
        <f ca="1">TEXT(Table1[[#This Row],[Order_Date]],"mmm")</f>
        <v>May</v>
      </c>
      <c r="L432">
        <f ca="1">YEAR(Table1[[#This Row],[Order_Date]])</f>
        <v>2023</v>
      </c>
    </row>
    <row r="433" spans="1:12" x14ac:dyDescent="0.3">
      <c r="A433">
        <f t="shared" si="24"/>
        <v>432</v>
      </c>
      <c r="B433" s="1">
        <f t="shared" ca="1" si="25"/>
        <v>45027</v>
      </c>
      <c r="C433" t="s">
        <v>10</v>
      </c>
      <c r="D433" t="str">
        <f t="shared" ca="1" si="26"/>
        <v>Clothing</v>
      </c>
      <c r="E433" t="s">
        <v>81</v>
      </c>
      <c r="F433" s="11">
        <v>9333</v>
      </c>
      <c r="G433">
        <f t="shared" ca="1" si="27"/>
        <v>8</v>
      </c>
      <c r="H433" s="11">
        <f ca="1">IF(Table1[[#This Row],[Category]]="Electronics",Table1[[#This Row],[Sales]]*0.6,
IF(Table1[[#This Row],[Category]]="Furniture",Table1[[#This Row],[Sales]]*0.75,
IF(Table1[[#This Row],[Category]]="Clothing",Table1[[#This Row],[Sales]]*0.65,
Table1[[#This Row],[Sales]]*0.7)))</f>
        <v>6066.45</v>
      </c>
      <c r="I433" s="11">
        <f ca="1">Table1[[#This Row],[Sales]]-H433</f>
        <v>3266.55</v>
      </c>
      <c r="J433" s="2">
        <f ca="1">Table1[[#This Row],[Profit]]/Table1[[#This Row],[Sales]]</f>
        <v>0.35000000000000003</v>
      </c>
      <c r="K433" t="str">
        <f ca="1">TEXT(Table1[[#This Row],[Order_Date]],"mmm")</f>
        <v>Apr</v>
      </c>
      <c r="L433">
        <f ca="1">YEAR(Table1[[#This Row],[Order_Date]])</f>
        <v>2023</v>
      </c>
    </row>
    <row r="434" spans="1:12" x14ac:dyDescent="0.3">
      <c r="A434">
        <f t="shared" si="24"/>
        <v>433</v>
      </c>
      <c r="B434" s="1">
        <f t="shared" ca="1" si="25"/>
        <v>44959</v>
      </c>
      <c r="C434" t="s">
        <v>7</v>
      </c>
      <c r="D434" t="str">
        <f t="shared" ca="1" si="26"/>
        <v>Electronics</v>
      </c>
      <c r="E434" t="s">
        <v>77</v>
      </c>
      <c r="F434" s="11">
        <v>6566</v>
      </c>
      <c r="G434">
        <f t="shared" ca="1" si="27"/>
        <v>6</v>
      </c>
      <c r="H434" s="11">
        <f ca="1">IF(Table1[[#This Row],[Category]]="Electronics",Table1[[#This Row],[Sales]]*0.6,
IF(Table1[[#This Row],[Category]]="Furniture",Table1[[#This Row],[Sales]]*0.75,
IF(Table1[[#This Row],[Category]]="Clothing",Table1[[#This Row],[Sales]]*0.65,
Table1[[#This Row],[Sales]]*0.7)))</f>
        <v>3939.6</v>
      </c>
      <c r="I434" s="11">
        <f ca="1">Table1[[#This Row],[Sales]]-H434</f>
        <v>2626.4</v>
      </c>
      <c r="J434" s="2">
        <f ca="1">Table1[[#This Row],[Profit]]/Table1[[#This Row],[Sales]]</f>
        <v>0.4</v>
      </c>
      <c r="K434" t="str">
        <f ca="1">TEXT(Table1[[#This Row],[Order_Date]],"mmm")</f>
        <v>Feb</v>
      </c>
      <c r="L434">
        <f ca="1">YEAR(Table1[[#This Row],[Order_Date]])</f>
        <v>2023</v>
      </c>
    </row>
    <row r="435" spans="1:12" x14ac:dyDescent="0.3">
      <c r="A435">
        <f t="shared" si="24"/>
        <v>434</v>
      </c>
      <c r="B435" s="1">
        <f t="shared" ca="1" si="25"/>
        <v>45224</v>
      </c>
      <c r="C435" t="s">
        <v>8</v>
      </c>
      <c r="D435" t="str">
        <f t="shared" ca="1" si="26"/>
        <v>Furniture</v>
      </c>
      <c r="E435" t="s">
        <v>50</v>
      </c>
      <c r="F435" s="11">
        <v>13438</v>
      </c>
      <c r="G435">
        <f t="shared" ca="1" si="27"/>
        <v>6</v>
      </c>
      <c r="H435" s="11">
        <f ca="1">IF(Table1[[#This Row],[Category]]="Electronics",Table1[[#This Row],[Sales]]*0.6,
IF(Table1[[#This Row],[Category]]="Furniture",Table1[[#This Row],[Sales]]*0.75,
IF(Table1[[#This Row],[Category]]="Clothing",Table1[[#This Row],[Sales]]*0.65,
Table1[[#This Row],[Sales]]*0.7)))</f>
        <v>10078.5</v>
      </c>
      <c r="I435" s="11">
        <f ca="1">Table1[[#This Row],[Sales]]-H435</f>
        <v>3359.5</v>
      </c>
      <c r="J435" s="2">
        <f ca="1">Table1[[#This Row],[Profit]]/Table1[[#This Row],[Sales]]</f>
        <v>0.25</v>
      </c>
      <c r="K435" t="str">
        <f ca="1">TEXT(Table1[[#This Row],[Order_Date]],"mmm")</f>
        <v>Oct</v>
      </c>
      <c r="L435">
        <f ca="1">YEAR(Table1[[#This Row],[Order_Date]])</f>
        <v>2023</v>
      </c>
    </row>
    <row r="436" spans="1:12" x14ac:dyDescent="0.3">
      <c r="A436">
        <f t="shared" si="24"/>
        <v>435</v>
      </c>
      <c r="B436" s="1">
        <f t="shared" ca="1" si="25"/>
        <v>44984</v>
      </c>
      <c r="C436" t="s">
        <v>9</v>
      </c>
      <c r="D436" t="str">
        <f t="shared" ca="1" si="26"/>
        <v>Clothing</v>
      </c>
      <c r="E436" t="s">
        <v>84</v>
      </c>
      <c r="F436" s="11">
        <v>6269</v>
      </c>
      <c r="G436">
        <f t="shared" ca="1" si="27"/>
        <v>6</v>
      </c>
      <c r="H436" s="11">
        <f ca="1">IF(Table1[[#This Row],[Category]]="Electronics",Table1[[#This Row],[Sales]]*0.6,
IF(Table1[[#This Row],[Category]]="Furniture",Table1[[#This Row],[Sales]]*0.75,
IF(Table1[[#This Row],[Category]]="Clothing",Table1[[#This Row],[Sales]]*0.65,
Table1[[#This Row],[Sales]]*0.7)))</f>
        <v>4074.8500000000004</v>
      </c>
      <c r="I436" s="11">
        <f ca="1">Table1[[#This Row],[Sales]]-H436</f>
        <v>2194.1499999999996</v>
      </c>
      <c r="J436" s="2">
        <f ca="1">Table1[[#This Row],[Profit]]/Table1[[#This Row],[Sales]]</f>
        <v>0.34999999999999992</v>
      </c>
      <c r="K436" t="str">
        <f ca="1">TEXT(Table1[[#This Row],[Order_Date]],"mmm")</f>
        <v>Feb</v>
      </c>
      <c r="L436">
        <f ca="1">YEAR(Table1[[#This Row],[Order_Date]])</f>
        <v>2023</v>
      </c>
    </row>
    <row r="437" spans="1:12" x14ac:dyDescent="0.3">
      <c r="A437">
        <f t="shared" si="24"/>
        <v>436</v>
      </c>
      <c r="B437" s="1">
        <f t="shared" ca="1" si="25"/>
        <v>44979</v>
      </c>
      <c r="C437" t="s">
        <v>10</v>
      </c>
      <c r="D437" t="str">
        <f t="shared" ca="1" si="26"/>
        <v>Furniture</v>
      </c>
      <c r="E437" t="s">
        <v>78</v>
      </c>
      <c r="F437" s="11">
        <v>17984</v>
      </c>
      <c r="G437">
        <f t="shared" ca="1" si="27"/>
        <v>4</v>
      </c>
      <c r="H437" s="11">
        <f ca="1">IF(Table1[[#This Row],[Category]]="Electronics",Table1[[#This Row],[Sales]]*0.6,
IF(Table1[[#This Row],[Category]]="Furniture",Table1[[#This Row],[Sales]]*0.75,
IF(Table1[[#This Row],[Category]]="Clothing",Table1[[#This Row],[Sales]]*0.65,
Table1[[#This Row],[Sales]]*0.7)))</f>
        <v>13488</v>
      </c>
      <c r="I437" s="11">
        <f ca="1">Table1[[#This Row],[Sales]]-H437</f>
        <v>4496</v>
      </c>
      <c r="J437" s="2">
        <f ca="1">Table1[[#This Row],[Profit]]/Table1[[#This Row],[Sales]]</f>
        <v>0.25</v>
      </c>
      <c r="K437" t="str">
        <f ca="1">TEXT(Table1[[#This Row],[Order_Date]],"mmm")</f>
        <v>Feb</v>
      </c>
      <c r="L437">
        <f ca="1">YEAR(Table1[[#This Row],[Order_Date]])</f>
        <v>2023</v>
      </c>
    </row>
    <row r="438" spans="1:12" x14ac:dyDescent="0.3">
      <c r="A438">
        <f t="shared" si="24"/>
        <v>437</v>
      </c>
      <c r="B438" s="1">
        <f t="shared" ca="1" si="25"/>
        <v>45163</v>
      </c>
      <c r="C438" t="s">
        <v>7</v>
      </c>
      <c r="D438" t="str">
        <f t="shared" ca="1" si="26"/>
        <v>Office Supplies</v>
      </c>
      <c r="E438" t="s">
        <v>38</v>
      </c>
      <c r="F438" s="11">
        <v>4071</v>
      </c>
      <c r="G438">
        <f t="shared" ca="1" si="27"/>
        <v>8</v>
      </c>
      <c r="H438" s="11">
        <f ca="1">IF(Table1[[#This Row],[Category]]="Electronics",Table1[[#This Row],[Sales]]*0.6,
IF(Table1[[#This Row],[Category]]="Furniture",Table1[[#This Row],[Sales]]*0.75,
IF(Table1[[#This Row],[Category]]="Clothing",Table1[[#This Row],[Sales]]*0.65,
Table1[[#This Row],[Sales]]*0.7)))</f>
        <v>2849.7</v>
      </c>
      <c r="I438" s="11">
        <f ca="1">Table1[[#This Row],[Sales]]-H438</f>
        <v>1221.3000000000002</v>
      </c>
      <c r="J438" s="2">
        <f ca="1">Table1[[#This Row],[Profit]]/Table1[[#This Row],[Sales]]</f>
        <v>0.30000000000000004</v>
      </c>
      <c r="K438" t="str">
        <f ca="1">TEXT(Table1[[#This Row],[Order_Date]],"mmm")</f>
        <v>Aug</v>
      </c>
      <c r="L438">
        <f ca="1">YEAR(Table1[[#This Row],[Order_Date]])</f>
        <v>2023</v>
      </c>
    </row>
    <row r="439" spans="1:12" x14ac:dyDescent="0.3">
      <c r="A439">
        <f t="shared" si="24"/>
        <v>438</v>
      </c>
      <c r="B439" s="1">
        <f t="shared" ca="1" si="25"/>
        <v>45018</v>
      </c>
      <c r="C439" t="s">
        <v>8</v>
      </c>
      <c r="D439" t="str">
        <f t="shared" ca="1" si="26"/>
        <v>Furniture</v>
      </c>
      <c r="E439" t="s">
        <v>37</v>
      </c>
      <c r="F439" s="11">
        <v>1149</v>
      </c>
      <c r="G439">
        <f t="shared" ca="1" si="27"/>
        <v>7</v>
      </c>
      <c r="H439" s="11">
        <f ca="1">IF(Table1[[#This Row],[Category]]="Electronics",Table1[[#This Row],[Sales]]*0.6,
IF(Table1[[#This Row],[Category]]="Furniture",Table1[[#This Row],[Sales]]*0.75,
IF(Table1[[#This Row],[Category]]="Clothing",Table1[[#This Row],[Sales]]*0.65,
Table1[[#This Row],[Sales]]*0.7)))</f>
        <v>861.75</v>
      </c>
      <c r="I439" s="11">
        <f ca="1">Table1[[#This Row],[Sales]]-H439</f>
        <v>287.25</v>
      </c>
      <c r="J439" s="2">
        <f ca="1">Table1[[#This Row],[Profit]]/Table1[[#This Row],[Sales]]</f>
        <v>0.25</v>
      </c>
      <c r="K439" t="str">
        <f ca="1">TEXT(Table1[[#This Row],[Order_Date]],"mmm")</f>
        <v>Apr</v>
      </c>
      <c r="L439">
        <f ca="1">YEAR(Table1[[#This Row],[Order_Date]])</f>
        <v>2023</v>
      </c>
    </row>
    <row r="440" spans="1:12" x14ac:dyDescent="0.3">
      <c r="A440">
        <f t="shared" si="24"/>
        <v>439</v>
      </c>
      <c r="B440" s="1">
        <f t="shared" ca="1" si="25"/>
        <v>45144</v>
      </c>
      <c r="C440" t="s">
        <v>9</v>
      </c>
      <c r="D440" t="str">
        <f t="shared" ca="1" si="26"/>
        <v>Electronics</v>
      </c>
      <c r="E440" t="s">
        <v>66</v>
      </c>
      <c r="F440" s="11">
        <v>10090</v>
      </c>
      <c r="G440">
        <f t="shared" ca="1" si="27"/>
        <v>7</v>
      </c>
      <c r="H440" s="11">
        <f ca="1">IF(Table1[[#This Row],[Category]]="Electronics",Table1[[#This Row],[Sales]]*0.6,
IF(Table1[[#This Row],[Category]]="Furniture",Table1[[#This Row],[Sales]]*0.75,
IF(Table1[[#This Row],[Category]]="Clothing",Table1[[#This Row],[Sales]]*0.65,
Table1[[#This Row],[Sales]]*0.7)))</f>
        <v>6054</v>
      </c>
      <c r="I440" s="11">
        <f ca="1">Table1[[#This Row],[Sales]]-H440</f>
        <v>4036</v>
      </c>
      <c r="J440" s="2">
        <f ca="1">Table1[[#This Row],[Profit]]/Table1[[#This Row],[Sales]]</f>
        <v>0.4</v>
      </c>
      <c r="K440" t="str">
        <f ca="1">TEXT(Table1[[#This Row],[Order_Date]],"mmm")</f>
        <v>Aug</v>
      </c>
      <c r="L440">
        <f ca="1">YEAR(Table1[[#This Row],[Order_Date]])</f>
        <v>2023</v>
      </c>
    </row>
    <row r="441" spans="1:12" x14ac:dyDescent="0.3">
      <c r="A441">
        <f t="shared" si="24"/>
        <v>440</v>
      </c>
      <c r="B441" s="1">
        <f t="shared" ca="1" si="25"/>
        <v>45128</v>
      </c>
      <c r="C441" t="s">
        <v>10</v>
      </c>
      <c r="D441" t="str">
        <f t="shared" ca="1" si="26"/>
        <v>Furniture</v>
      </c>
      <c r="E441" t="s">
        <v>83</v>
      </c>
      <c r="F441" s="11">
        <v>19161</v>
      </c>
      <c r="G441">
        <f t="shared" ca="1" si="27"/>
        <v>5</v>
      </c>
      <c r="H441" s="11">
        <f ca="1">IF(Table1[[#This Row],[Category]]="Electronics",Table1[[#This Row],[Sales]]*0.6,
IF(Table1[[#This Row],[Category]]="Furniture",Table1[[#This Row],[Sales]]*0.75,
IF(Table1[[#This Row],[Category]]="Clothing",Table1[[#This Row],[Sales]]*0.65,
Table1[[#This Row],[Sales]]*0.7)))</f>
        <v>14370.75</v>
      </c>
      <c r="I441" s="11">
        <f ca="1">Table1[[#This Row],[Sales]]-H441</f>
        <v>4790.25</v>
      </c>
      <c r="J441" s="2">
        <f ca="1">Table1[[#This Row],[Profit]]/Table1[[#This Row],[Sales]]</f>
        <v>0.25</v>
      </c>
      <c r="K441" t="str">
        <f ca="1">TEXT(Table1[[#This Row],[Order_Date]],"mmm")</f>
        <v>Jul</v>
      </c>
      <c r="L441">
        <f ca="1">YEAR(Table1[[#This Row],[Order_Date]])</f>
        <v>2023</v>
      </c>
    </row>
    <row r="442" spans="1:12" x14ac:dyDescent="0.3">
      <c r="A442">
        <f t="shared" si="24"/>
        <v>441</v>
      </c>
      <c r="B442" s="1">
        <f t="shared" ca="1" si="25"/>
        <v>45068</v>
      </c>
      <c r="C442" t="s">
        <v>7</v>
      </c>
      <c r="D442" t="str">
        <f t="shared" ca="1" si="26"/>
        <v>Clothing</v>
      </c>
      <c r="E442" t="s">
        <v>39</v>
      </c>
      <c r="F442" s="11">
        <v>12416</v>
      </c>
      <c r="G442">
        <f t="shared" ca="1" si="27"/>
        <v>6</v>
      </c>
      <c r="H442" s="11">
        <f ca="1">IF(Table1[[#This Row],[Category]]="Electronics",Table1[[#This Row],[Sales]]*0.6,
IF(Table1[[#This Row],[Category]]="Furniture",Table1[[#This Row],[Sales]]*0.75,
IF(Table1[[#This Row],[Category]]="Clothing",Table1[[#This Row],[Sales]]*0.65,
Table1[[#This Row],[Sales]]*0.7)))</f>
        <v>8070.4000000000005</v>
      </c>
      <c r="I442" s="11">
        <f ca="1">Table1[[#This Row],[Sales]]-H442</f>
        <v>4345.5999999999995</v>
      </c>
      <c r="J442" s="2">
        <f ca="1">Table1[[#This Row],[Profit]]/Table1[[#This Row],[Sales]]</f>
        <v>0.35</v>
      </c>
      <c r="K442" t="str">
        <f ca="1">TEXT(Table1[[#This Row],[Order_Date]],"mmm")</f>
        <v>May</v>
      </c>
      <c r="L442">
        <f ca="1">YEAR(Table1[[#This Row],[Order_Date]])</f>
        <v>2023</v>
      </c>
    </row>
    <row r="443" spans="1:12" x14ac:dyDescent="0.3">
      <c r="A443">
        <f t="shared" si="24"/>
        <v>442</v>
      </c>
      <c r="B443" s="1">
        <f t="shared" ca="1" si="25"/>
        <v>44972</v>
      </c>
      <c r="C443" t="s">
        <v>8</v>
      </c>
      <c r="D443" t="str">
        <f t="shared" ca="1" si="26"/>
        <v>Clothing</v>
      </c>
      <c r="E443" t="s">
        <v>54</v>
      </c>
      <c r="F443" s="11">
        <v>5185</v>
      </c>
      <c r="G443">
        <f t="shared" ca="1" si="27"/>
        <v>8</v>
      </c>
      <c r="H443" s="11">
        <f ca="1">IF(Table1[[#This Row],[Category]]="Electronics",Table1[[#This Row],[Sales]]*0.6,
IF(Table1[[#This Row],[Category]]="Furniture",Table1[[#This Row],[Sales]]*0.75,
IF(Table1[[#This Row],[Category]]="Clothing",Table1[[#This Row],[Sales]]*0.65,
Table1[[#This Row],[Sales]]*0.7)))</f>
        <v>3370.25</v>
      </c>
      <c r="I443" s="11">
        <f ca="1">Table1[[#This Row],[Sales]]-H443</f>
        <v>1814.75</v>
      </c>
      <c r="J443" s="2">
        <f ca="1">Table1[[#This Row],[Profit]]/Table1[[#This Row],[Sales]]</f>
        <v>0.35</v>
      </c>
      <c r="K443" t="str">
        <f ca="1">TEXT(Table1[[#This Row],[Order_Date]],"mmm")</f>
        <v>Feb</v>
      </c>
      <c r="L443">
        <f ca="1">YEAR(Table1[[#This Row],[Order_Date]])</f>
        <v>2023</v>
      </c>
    </row>
    <row r="444" spans="1:12" x14ac:dyDescent="0.3">
      <c r="A444">
        <f t="shared" si="24"/>
        <v>443</v>
      </c>
      <c r="B444" s="1">
        <f t="shared" ca="1" si="25"/>
        <v>45172</v>
      </c>
      <c r="C444" t="s">
        <v>9</v>
      </c>
      <c r="D444" t="str">
        <f t="shared" ca="1" si="26"/>
        <v>Furniture</v>
      </c>
      <c r="E444" t="s">
        <v>46</v>
      </c>
      <c r="F444" s="11">
        <v>5208</v>
      </c>
      <c r="G444">
        <f t="shared" ca="1" si="27"/>
        <v>4</v>
      </c>
      <c r="H444" s="11">
        <f ca="1">IF(Table1[[#This Row],[Category]]="Electronics",Table1[[#This Row],[Sales]]*0.6,
IF(Table1[[#This Row],[Category]]="Furniture",Table1[[#This Row],[Sales]]*0.75,
IF(Table1[[#This Row],[Category]]="Clothing",Table1[[#This Row],[Sales]]*0.65,
Table1[[#This Row],[Sales]]*0.7)))</f>
        <v>3906</v>
      </c>
      <c r="I444" s="11">
        <f ca="1">Table1[[#This Row],[Sales]]-H444</f>
        <v>1302</v>
      </c>
      <c r="J444" s="2">
        <f ca="1">Table1[[#This Row],[Profit]]/Table1[[#This Row],[Sales]]</f>
        <v>0.25</v>
      </c>
      <c r="K444" t="str">
        <f ca="1">TEXT(Table1[[#This Row],[Order_Date]],"mmm")</f>
        <v>Sep</v>
      </c>
      <c r="L444">
        <f ca="1">YEAR(Table1[[#This Row],[Order_Date]])</f>
        <v>2023</v>
      </c>
    </row>
    <row r="445" spans="1:12" x14ac:dyDescent="0.3">
      <c r="A445">
        <f t="shared" si="24"/>
        <v>444</v>
      </c>
      <c r="B445" s="1">
        <f t="shared" ca="1" si="25"/>
        <v>45125</v>
      </c>
      <c r="C445" t="s">
        <v>10</v>
      </c>
      <c r="D445" t="str">
        <f t="shared" ca="1" si="26"/>
        <v>Furniture</v>
      </c>
      <c r="E445" t="s">
        <v>85</v>
      </c>
      <c r="F445" s="11">
        <v>16428</v>
      </c>
      <c r="G445">
        <f t="shared" ca="1" si="27"/>
        <v>8</v>
      </c>
      <c r="H445" s="11">
        <f ca="1">IF(Table1[[#This Row],[Category]]="Electronics",Table1[[#This Row],[Sales]]*0.6,
IF(Table1[[#This Row],[Category]]="Furniture",Table1[[#This Row],[Sales]]*0.75,
IF(Table1[[#This Row],[Category]]="Clothing",Table1[[#This Row],[Sales]]*0.65,
Table1[[#This Row],[Sales]]*0.7)))</f>
        <v>12321</v>
      </c>
      <c r="I445" s="11">
        <f ca="1">Table1[[#This Row],[Sales]]-H445</f>
        <v>4107</v>
      </c>
      <c r="J445" s="2">
        <f ca="1">Table1[[#This Row],[Profit]]/Table1[[#This Row],[Sales]]</f>
        <v>0.25</v>
      </c>
      <c r="K445" t="str">
        <f ca="1">TEXT(Table1[[#This Row],[Order_Date]],"mmm")</f>
        <v>Jul</v>
      </c>
      <c r="L445">
        <f ca="1">YEAR(Table1[[#This Row],[Order_Date]])</f>
        <v>2023</v>
      </c>
    </row>
    <row r="446" spans="1:12" x14ac:dyDescent="0.3">
      <c r="A446">
        <f t="shared" si="24"/>
        <v>445</v>
      </c>
      <c r="B446" s="1">
        <f t="shared" ca="1" si="25"/>
        <v>45099</v>
      </c>
      <c r="C446" t="s">
        <v>7</v>
      </c>
      <c r="D446" t="str">
        <f t="shared" ca="1" si="26"/>
        <v>Office Supplies</v>
      </c>
      <c r="E446" t="s">
        <v>39</v>
      </c>
      <c r="F446" s="11">
        <v>15260</v>
      </c>
      <c r="G446">
        <f t="shared" ca="1" si="27"/>
        <v>4</v>
      </c>
      <c r="H446" s="11">
        <f ca="1">IF(Table1[[#This Row],[Category]]="Electronics",Table1[[#This Row],[Sales]]*0.6,
IF(Table1[[#This Row],[Category]]="Furniture",Table1[[#This Row],[Sales]]*0.75,
IF(Table1[[#This Row],[Category]]="Clothing",Table1[[#This Row],[Sales]]*0.65,
Table1[[#This Row],[Sales]]*0.7)))</f>
        <v>10682</v>
      </c>
      <c r="I446" s="11">
        <f ca="1">Table1[[#This Row],[Sales]]-H446</f>
        <v>4578</v>
      </c>
      <c r="J446" s="2">
        <f ca="1">Table1[[#This Row],[Profit]]/Table1[[#This Row],[Sales]]</f>
        <v>0.3</v>
      </c>
      <c r="K446" t="str">
        <f ca="1">TEXT(Table1[[#This Row],[Order_Date]],"mmm")</f>
        <v>Jun</v>
      </c>
      <c r="L446">
        <f ca="1">YEAR(Table1[[#This Row],[Order_Date]])</f>
        <v>2023</v>
      </c>
    </row>
    <row r="447" spans="1:12" x14ac:dyDescent="0.3">
      <c r="A447">
        <f t="shared" si="24"/>
        <v>446</v>
      </c>
      <c r="B447" s="1">
        <f t="shared" ca="1" si="25"/>
        <v>44928</v>
      </c>
      <c r="C447" t="s">
        <v>8</v>
      </c>
      <c r="D447" t="str">
        <f t="shared" ca="1" si="26"/>
        <v>Office Supplies</v>
      </c>
      <c r="E447" t="s">
        <v>42</v>
      </c>
      <c r="F447" s="11">
        <v>13818</v>
      </c>
      <c r="G447">
        <f t="shared" ca="1" si="27"/>
        <v>1</v>
      </c>
      <c r="H447" s="11">
        <f ca="1">IF(Table1[[#This Row],[Category]]="Electronics",Table1[[#This Row],[Sales]]*0.6,
IF(Table1[[#This Row],[Category]]="Furniture",Table1[[#This Row],[Sales]]*0.75,
IF(Table1[[#This Row],[Category]]="Clothing",Table1[[#This Row],[Sales]]*0.65,
Table1[[#This Row],[Sales]]*0.7)))</f>
        <v>9672.5999999999985</v>
      </c>
      <c r="I447" s="11">
        <f ca="1">Table1[[#This Row],[Sales]]-H447</f>
        <v>4145.4000000000015</v>
      </c>
      <c r="J447" s="2">
        <f ca="1">Table1[[#This Row],[Profit]]/Table1[[#This Row],[Sales]]</f>
        <v>0.3000000000000001</v>
      </c>
      <c r="K447" t="str">
        <f ca="1">TEXT(Table1[[#This Row],[Order_Date]],"mmm")</f>
        <v>Jan</v>
      </c>
      <c r="L447">
        <f ca="1">YEAR(Table1[[#This Row],[Order_Date]])</f>
        <v>2023</v>
      </c>
    </row>
    <row r="448" spans="1:12" x14ac:dyDescent="0.3">
      <c r="A448">
        <f t="shared" si="24"/>
        <v>447</v>
      </c>
      <c r="B448" s="1">
        <f t="shared" ca="1" si="25"/>
        <v>44929</v>
      </c>
      <c r="C448" t="s">
        <v>9</v>
      </c>
      <c r="D448" t="str">
        <f t="shared" ca="1" si="26"/>
        <v>Clothing</v>
      </c>
      <c r="E448" t="s">
        <v>79</v>
      </c>
      <c r="F448" s="11">
        <v>6921</v>
      </c>
      <c r="G448">
        <f t="shared" ca="1" si="27"/>
        <v>8</v>
      </c>
      <c r="H448" s="11">
        <f ca="1">IF(Table1[[#This Row],[Category]]="Electronics",Table1[[#This Row],[Sales]]*0.6,
IF(Table1[[#This Row],[Category]]="Furniture",Table1[[#This Row],[Sales]]*0.75,
IF(Table1[[#This Row],[Category]]="Clothing",Table1[[#This Row],[Sales]]*0.65,
Table1[[#This Row],[Sales]]*0.7)))</f>
        <v>4498.6500000000005</v>
      </c>
      <c r="I448" s="11">
        <f ca="1">Table1[[#This Row],[Sales]]-H448</f>
        <v>2422.3499999999995</v>
      </c>
      <c r="J448" s="2">
        <f ca="1">Table1[[#This Row],[Profit]]/Table1[[#This Row],[Sales]]</f>
        <v>0.34999999999999992</v>
      </c>
      <c r="K448" t="str">
        <f ca="1">TEXT(Table1[[#This Row],[Order_Date]],"mmm")</f>
        <v>Jan</v>
      </c>
      <c r="L448">
        <f ca="1">YEAR(Table1[[#This Row],[Order_Date]])</f>
        <v>2023</v>
      </c>
    </row>
    <row r="449" spans="1:12" x14ac:dyDescent="0.3">
      <c r="A449">
        <f t="shared" si="24"/>
        <v>448</v>
      </c>
      <c r="B449" s="1">
        <f t="shared" ca="1" si="25"/>
        <v>45079</v>
      </c>
      <c r="C449" t="s">
        <v>10</v>
      </c>
      <c r="D449" t="str">
        <f t="shared" ca="1" si="26"/>
        <v>Electronics</v>
      </c>
      <c r="E449" t="s">
        <v>77</v>
      </c>
      <c r="F449" s="11">
        <v>6783</v>
      </c>
      <c r="G449">
        <f t="shared" ca="1" si="27"/>
        <v>3</v>
      </c>
      <c r="H449" s="11">
        <f ca="1">IF(Table1[[#This Row],[Category]]="Electronics",Table1[[#This Row],[Sales]]*0.6,
IF(Table1[[#This Row],[Category]]="Furniture",Table1[[#This Row],[Sales]]*0.75,
IF(Table1[[#This Row],[Category]]="Clothing",Table1[[#This Row],[Sales]]*0.65,
Table1[[#This Row],[Sales]]*0.7)))</f>
        <v>4069.7999999999997</v>
      </c>
      <c r="I449" s="11">
        <f ca="1">Table1[[#This Row],[Sales]]-H449</f>
        <v>2713.2000000000003</v>
      </c>
      <c r="J449" s="2">
        <f ca="1">Table1[[#This Row],[Profit]]/Table1[[#This Row],[Sales]]</f>
        <v>0.4</v>
      </c>
      <c r="K449" t="str">
        <f ca="1">TEXT(Table1[[#This Row],[Order_Date]],"mmm")</f>
        <v>Jun</v>
      </c>
      <c r="L449">
        <f ca="1">YEAR(Table1[[#This Row],[Order_Date]])</f>
        <v>2023</v>
      </c>
    </row>
    <row r="450" spans="1:12" x14ac:dyDescent="0.3">
      <c r="A450">
        <f t="shared" si="24"/>
        <v>449</v>
      </c>
      <c r="B450" s="1">
        <f t="shared" ca="1" si="25"/>
        <v>45265</v>
      </c>
      <c r="C450" t="s">
        <v>7</v>
      </c>
      <c r="D450" t="str">
        <f t="shared" ca="1" si="26"/>
        <v>Furniture</v>
      </c>
      <c r="E450" t="s">
        <v>43</v>
      </c>
      <c r="F450" s="11">
        <v>5897</v>
      </c>
      <c r="G450">
        <f t="shared" ca="1" si="27"/>
        <v>7</v>
      </c>
      <c r="H450" s="11">
        <f ca="1">IF(Table1[[#This Row],[Category]]="Electronics",Table1[[#This Row],[Sales]]*0.6,
IF(Table1[[#This Row],[Category]]="Furniture",Table1[[#This Row],[Sales]]*0.75,
IF(Table1[[#This Row],[Category]]="Clothing",Table1[[#This Row],[Sales]]*0.65,
Table1[[#This Row],[Sales]]*0.7)))</f>
        <v>4422.75</v>
      </c>
      <c r="I450" s="11">
        <f ca="1">Table1[[#This Row],[Sales]]-H450</f>
        <v>1474.25</v>
      </c>
      <c r="J450" s="2">
        <f ca="1">Table1[[#This Row],[Profit]]/Table1[[#This Row],[Sales]]</f>
        <v>0.25</v>
      </c>
      <c r="K450" t="str">
        <f ca="1">TEXT(Table1[[#This Row],[Order_Date]],"mmm")</f>
        <v>Dec</v>
      </c>
      <c r="L450">
        <f ca="1">YEAR(Table1[[#This Row],[Order_Date]])</f>
        <v>2023</v>
      </c>
    </row>
    <row r="451" spans="1:12" x14ac:dyDescent="0.3">
      <c r="A451">
        <f t="shared" ref="A451:A514" si="28">ROW()-1</f>
        <v>450</v>
      </c>
      <c r="B451" s="1">
        <f t="shared" ref="B451:B514" ca="1" si="29">DATE(2023, RANDBETWEEN(1,12), RANDBETWEEN(1,28))</f>
        <v>45175</v>
      </c>
      <c r="C451" t="s">
        <v>8</v>
      </c>
      <c r="D451" t="str">
        <f t="shared" ref="D451:D514" ca="1" si="30">CHOOSE(RANDBETWEEN(1,4),"Electronics","Furniture","Clothing","Office Supplies")</f>
        <v>Clothing</v>
      </c>
      <c r="E451" t="s">
        <v>62</v>
      </c>
      <c r="F451" s="11">
        <v>12980</v>
      </c>
      <c r="G451">
        <f t="shared" ref="G451:G514" ca="1" si="31">RANDBETWEEN(1,10)</f>
        <v>2</v>
      </c>
      <c r="H451" s="11">
        <f ca="1">IF(Table1[[#This Row],[Category]]="Electronics",Table1[[#This Row],[Sales]]*0.6,
IF(Table1[[#This Row],[Category]]="Furniture",Table1[[#This Row],[Sales]]*0.75,
IF(Table1[[#This Row],[Category]]="Clothing",Table1[[#This Row],[Sales]]*0.65,
Table1[[#This Row],[Sales]]*0.7)))</f>
        <v>8437</v>
      </c>
      <c r="I451" s="11">
        <f ca="1">Table1[[#This Row],[Sales]]-H451</f>
        <v>4543</v>
      </c>
      <c r="J451" s="2">
        <f ca="1">Table1[[#This Row],[Profit]]/Table1[[#This Row],[Sales]]</f>
        <v>0.35</v>
      </c>
      <c r="K451" t="str">
        <f ca="1">TEXT(Table1[[#This Row],[Order_Date]],"mmm")</f>
        <v>Sep</v>
      </c>
      <c r="L451">
        <f ca="1">YEAR(Table1[[#This Row],[Order_Date]])</f>
        <v>2023</v>
      </c>
    </row>
    <row r="452" spans="1:12" x14ac:dyDescent="0.3">
      <c r="A452">
        <f t="shared" si="28"/>
        <v>451</v>
      </c>
      <c r="B452" s="1">
        <f t="shared" ca="1" si="29"/>
        <v>44960</v>
      </c>
      <c r="C452" t="s">
        <v>9</v>
      </c>
      <c r="D452" t="str">
        <f t="shared" ca="1" si="30"/>
        <v>Office Supplies</v>
      </c>
      <c r="E452" t="s">
        <v>75</v>
      </c>
      <c r="F452" s="11">
        <v>17043</v>
      </c>
      <c r="G452">
        <f t="shared" ca="1" si="31"/>
        <v>4</v>
      </c>
      <c r="H452" s="11">
        <f ca="1">IF(Table1[[#This Row],[Category]]="Electronics",Table1[[#This Row],[Sales]]*0.6,
IF(Table1[[#This Row],[Category]]="Furniture",Table1[[#This Row],[Sales]]*0.75,
IF(Table1[[#This Row],[Category]]="Clothing",Table1[[#This Row],[Sales]]*0.65,
Table1[[#This Row],[Sales]]*0.7)))</f>
        <v>11930.099999999999</v>
      </c>
      <c r="I452" s="11">
        <f ca="1">Table1[[#This Row],[Sales]]-H452</f>
        <v>5112.9000000000015</v>
      </c>
      <c r="J452" s="2">
        <f ca="1">Table1[[#This Row],[Profit]]/Table1[[#This Row],[Sales]]</f>
        <v>0.3000000000000001</v>
      </c>
      <c r="K452" t="str">
        <f ca="1">TEXT(Table1[[#This Row],[Order_Date]],"mmm")</f>
        <v>Feb</v>
      </c>
      <c r="L452">
        <f ca="1">YEAR(Table1[[#This Row],[Order_Date]])</f>
        <v>2023</v>
      </c>
    </row>
    <row r="453" spans="1:12" x14ac:dyDescent="0.3">
      <c r="A453">
        <f t="shared" si="28"/>
        <v>452</v>
      </c>
      <c r="B453" s="1">
        <f t="shared" ca="1" si="29"/>
        <v>45196</v>
      </c>
      <c r="C453" t="s">
        <v>10</v>
      </c>
      <c r="D453" t="str">
        <f t="shared" ca="1" si="30"/>
        <v>Office Supplies</v>
      </c>
      <c r="E453" t="s">
        <v>42</v>
      </c>
      <c r="F453" s="11">
        <v>12245</v>
      </c>
      <c r="G453">
        <f t="shared" ca="1" si="31"/>
        <v>5</v>
      </c>
      <c r="H453" s="11">
        <f ca="1">IF(Table1[[#This Row],[Category]]="Electronics",Table1[[#This Row],[Sales]]*0.6,
IF(Table1[[#This Row],[Category]]="Furniture",Table1[[#This Row],[Sales]]*0.75,
IF(Table1[[#This Row],[Category]]="Clothing",Table1[[#This Row],[Sales]]*0.65,
Table1[[#This Row],[Sales]]*0.7)))</f>
        <v>8571.5</v>
      </c>
      <c r="I453" s="11">
        <f ca="1">Table1[[#This Row],[Sales]]-H453</f>
        <v>3673.5</v>
      </c>
      <c r="J453" s="2">
        <f ca="1">Table1[[#This Row],[Profit]]/Table1[[#This Row],[Sales]]</f>
        <v>0.3</v>
      </c>
      <c r="K453" t="str">
        <f ca="1">TEXT(Table1[[#This Row],[Order_Date]],"mmm")</f>
        <v>Sep</v>
      </c>
      <c r="L453">
        <f ca="1">YEAR(Table1[[#This Row],[Order_Date]])</f>
        <v>2023</v>
      </c>
    </row>
    <row r="454" spans="1:12" x14ac:dyDescent="0.3">
      <c r="A454">
        <f t="shared" si="28"/>
        <v>453</v>
      </c>
      <c r="B454" s="1">
        <f t="shared" ca="1" si="29"/>
        <v>45272</v>
      </c>
      <c r="C454" t="s">
        <v>7</v>
      </c>
      <c r="D454" t="str">
        <f t="shared" ca="1" si="30"/>
        <v>Clothing</v>
      </c>
      <c r="E454" t="s">
        <v>81</v>
      </c>
      <c r="F454" s="11">
        <v>2967</v>
      </c>
      <c r="G454">
        <f t="shared" ca="1" si="31"/>
        <v>6</v>
      </c>
      <c r="H454" s="11">
        <f ca="1">IF(Table1[[#This Row],[Category]]="Electronics",Table1[[#This Row],[Sales]]*0.6,
IF(Table1[[#This Row],[Category]]="Furniture",Table1[[#This Row],[Sales]]*0.75,
IF(Table1[[#This Row],[Category]]="Clothing",Table1[[#This Row],[Sales]]*0.65,
Table1[[#This Row],[Sales]]*0.7)))</f>
        <v>1928.55</v>
      </c>
      <c r="I454" s="11">
        <f ca="1">Table1[[#This Row],[Sales]]-H454</f>
        <v>1038.45</v>
      </c>
      <c r="J454" s="2">
        <f ca="1">Table1[[#This Row],[Profit]]/Table1[[#This Row],[Sales]]</f>
        <v>0.35000000000000003</v>
      </c>
      <c r="K454" t="str">
        <f ca="1">TEXT(Table1[[#This Row],[Order_Date]],"mmm")</f>
        <v>Dec</v>
      </c>
      <c r="L454">
        <f ca="1">YEAR(Table1[[#This Row],[Order_Date]])</f>
        <v>2023</v>
      </c>
    </row>
    <row r="455" spans="1:12" x14ac:dyDescent="0.3">
      <c r="A455">
        <f t="shared" si="28"/>
        <v>454</v>
      </c>
      <c r="B455" s="1">
        <f t="shared" ca="1" si="29"/>
        <v>45281</v>
      </c>
      <c r="C455" t="s">
        <v>8</v>
      </c>
      <c r="D455" t="str">
        <f t="shared" ca="1" si="30"/>
        <v>Electronics</v>
      </c>
      <c r="E455" t="s">
        <v>66</v>
      </c>
      <c r="F455" s="11">
        <v>6856</v>
      </c>
      <c r="G455">
        <f t="shared" ca="1" si="31"/>
        <v>10</v>
      </c>
      <c r="H455" s="11">
        <f ca="1">IF(Table1[[#This Row],[Category]]="Electronics",Table1[[#This Row],[Sales]]*0.6,
IF(Table1[[#This Row],[Category]]="Furniture",Table1[[#This Row],[Sales]]*0.75,
IF(Table1[[#This Row],[Category]]="Clothing",Table1[[#This Row],[Sales]]*0.65,
Table1[[#This Row],[Sales]]*0.7)))</f>
        <v>4113.5999999999995</v>
      </c>
      <c r="I455" s="11">
        <f ca="1">Table1[[#This Row],[Sales]]-H455</f>
        <v>2742.4000000000005</v>
      </c>
      <c r="J455" s="2">
        <f ca="1">Table1[[#This Row],[Profit]]/Table1[[#This Row],[Sales]]</f>
        <v>0.40000000000000008</v>
      </c>
      <c r="K455" t="str">
        <f ca="1">TEXT(Table1[[#This Row],[Order_Date]],"mmm")</f>
        <v>Dec</v>
      </c>
      <c r="L455">
        <f ca="1">YEAR(Table1[[#This Row],[Order_Date]])</f>
        <v>2023</v>
      </c>
    </row>
    <row r="456" spans="1:12" x14ac:dyDescent="0.3">
      <c r="A456">
        <f t="shared" si="28"/>
        <v>455</v>
      </c>
      <c r="B456" s="1">
        <f t="shared" ca="1" si="29"/>
        <v>45180</v>
      </c>
      <c r="C456" t="s">
        <v>9</v>
      </c>
      <c r="D456" t="str">
        <f t="shared" ca="1" si="30"/>
        <v>Clothing</v>
      </c>
      <c r="E456" t="s">
        <v>59</v>
      </c>
      <c r="F456" s="11">
        <v>16327</v>
      </c>
      <c r="G456">
        <f t="shared" ca="1" si="31"/>
        <v>4</v>
      </c>
      <c r="H456" s="11">
        <f ca="1">IF(Table1[[#This Row],[Category]]="Electronics",Table1[[#This Row],[Sales]]*0.6,
IF(Table1[[#This Row],[Category]]="Furniture",Table1[[#This Row],[Sales]]*0.75,
IF(Table1[[#This Row],[Category]]="Clothing",Table1[[#This Row],[Sales]]*0.65,
Table1[[#This Row],[Sales]]*0.7)))</f>
        <v>10612.550000000001</v>
      </c>
      <c r="I456" s="11">
        <f ca="1">Table1[[#This Row],[Sales]]-H456</f>
        <v>5714.4499999999989</v>
      </c>
      <c r="J456" s="2">
        <f ca="1">Table1[[#This Row],[Profit]]/Table1[[#This Row],[Sales]]</f>
        <v>0.34999999999999992</v>
      </c>
      <c r="K456" t="str">
        <f ca="1">TEXT(Table1[[#This Row],[Order_Date]],"mmm")</f>
        <v>Sep</v>
      </c>
      <c r="L456">
        <f ca="1">YEAR(Table1[[#This Row],[Order_Date]])</f>
        <v>2023</v>
      </c>
    </row>
    <row r="457" spans="1:12" x14ac:dyDescent="0.3">
      <c r="A457">
        <f t="shared" si="28"/>
        <v>456</v>
      </c>
      <c r="B457" s="1">
        <f t="shared" ca="1" si="29"/>
        <v>45100</v>
      </c>
      <c r="C457" t="s">
        <v>10</v>
      </c>
      <c r="D457" t="str">
        <f t="shared" ca="1" si="30"/>
        <v>Furniture</v>
      </c>
      <c r="E457" t="s">
        <v>60</v>
      </c>
      <c r="F457" s="11">
        <v>12323</v>
      </c>
      <c r="G457">
        <f t="shared" ca="1" si="31"/>
        <v>3</v>
      </c>
      <c r="H457" s="11">
        <f ca="1">IF(Table1[[#This Row],[Category]]="Electronics",Table1[[#This Row],[Sales]]*0.6,
IF(Table1[[#This Row],[Category]]="Furniture",Table1[[#This Row],[Sales]]*0.75,
IF(Table1[[#This Row],[Category]]="Clothing",Table1[[#This Row],[Sales]]*0.65,
Table1[[#This Row],[Sales]]*0.7)))</f>
        <v>9242.25</v>
      </c>
      <c r="I457" s="11">
        <f ca="1">Table1[[#This Row],[Sales]]-H457</f>
        <v>3080.75</v>
      </c>
      <c r="J457" s="2">
        <f ca="1">Table1[[#This Row],[Profit]]/Table1[[#This Row],[Sales]]</f>
        <v>0.25</v>
      </c>
      <c r="K457" t="str">
        <f ca="1">TEXT(Table1[[#This Row],[Order_Date]],"mmm")</f>
        <v>Jun</v>
      </c>
      <c r="L457">
        <f ca="1">YEAR(Table1[[#This Row],[Order_Date]])</f>
        <v>2023</v>
      </c>
    </row>
    <row r="458" spans="1:12" x14ac:dyDescent="0.3">
      <c r="A458">
        <f t="shared" si="28"/>
        <v>457</v>
      </c>
      <c r="B458" s="1">
        <f t="shared" ca="1" si="29"/>
        <v>44937</v>
      </c>
      <c r="C458" t="s">
        <v>7</v>
      </c>
      <c r="D458" t="str">
        <f t="shared" ca="1" si="30"/>
        <v>Office Supplies</v>
      </c>
      <c r="E458" t="s">
        <v>77</v>
      </c>
      <c r="F458" s="11">
        <v>6380</v>
      </c>
      <c r="G458">
        <f t="shared" ca="1" si="31"/>
        <v>8</v>
      </c>
      <c r="H458" s="11">
        <f ca="1">IF(Table1[[#This Row],[Category]]="Electronics",Table1[[#This Row],[Sales]]*0.6,
IF(Table1[[#This Row],[Category]]="Furniture",Table1[[#This Row],[Sales]]*0.75,
IF(Table1[[#This Row],[Category]]="Clothing",Table1[[#This Row],[Sales]]*0.65,
Table1[[#This Row],[Sales]]*0.7)))</f>
        <v>4466</v>
      </c>
      <c r="I458" s="11">
        <f ca="1">Table1[[#This Row],[Sales]]-H458</f>
        <v>1914</v>
      </c>
      <c r="J458" s="2">
        <f ca="1">Table1[[#This Row],[Profit]]/Table1[[#This Row],[Sales]]</f>
        <v>0.3</v>
      </c>
      <c r="K458" t="str">
        <f ca="1">TEXT(Table1[[#This Row],[Order_Date]],"mmm")</f>
        <v>Jan</v>
      </c>
      <c r="L458">
        <f ca="1">YEAR(Table1[[#This Row],[Order_Date]])</f>
        <v>2023</v>
      </c>
    </row>
    <row r="459" spans="1:12" x14ac:dyDescent="0.3">
      <c r="A459">
        <f t="shared" si="28"/>
        <v>458</v>
      </c>
      <c r="B459" s="1">
        <f t="shared" ca="1" si="29"/>
        <v>44962</v>
      </c>
      <c r="C459" t="s">
        <v>8</v>
      </c>
      <c r="D459" t="str">
        <f t="shared" ca="1" si="30"/>
        <v>Office Supplies</v>
      </c>
      <c r="E459" t="s">
        <v>45</v>
      </c>
      <c r="F459" s="11">
        <v>1169</v>
      </c>
      <c r="G459">
        <f t="shared" ca="1" si="31"/>
        <v>5</v>
      </c>
      <c r="H459" s="11">
        <f ca="1">IF(Table1[[#This Row],[Category]]="Electronics",Table1[[#This Row],[Sales]]*0.6,
IF(Table1[[#This Row],[Category]]="Furniture",Table1[[#This Row],[Sales]]*0.75,
IF(Table1[[#This Row],[Category]]="Clothing",Table1[[#This Row],[Sales]]*0.65,
Table1[[#This Row],[Sales]]*0.7)))</f>
        <v>818.3</v>
      </c>
      <c r="I459" s="11">
        <f ca="1">Table1[[#This Row],[Sales]]-H459</f>
        <v>350.70000000000005</v>
      </c>
      <c r="J459" s="2">
        <f ca="1">Table1[[#This Row],[Profit]]/Table1[[#This Row],[Sales]]</f>
        <v>0.30000000000000004</v>
      </c>
      <c r="K459" t="str">
        <f ca="1">TEXT(Table1[[#This Row],[Order_Date]],"mmm")</f>
        <v>Feb</v>
      </c>
      <c r="L459">
        <f ca="1">YEAR(Table1[[#This Row],[Order_Date]])</f>
        <v>2023</v>
      </c>
    </row>
    <row r="460" spans="1:12" x14ac:dyDescent="0.3">
      <c r="A460">
        <f t="shared" si="28"/>
        <v>459</v>
      </c>
      <c r="B460" s="1">
        <f t="shared" ca="1" si="29"/>
        <v>45189</v>
      </c>
      <c r="C460" t="s">
        <v>9</v>
      </c>
      <c r="D460" t="str">
        <f t="shared" ca="1" si="30"/>
        <v>Furniture</v>
      </c>
      <c r="E460" t="s">
        <v>75</v>
      </c>
      <c r="F460" s="11">
        <v>2938</v>
      </c>
      <c r="G460">
        <f t="shared" ca="1" si="31"/>
        <v>1</v>
      </c>
      <c r="H460" s="11">
        <f ca="1">IF(Table1[[#This Row],[Category]]="Electronics",Table1[[#This Row],[Sales]]*0.6,
IF(Table1[[#This Row],[Category]]="Furniture",Table1[[#This Row],[Sales]]*0.75,
IF(Table1[[#This Row],[Category]]="Clothing",Table1[[#This Row],[Sales]]*0.65,
Table1[[#This Row],[Sales]]*0.7)))</f>
        <v>2203.5</v>
      </c>
      <c r="I460" s="11">
        <f ca="1">Table1[[#This Row],[Sales]]-H460</f>
        <v>734.5</v>
      </c>
      <c r="J460" s="2">
        <f ca="1">Table1[[#This Row],[Profit]]/Table1[[#This Row],[Sales]]</f>
        <v>0.25</v>
      </c>
      <c r="K460" t="str">
        <f ca="1">TEXT(Table1[[#This Row],[Order_Date]],"mmm")</f>
        <v>Sep</v>
      </c>
      <c r="L460">
        <f ca="1">YEAR(Table1[[#This Row],[Order_Date]])</f>
        <v>2023</v>
      </c>
    </row>
    <row r="461" spans="1:12" x14ac:dyDescent="0.3">
      <c r="A461">
        <f t="shared" si="28"/>
        <v>460</v>
      </c>
      <c r="B461" s="1">
        <f t="shared" ca="1" si="29"/>
        <v>45178</v>
      </c>
      <c r="C461" t="s">
        <v>10</v>
      </c>
      <c r="D461" t="str">
        <f t="shared" ca="1" si="30"/>
        <v>Office Supplies</v>
      </c>
      <c r="E461" t="s">
        <v>71</v>
      </c>
      <c r="F461" s="11">
        <v>9456</v>
      </c>
      <c r="G461">
        <f t="shared" ca="1" si="31"/>
        <v>2</v>
      </c>
      <c r="H461" s="11">
        <f ca="1">IF(Table1[[#This Row],[Category]]="Electronics",Table1[[#This Row],[Sales]]*0.6,
IF(Table1[[#This Row],[Category]]="Furniture",Table1[[#This Row],[Sales]]*0.75,
IF(Table1[[#This Row],[Category]]="Clothing",Table1[[#This Row],[Sales]]*0.65,
Table1[[#This Row],[Sales]]*0.7)))</f>
        <v>6619.2</v>
      </c>
      <c r="I461" s="11">
        <f ca="1">Table1[[#This Row],[Sales]]-H461</f>
        <v>2836.8</v>
      </c>
      <c r="J461" s="2">
        <f ca="1">Table1[[#This Row],[Profit]]/Table1[[#This Row],[Sales]]</f>
        <v>0.30000000000000004</v>
      </c>
      <c r="K461" t="str">
        <f ca="1">TEXT(Table1[[#This Row],[Order_Date]],"mmm")</f>
        <v>Sep</v>
      </c>
      <c r="L461">
        <f ca="1">YEAR(Table1[[#This Row],[Order_Date]])</f>
        <v>2023</v>
      </c>
    </row>
    <row r="462" spans="1:12" x14ac:dyDescent="0.3">
      <c r="A462">
        <f t="shared" si="28"/>
        <v>461</v>
      </c>
      <c r="B462" s="1">
        <f t="shared" ca="1" si="29"/>
        <v>44952</v>
      </c>
      <c r="C462" t="s">
        <v>7</v>
      </c>
      <c r="D462" t="str">
        <f t="shared" ca="1" si="30"/>
        <v>Office Supplies</v>
      </c>
      <c r="E462" t="s">
        <v>79</v>
      </c>
      <c r="F462" s="11">
        <v>2372</v>
      </c>
      <c r="G462">
        <f t="shared" ca="1" si="31"/>
        <v>5</v>
      </c>
      <c r="H462" s="11">
        <f ca="1">IF(Table1[[#This Row],[Category]]="Electronics",Table1[[#This Row],[Sales]]*0.6,
IF(Table1[[#This Row],[Category]]="Furniture",Table1[[#This Row],[Sales]]*0.75,
IF(Table1[[#This Row],[Category]]="Clothing",Table1[[#This Row],[Sales]]*0.65,
Table1[[#This Row],[Sales]]*0.7)))</f>
        <v>1660.3999999999999</v>
      </c>
      <c r="I462" s="11">
        <f ca="1">Table1[[#This Row],[Sales]]-H462</f>
        <v>711.60000000000014</v>
      </c>
      <c r="J462" s="2">
        <f ca="1">Table1[[#This Row],[Profit]]/Table1[[#This Row],[Sales]]</f>
        <v>0.30000000000000004</v>
      </c>
      <c r="K462" t="str">
        <f ca="1">TEXT(Table1[[#This Row],[Order_Date]],"mmm")</f>
        <v>Jan</v>
      </c>
      <c r="L462">
        <f ca="1">YEAR(Table1[[#This Row],[Order_Date]])</f>
        <v>2023</v>
      </c>
    </row>
    <row r="463" spans="1:12" x14ac:dyDescent="0.3">
      <c r="A463">
        <f t="shared" si="28"/>
        <v>462</v>
      </c>
      <c r="B463" s="1">
        <f t="shared" ca="1" si="29"/>
        <v>45203</v>
      </c>
      <c r="C463" t="s">
        <v>8</v>
      </c>
      <c r="D463" t="str">
        <f t="shared" ca="1" si="30"/>
        <v>Furniture</v>
      </c>
      <c r="E463" t="s">
        <v>62</v>
      </c>
      <c r="F463" s="11">
        <v>15493</v>
      </c>
      <c r="G463">
        <f t="shared" ca="1" si="31"/>
        <v>3</v>
      </c>
      <c r="H463" s="11">
        <f ca="1">IF(Table1[[#This Row],[Category]]="Electronics",Table1[[#This Row],[Sales]]*0.6,
IF(Table1[[#This Row],[Category]]="Furniture",Table1[[#This Row],[Sales]]*0.75,
IF(Table1[[#This Row],[Category]]="Clothing",Table1[[#This Row],[Sales]]*0.65,
Table1[[#This Row],[Sales]]*0.7)))</f>
        <v>11619.75</v>
      </c>
      <c r="I463" s="11">
        <f ca="1">Table1[[#This Row],[Sales]]-H463</f>
        <v>3873.25</v>
      </c>
      <c r="J463" s="2">
        <f ca="1">Table1[[#This Row],[Profit]]/Table1[[#This Row],[Sales]]</f>
        <v>0.25</v>
      </c>
      <c r="K463" t="str">
        <f ca="1">TEXT(Table1[[#This Row],[Order_Date]],"mmm")</f>
        <v>Oct</v>
      </c>
      <c r="L463">
        <f ca="1">YEAR(Table1[[#This Row],[Order_Date]])</f>
        <v>2023</v>
      </c>
    </row>
    <row r="464" spans="1:12" x14ac:dyDescent="0.3">
      <c r="A464">
        <f t="shared" si="28"/>
        <v>463</v>
      </c>
      <c r="B464" s="1">
        <f t="shared" ca="1" si="29"/>
        <v>45177</v>
      </c>
      <c r="C464" t="s">
        <v>9</v>
      </c>
      <c r="D464" t="str">
        <f t="shared" ca="1" si="30"/>
        <v>Electronics</v>
      </c>
      <c r="E464" t="s">
        <v>46</v>
      </c>
      <c r="F464" s="11">
        <v>1395</v>
      </c>
      <c r="G464">
        <f t="shared" ca="1" si="31"/>
        <v>6</v>
      </c>
      <c r="H464" s="11">
        <f ca="1">IF(Table1[[#This Row],[Category]]="Electronics",Table1[[#This Row],[Sales]]*0.6,
IF(Table1[[#This Row],[Category]]="Furniture",Table1[[#This Row],[Sales]]*0.75,
IF(Table1[[#This Row],[Category]]="Clothing",Table1[[#This Row],[Sales]]*0.65,
Table1[[#This Row],[Sales]]*0.7)))</f>
        <v>837</v>
      </c>
      <c r="I464" s="11">
        <f ca="1">Table1[[#This Row],[Sales]]-H464</f>
        <v>558</v>
      </c>
      <c r="J464" s="2">
        <f ca="1">Table1[[#This Row],[Profit]]/Table1[[#This Row],[Sales]]</f>
        <v>0.4</v>
      </c>
      <c r="K464" t="str">
        <f ca="1">TEXT(Table1[[#This Row],[Order_Date]],"mmm")</f>
        <v>Sep</v>
      </c>
      <c r="L464">
        <f ca="1">YEAR(Table1[[#This Row],[Order_Date]])</f>
        <v>2023</v>
      </c>
    </row>
    <row r="465" spans="1:12" x14ac:dyDescent="0.3">
      <c r="A465">
        <f t="shared" si="28"/>
        <v>464</v>
      </c>
      <c r="B465" s="1">
        <f t="shared" ca="1" si="29"/>
        <v>45227</v>
      </c>
      <c r="C465" t="s">
        <v>10</v>
      </c>
      <c r="D465" t="str">
        <f t="shared" ca="1" si="30"/>
        <v>Office Supplies</v>
      </c>
      <c r="E465" t="s">
        <v>79</v>
      </c>
      <c r="F465" s="11">
        <v>19499</v>
      </c>
      <c r="G465">
        <f t="shared" ca="1" si="31"/>
        <v>3</v>
      </c>
      <c r="H465" s="11">
        <f ca="1">IF(Table1[[#This Row],[Category]]="Electronics",Table1[[#This Row],[Sales]]*0.6,
IF(Table1[[#This Row],[Category]]="Furniture",Table1[[#This Row],[Sales]]*0.75,
IF(Table1[[#This Row],[Category]]="Clothing",Table1[[#This Row],[Sales]]*0.65,
Table1[[#This Row],[Sales]]*0.7)))</f>
        <v>13649.3</v>
      </c>
      <c r="I465" s="11">
        <f ca="1">Table1[[#This Row],[Sales]]-H465</f>
        <v>5849.7000000000007</v>
      </c>
      <c r="J465" s="2">
        <f ca="1">Table1[[#This Row],[Profit]]/Table1[[#This Row],[Sales]]</f>
        <v>0.30000000000000004</v>
      </c>
      <c r="K465" t="str">
        <f ca="1">TEXT(Table1[[#This Row],[Order_Date]],"mmm")</f>
        <v>Oct</v>
      </c>
      <c r="L465">
        <f ca="1">YEAR(Table1[[#This Row],[Order_Date]])</f>
        <v>2023</v>
      </c>
    </row>
    <row r="466" spans="1:12" x14ac:dyDescent="0.3">
      <c r="A466">
        <f t="shared" si="28"/>
        <v>465</v>
      </c>
      <c r="B466" s="1">
        <f t="shared" ca="1" si="29"/>
        <v>45194</v>
      </c>
      <c r="C466" t="s">
        <v>7</v>
      </c>
      <c r="D466" t="str">
        <f t="shared" ca="1" si="30"/>
        <v>Furniture</v>
      </c>
      <c r="E466" t="s">
        <v>54</v>
      </c>
      <c r="F466" s="11">
        <v>8755</v>
      </c>
      <c r="G466">
        <f t="shared" ca="1" si="31"/>
        <v>10</v>
      </c>
      <c r="H466" s="11">
        <f ca="1">IF(Table1[[#This Row],[Category]]="Electronics",Table1[[#This Row],[Sales]]*0.6,
IF(Table1[[#This Row],[Category]]="Furniture",Table1[[#This Row],[Sales]]*0.75,
IF(Table1[[#This Row],[Category]]="Clothing",Table1[[#This Row],[Sales]]*0.65,
Table1[[#This Row],[Sales]]*0.7)))</f>
        <v>6566.25</v>
      </c>
      <c r="I466" s="11">
        <f ca="1">Table1[[#This Row],[Sales]]-H466</f>
        <v>2188.75</v>
      </c>
      <c r="J466" s="2">
        <f ca="1">Table1[[#This Row],[Profit]]/Table1[[#This Row],[Sales]]</f>
        <v>0.25</v>
      </c>
      <c r="K466" t="str">
        <f ca="1">TEXT(Table1[[#This Row],[Order_Date]],"mmm")</f>
        <v>Sep</v>
      </c>
      <c r="L466">
        <f ca="1">YEAR(Table1[[#This Row],[Order_Date]])</f>
        <v>2023</v>
      </c>
    </row>
    <row r="467" spans="1:12" x14ac:dyDescent="0.3">
      <c r="A467">
        <f t="shared" si="28"/>
        <v>466</v>
      </c>
      <c r="B467" s="1">
        <f t="shared" ca="1" si="29"/>
        <v>45007</v>
      </c>
      <c r="C467" t="s">
        <v>8</v>
      </c>
      <c r="D467" t="str">
        <f t="shared" ca="1" si="30"/>
        <v>Office Supplies</v>
      </c>
      <c r="E467" t="s">
        <v>70</v>
      </c>
      <c r="F467" s="11">
        <v>946</v>
      </c>
      <c r="G467">
        <f t="shared" ca="1" si="31"/>
        <v>3</v>
      </c>
      <c r="H467" s="11">
        <f ca="1">IF(Table1[[#This Row],[Category]]="Electronics",Table1[[#This Row],[Sales]]*0.6,
IF(Table1[[#This Row],[Category]]="Furniture",Table1[[#This Row],[Sales]]*0.75,
IF(Table1[[#This Row],[Category]]="Clothing",Table1[[#This Row],[Sales]]*0.65,
Table1[[#This Row],[Sales]]*0.7)))</f>
        <v>662.19999999999993</v>
      </c>
      <c r="I467" s="11">
        <f ca="1">Table1[[#This Row],[Sales]]-H467</f>
        <v>283.80000000000007</v>
      </c>
      <c r="J467" s="2">
        <f ca="1">Table1[[#This Row],[Profit]]/Table1[[#This Row],[Sales]]</f>
        <v>0.30000000000000004</v>
      </c>
      <c r="K467" t="str">
        <f ca="1">TEXT(Table1[[#This Row],[Order_Date]],"mmm")</f>
        <v>Mar</v>
      </c>
      <c r="L467">
        <f ca="1">YEAR(Table1[[#This Row],[Order_Date]])</f>
        <v>2023</v>
      </c>
    </row>
    <row r="468" spans="1:12" x14ac:dyDescent="0.3">
      <c r="A468">
        <f t="shared" si="28"/>
        <v>467</v>
      </c>
      <c r="B468" s="1">
        <f t="shared" ca="1" si="29"/>
        <v>45079</v>
      </c>
      <c r="C468" t="s">
        <v>9</v>
      </c>
      <c r="D468" t="str">
        <f t="shared" ca="1" si="30"/>
        <v>Clothing</v>
      </c>
      <c r="E468" t="s">
        <v>69</v>
      </c>
      <c r="F468" s="11">
        <v>18801</v>
      </c>
      <c r="G468">
        <f t="shared" ca="1" si="31"/>
        <v>8</v>
      </c>
      <c r="H468" s="11">
        <f ca="1">IF(Table1[[#This Row],[Category]]="Electronics",Table1[[#This Row],[Sales]]*0.6,
IF(Table1[[#This Row],[Category]]="Furniture",Table1[[#This Row],[Sales]]*0.75,
IF(Table1[[#This Row],[Category]]="Clothing",Table1[[#This Row],[Sales]]*0.65,
Table1[[#This Row],[Sales]]*0.7)))</f>
        <v>12220.65</v>
      </c>
      <c r="I468" s="11">
        <f ca="1">Table1[[#This Row],[Sales]]-H468</f>
        <v>6580.35</v>
      </c>
      <c r="J468" s="2">
        <f ca="1">Table1[[#This Row],[Profit]]/Table1[[#This Row],[Sales]]</f>
        <v>0.35000000000000003</v>
      </c>
      <c r="K468" t="str">
        <f ca="1">TEXT(Table1[[#This Row],[Order_Date]],"mmm")</f>
        <v>Jun</v>
      </c>
      <c r="L468">
        <f ca="1">YEAR(Table1[[#This Row],[Order_Date]])</f>
        <v>2023</v>
      </c>
    </row>
    <row r="469" spans="1:12" x14ac:dyDescent="0.3">
      <c r="A469">
        <f t="shared" si="28"/>
        <v>468</v>
      </c>
      <c r="B469" s="1">
        <f t="shared" ca="1" si="29"/>
        <v>45025</v>
      </c>
      <c r="C469" t="s">
        <v>10</v>
      </c>
      <c r="D469" t="str">
        <f t="shared" ca="1" si="30"/>
        <v>Furniture</v>
      </c>
      <c r="E469" t="s">
        <v>49</v>
      </c>
      <c r="F469" s="11">
        <v>18749</v>
      </c>
      <c r="G469">
        <f t="shared" ca="1" si="31"/>
        <v>9</v>
      </c>
      <c r="H469" s="11">
        <f ca="1">IF(Table1[[#This Row],[Category]]="Electronics",Table1[[#This Row],[Sales]]*0.6,
IF(Table1[[#This Row],[Category]]="Furniture",Table1[[#This Row],[Sales]]*0.75,
IF(Table1[[#This Row],[Category]]="Clothing",Table1[[#This Row],[Sales]]*0.65,
Table1[[#This Row],[Sales]]*0.7)))</f>
        <v>14061.75</v>
      </c>
      <c r="I469" s="11">
        <f ca="1">Table1[[#This Row],[Sales]]-H469</f>
        <v>4687.25</v>
      </c>
      <c r="J469" s="2">
        <f ca="1">Table1[[#This Row],[Profit]]/Table1[[#This Row],[Sales]]</f>
        <v>0.25</v>
      </c>
      <c r="K469" t="str">
        <f ca="1">TEXT(Table1[[#This Row],[Order_Date]],"mmm")</f>
        <v>Apr</v>
      </c>
      <c r="L469">
        <f ca="1">YEAR(Table1[[#This Row],[Order_Date]])</f>
        <v>2023</v>
      </c>
    </row>
    <row r="470" spans="1:12" x14ac:dyDescent="0.3">
      <c r="A470">
        <f t="shared" si="28"/>
        <v>469</v>
      </c>
      <c r="B470" s="1">
        <f t="shared" ca="1" si="29"/>
        <v>45103</v>
      </c>
      <c r="C470" t="s">
        <v>7</v>
      </c>
      <c r="D470" t="str">
        <f t="shared" ca="1" si="30"/>
        <v>Office Supplies</v>
      </c>
      <c r="E470" t="s">
        <v>84</v>
      </c>
      <c r="F470" s="11">
        <v>17003</v>
      </c>
      <c r="G470">
        <f t="shared" ca="1" si="31"/>
        <v>3</v>
      </c>
      <c r="H470" s="11">
        <f ca="1">IF(Table1[[#This Row],[Category]]="Electronics",Table1[[#This Row],[Sales]]*0.6,
IF(Table1[[#This Row],[Category]]="Furniture",Table1[[#This Row],[Sales]]*0.75,
IF(Table1[[#This Row],[Category]]="Clothing",Table1[[#This Row],[Sales]]*0.65,
Table1[[#This Row],[Sales]]*0.7)))</f>
        <v>11902.099999999999</v>
      </c>
      <c r="I470" s="11">
        <f ca="1">Table1[[#This Row],[Sales]]-H470</f>
        <v>5100.9000000000015</v>
      </c>
      <c r="J470" s="2">
        <f ca="1">Table1[[#This Row],[Profit]]/Table1[[#This Row],[Sales]]</f>
        <v>0.3000000000000001</v>
      </c>
      <c r="K470" t="str">
        <f ca="1">TEXT(Table1[[#This Row],[Order_Date]],"mmm")</f>
        <v>Jun</v>
      </c>
      <c r="L470">
        <f ca="1">YEAR(Table1[[#This Row],[Order_Date]])</f>
        <v>2023</v>
      </c>
    </row>
    <row r="471" spans="1:12" x14ac:dyDescent="0.3">
      <c r="A471">
        <f t="shared" si="28"/>
        <v>470</v>
      </c>
      <c r="B471" s="1">
        <f t="shared" ca="1" si="29"/>
        <v>44991</v>
      </c>
      <c r="C471" t="s">
        <v>8</v>
      </c>
      <c r="D471" t="str">
        <f t="shared" ca="1" si="30"/>
        <v>Clothing</v>
      </c>
      <c r="E471" t="s">
        <v>78</v>
      </c>
      <c r="F471" s="11">
        <v>19987</v>
      </c>
      <c r="G471">
        <f t="shared" ca="1" si="31"/>
        <v>3</v>
      </c>
      <c r="H471" s="11">
        <f ca="1">IF(Table1[[#This Row],[Category]]="Electronics",Table1[[#This Row],[Sales]]*0.6,
IF(Table1[[#This Row],[Category]]="Furniture",Table1[[#This Row],[Sales]]*0.75,
IF(Table1[[#This Row],[Category]]="Clothing",Table1[[#This Row],[Sales]]*0.65,
Table1[[#This Row],[Sales]]*0.7)))</f>
        <v>12991.550000000001</v>
      </c>
      <c r="I471" s="11">
        <f ca="1">Table1[[#This Row],[Sales]]-H471</f>
        <v>6995.4499999999989</v>
      </c>
      <c r="J471" s="2">
        <f ca="1">Table1[[#This Row],[Profit]]/Table1[[#This Row],[Sales]]</f>
        <v>0.34999999999999992</v>
      </c>
      <c r="K471" t="str">
        <f ca="1">TEXT(Table1[[#This Row],[Order_Date]],"mmm")</f>
        <v>Mar</v>
      </c>
      <c r="L471">
        <f ca="1">YEAR(Table1[[#This Row],[Order_Date]])</f>
        <v>2023</v>
      </c>
    </row>
    <row r="472" spans="1:12" x14ac:dyDescent="0.3">
      <c r="A472">
        <f t="shared" si="28"/>
        <v>471</v>
      </c>
      <c r="B472" s="1">
        <f t="shared" ca="1" si="29"/>
        <v>44987</v>
      </c>
      <c r="C472" t="s">
        <v>9</v>
      </c>
      <c r="D472" t="str">
        <f t="shared" ca="1" si="30"/>
        <v>Electronics</v>
      </c>
      <c r="E472" t="s">
        <v>44</v>
      </c>
      <c r="F472" s="11">
        <v>10091</v>
      </c>
      <c r="G472">
        <f t="shared" ca="1" si="31"/>
        <v>5</v>
      </c>
      <c r="H472" s="11">
        <f ca="1">IF(Table1[[#This Row],[Category]]="Electronics",Table1[[#This Row],[Sales]]*0.6,
IF(Table1[[#This Row],[Category]]="Furniture",Table1[[#This Row],[Sales]]*0.75,
IF(Table1[[#This Row],[Category]]="Clothing",Table1[[#This Row],[Sales]]*0.65,
Table1[[#This Row],[Sales]]*0.7)))</f>
        <v>6054.5999999999995</v>
      </c>
      <c r="I472" s="11">
        <f ca="1">Table1[[#This Row],[Sales]]-H472</f>
        <v>4036.4000000000005</v>
      </c>
      <c r="J472" s="2">
        <f ca="1">Table1[[#This Row],[Profit]]/Table1[[#This Row],[Sales]]</f>
        <v>0.40000000000000008</v>
      </c>
      <c r="K472" t="str">
        <f ca="1">TEXT(Table1[[#This Row],[Order_Date]],"mmm")</f>
        <v>Mar</v>
      </c>
      <c r="L472">
        <f ca="1">YEAR(Table1[[#This Row],[Order_Date]])</f>
        <v>2023</v>
      </c>
    </row>
    <row r="473" spans="1:12" x14ac:dyDescent="0.3">
      <c r="A473">
        <f t="shared" si="28"/>
        <v>472</v>
      </c>
      <c r="B473" s="1">
        <f t="shared" ca="1" si="29"/>
        <v>45217</v>
      </c>
      <c r="C473" t="s">
        <v>10</v>
      </c>
      <c r="D473" t="str">
        <f t="shared" ca="1" si="30"/>
        <v>Clothing</v>
      </c>
      <c r="E473" t="s">
        <v>79</v>
      </c>
      <c r="F473" s="11">
        <v>8809</v>
      </c>
      <c r="G473">
        <f t="shared" ca="1" si="31"/>
        <v>2</v>
      </c>
      <c r="H473" s="11">
        <f ca="1">IF(Table1[[#This Row],[Category]]="Electronics",Table1[[#This Row],[Sales]]*0.6,
IF(Table1[[#This Row],[Category]]="Furniture",Table1[[#This Row],[Sales]]*0.75,
IF(Table1[[#This Row],[Category]]="Clothing",Table1[[#This Row],[Sales]]*0.65,
Table1[[#This Row],[Sales]]*0.7)))</f>
        <v>5725.85</v>
      </c>
      <c r="I473" s="11">
        <f ca="1">Table1[[#This Row],[Sales]]-H473</f>
        <v>3083.1499999999996</v>
      </c>
      <c r="J473" s="2">
        <f ca="1">Table1[[#This Row],[Profit]]/Table1[[#This Row],[Sales]]</f>
        <v>0.35</v>
      </c>
      <c r="K473" t="str">
        <f ca="1">TEXT(Table1[[#This Row],[Order_Date]],"mmm")</f>
        <v>Oct</v>
      </c>
      <c r="L473">
        <f ca="1">YEAR(Table1[[#This Row],[Order_Date]])</f>
        <v>2023</v>
      </c>
    </row>
    <row r="474" spans="1:12" x14ac:dyDescent="0.3">
      <c r="A474">
        <f t="shared" si="28"/>
        <v>473</v>
      </c>
      <c r="B474" s="1">
        <f t="shared" ca="1" si="29"/>
        <v>45043</v>
      </c>
      <c r="C474" t="s">
        <v>7</v>
      </c>
      <c r="D474" t="str">
        <f t="shared" ca="1" si="30"/>
        <v>Clothing</v>
      </c>
      <c r="E474" t="s">
        <v>75</v>
      </c>
      <c r="F474" s="11">
        <v>8079</v>
      </c>
      <c r="G474">
        <f t="shared" ca="1" si="31"/>
        <v>6</v>
      </c>
      <c r="H474" s="11">
        <f ca="1">IF(Table1[[#This Row],[Category]]="Electronics",Table1[[#This Row],[Sales]]*0.6,
IF(Table1[[#This Row],[Category]]="Furniture",Table1[[#This Row],[Sales]]*0.75,
IF(Table1[[#This Row],[Category]]="Clothing",Table1[[#This Row],[Sales]]*0.65,
Table1[[#This Row],[Sales]]*0.7)))</f>
        <v>5251.35</v>
      </c>
      <c r="I474" s="11">
        <f ca="1">Table1[[#This Row],[Sales]]-H474</f>
        <v>2827.6499999999996</v>
      </c>
      <c r="J474" s="2">
        <f ca="1">Table1[[#This Row],[Profit]]/Table1[[#This Row],[Sales]]</f>
        <v>0.35</v>
      </c>
      <c r="K474" t="str">
        <f ca="1">TEXT(Table1[[#This Row],[Order_Date]],"mmm")</f>
        <v>Apr</v>
      </c>
      <c r="L474">
        <f ca="1">YEAR(Table1[[#This Row],[Order_Date]])</f>
        <v>2023</v>
      </c>
    </row>
    <row r="475" spans="1:12" x14ac:dyDescent="0.3">
      <c r="A475">
        <f t="shared" si="28"/>
        <v>474</v>
      </c>
      <c r="B475" s="1">
        <f t="shared" ca="1" si="29"/>
        <v>45227</v>
      </c>
      <c r="C475" t="s">
        <v>8</v>
      </c>
      <c r="D475" t="str">
        <f t="shared" ca="1" si="30"/>
        <v>Clothing</v>
      </c>
      <c r="E475" t="s">
        <v>65</v>
      </c>
      <c r="F475" s="11">
        <v>9671</v>
      </c>
      <c r="G475">
        <f t="shared" ca="1" si="31"/>
        <v>4</v>
      </c>
      <c r="H475" s="11">
        <f ca="1">IF(Table1[[#This Row],[Category]]="Electronics",Table1[[#This Row],[Sales]]*0.6,
IF(Table1[[#This Row],[Category]]="Furniture",Table1[[#This Row],[Sales]]*0.75,
IF(Table1[[#This Row],[Category]]="Clothing",Table1[[#This Row],[Sales]]*0.65,
Table1[[#This Row],[Sales]]*0.7)))</f>
        <v>6286.1500000000005</v>
      </c>
      <c r="I475" s="11">
        <f ca="1">Table1[[#This Row],[Sales]]-H475</f>
        <v>3384.8499999999995</v>
      </c>
      <c r="J475" s="2">
        <f ca="1">Table1[[#This Row],[Profit]]/Table1[[#This Row],[Sales]]</f>
        <v>0.34999999999999992</v>
      </c>
      <c r="K475" t="str">
        <f ca="1">TEXT(Table1[[#This Row],[Order_Date]],"mmm")</f>
        <v>Oct</v>
      </c>
      <c r="L475">
        <f ca="1">YEAR(Table1[[#This Row],[Order_Date]])</f>
        <v>2023</v>
      </c>
    </row>
    <row r="476" spans="1:12" x14ac:dyDescent="0.3">
      <c r="A476">
        <f t="shared" si="28"/>
        <v>475</v>
      </c>
      <c r="B476" s="1">
        <f t="shared" ca="1" si="29"/>
        <v>45013</v>
      </c>
      <c r="C476" t="s">
        <v>9</v>
      </c>
      <c r="D476" t="str">
        <f t="shared" ca="1" si="30"/>
        <v>Office Supplies</v>
      </c>
      <c r="E476" t="s">
        <v>62</v>
      </c>
      <c r="F476" s="11">
        <v>11812</v>
      </c>
      <c r="G476">
        <f t="shared" ca="1" si="31"/>
        <v>9</v>
      </c>
      <c r="H476" s="11">
        <f ca="1">IF(Table1[[#This Row],[Category]]="Electronics",Table1[[#This Row],[Sales]]*0.6,
IF(Table1[[#This Row],[Category]]="Furniture",Table1[[#This Row],[Sales]]*0.75,
IF(Table1[[#This Row],[Category]]="Clothing",Table1[[#This Row],[Sales]]*0.65,
Table1[[#This Row],[Sales]]*0.7)))</f>
        <v>8268.4</v>
      </c>
      <c r="I476" s="11">
        <f ca="1">Table1[[#This Row],[Sales]]-H476</f>
        <v>3543.6000000000004</v>
      </c>
      <c r="J476" s="2">
        <f ca="1">Table1[[#This Row],[Profit]]/Table1[[#This Row],[Sales]]</f>
        <v>0.30000000000000004</v>
      </c>
      <c r="K476" t="str">
        <f ca="1">TEXT(Table1[[#This Row],[Order_Date]],"mmm")</f>
        <v>Mar</v>
      </c>
      <c r="L476">
        <f ca="1">YEAR(Table1[[#This Row],[Order_Date]])</f>
        <v>2023</v>
      </c>
    </row>
    <row r="477" spans="1:12" x14ac:dyDescent="0.3">
      <c r="A477">
        <f t="shared" si="28"/>
        <v>476</v>
      </c>
      <c r="B477" s="1">
        <f t="shared" ca="1" si="29"/>
        <v>45192</v>
      </c>
      <c r="C477" t="s">
        <v>10</v>
      </c>
      <c r="D477" t="str">
        <f t="shared" ca="1" si="30"/>
        <v>Electronics</v>
      </c>
      <c r="E477" t="s">
        <v>58</v>
      </c>
      <c r="F477" s="11">
        <v>12230</v>
      </c>
      <c r="G477">
        <f t="shared" ca="1" si="31"/>
        <v>8</v>
      </c>
      <c r="H477" s="11">
        <f ca="1">IF(Table1[[#This Row],[Category]]="Electronics",Table1[[#This Row],[Sales]]*0.6,
IF(Table1[[#This Row],[Category]]="Furniture",Table1[[#This Row],[Sales]]*0.75,
IF(Table1[[#This Row],[Category]]="Clothing",Table1[[#This Row],[Sales]]*0.65,
Table1[[#This Row],[Sales]]*0.7)))</f>
        <v>7338</v>
      </c>
      <c r="I477" s="11">
        <f ca="1">Table1[[#This Row],[Sales]]-H477</f>
        <v>4892</v>
      </c>
      <c r="J477" s="2">
        <f ca="1">Table1[[#This Row],[Profit]]/Table1[[#This Row],[Sales]]</f>
        <v>0.4</v>
      </c>
      <c r="K477" t="str">
        <f ca="1">TEXT(Table1[[#This Row],[Order_Date]],"mmm")</f>
        <v>Sep</v>
      </c>
      <c r="L477">
        <f ca="1">YEAR(Table1[[#This Row],[Order_Date]])</f>
        <v>2023</v>
      </c>
    </row>
    <row r="478" spans="1:12" x14ac:dyDescent="0.3">
      <c r="A478">
        <f t="shared" si="28"/>
        <v>477</v>
      </c>
      <c r="B478" s="1">
        <f t="shared" ca="1" si="29"/>
        <v>45095</v>
      </c>
      <c r="C478" t="s">
        <v>7</v>
      </c>
      <c r="D478" t="str">
        <f t="shared" ca="1" si="30"/>
        <v>Electronics</v>
      </c>
      <c r="E478" t="s">
        <v>79</v>
      </c>
      <c r="F478" s="11">
        <v>13783</v>
      </c>
      <c r="G478">
        <f t="shared" ca="1" si="31"/>
        <v>5</v>
      </c>
      <c r="H478" s="11">
        <f ca="1">IF(Table1[[#This Row],[Category]]="Electronics",Table1[[#This Row],[Sales]]*0.6,
IF(Table1[[#This Row],[Category]]="Furniture",Table1[[#This Row],[Sales]]*0.75,
IF(Table1[[#This Row],[Category]]="Clothing",Table1[[#This Row],[Sales]]*0.65,
Table1[[#This Row],[Sales]]*0.7)))</f>
        <v>8269.7999999999993</v>
      </c>
      <c r="I478" s="11">
        <f ca="1">Table1[[#This Row],[Sales]]-H478</f>
        <v>5513.2000000000007</v>
      </c>
      <c r="J478" s="2">
        <f ca="1">Table1[[#This Row],[Profit]]/Table1[[#This Row],[Sales]]</f>
        <v>0.40000000000000008</v>
      </c>
      <c r="K478" t="str">
        <f ca="1">TEXT(Table1[[#This Row],[Order_Date]],"mmm")</f>
        <v>Jun</v>
      </c>
      <c r="L478">
        <f ca="1">YEAR(Table1[[#This Row],[Order_Date]])</f>
        <v>2023</v>
      </c>
    </row>
    <row r="479" spans="1:12" x14ac:dyDescent="0.3">
      <c r="A479">
        <f t="shared" si="28"/>
        <v>478</v>
      </c>
      <c r="B479" s="1">
        <f t="shared" ca="1" si="29"/>
        <v>45125</v>
      </c>
      <c r="C479" t="s">
        <v>8</v>
      </c>
      <c r="D479" t="str">
        <f t="shared" ca="1" si="30"/>
        <v>Furniture</v>
      </c>
      <c r="E479" t="s">
        <v>58</v>
      </c>
      <c r="F479" s="11">
        <v>6112</v>
      </c>
      <c r="G479">
        <f t="shared" ca="1" si="31"/>
        <v>5</v>
      </c>
      <c r="H479" s="11">
        <f ca="1">IF(Table1[[#This Row],[Category]]="Electronics",Table1[[#This Row],[Sales]]*0.6,
IF(Table1[[#This Row],[Category]]="Furniture",Table1[[#This Row],[Sales]]*0.75,
IF(Table1[[#This Row],[Category]]="Clothing",Table1[[#This Row],[Sales]]*0.65,
Table1[[#This Row],[Sales]]*0.7)))</f>
        <v>4584</v>
      </c>
      <c r="I479" s="11">
        <f ca="1">Table1[[#This Row],[Sales]]-H479</f>
        <v>1528</v>
      </c>
      <c r="J479" s="2">
        <f ca="1">Table1[[#This Row],[Profit]]/Table1[[#This Row],[Sales]]</f>
        <v>0.25</v>
      </c>
      <c r="K479" t="str">
        <f ca="1">TEXT(Table1[[#This Row],[Order_Date]],"mmm")</f>
        <v>Jul</v>
      </c>
      <c r="L479">
        <f ca="1">YEAR(Table1[[#This Row],[Order_Date]])</f>
        <v>2023</v>
      </c>
    </row>
    <row r="480" spans="1:12" x14ac:dyDescent="0.3">
      <c r="A480">
        <f t="shared" si="28"/>
        <v>479</v>
      </c>
      <c r="B480" s="1">
        <f t="shared" ca="1" si="29"/>
        <v>44960</v>
      </c>
      <c r="C480" t="s">
        <v>9</v>
      </c>
      <c r="D480" t="str">
        <f t="shared" ca="1" si="30"/>
        <v>Furniture</v>
      </c>
      <c r="E480" t="s">
        <v>40</v>
      </c>
      <c r="F480" s="11">
        <v>3126</v>
      </c>
      <c r="G480">
        <f t="shared" ca="1" si="31"/>
        <v>1</v>
      </c>
      <c r="H480" s="11">
        <f ca="1">IF(Table1[[#This Row],[Category]]="Electronics",Table1[[#This Row],[Sales]]*0.6,
IF(Table1[[#This Row],[Category]]="Furniture",Table1[[#This Row],[Sales]]*0.75,
IF(Table1[[#This Row],[Category]]="Clothing",Table1[[#This Row],[Sales]]*0.65,
Table1[[#This Row],[Sales]]*0.7)))</f>
        <v>2344.5</v>
      </c>
      <c r="I480" s="11">
        <f ca="1">Table1[[#This Row],[Sales]]-H480</f>
        <v>781.5</v>
      </c>
      <c r="J480" s="2">
        <f ca="1">Table1[[#This Row],[Profit]]/Table1[[#This Row],[Sales]]</f>
        <v>0.25</v>
      </c>
      <c r="K480" t="str">
        <f ca="1">TEXT(Table1[[#This Row],[Order_Date]],"mmm")</f>
        <v>Feb</v>
      </c>
      <c r="L480">
        <f ca="1">YEAR(Table1[[#This Row],[Order_Date]])</f>
        <v>2023</v>
      </c>
    </row>
    <row r="481" spans="1:12" x14ac:dyDescent="0.3">
      <c r="A481">
        <f t="shared" si="28"/>
        <v>480</v>
      </c>
      <c r="B481" s="1">
        <f t="shared" ca="1" si="29"/>
        <v>44944</v>
      </c>
      <c r="C481" t="s">
        <v>10</v>
      </c>
      <c r="D481" t="str">
        <f t="shared" ca="1" si="30"/>
        <v>Electronics</v>
      </c>
      <c r="E481" t="s">
        <v>71</v>
      </c>
      <c r="F481" s="11">
        <v>18850</v>
      </c>
      <c r="G481">
        <f t="shared" ca="1" si="31"/>
        <v>10</v>
      </c>
      <c r="H481" s="11">
        <f ca="1">IF(Table1[[#This Row],[Category]]="Electronics",Table1[[#This Row],[Sales]]*0.6,
IF(Table1[[#This Row],[Category]]="Furniture",Table1[[#This Row],[Sales]]*0.75,
IF(Table1[[#This Row],[Category]]="Clothing",Table1[[#This Row],[Sales]]*0.65,
Table1[[#This Row],[Sales]]*0.7)))</f>
        <v>11310</v>
      </c>
      <c r="I481" s="11">
        <f ca="1">Table1[[#This Row],[Sales]]-H481</f>
        <v>7540</v>
      </c>
      <c r="J481" s="2">
        <f ca="1">Table1[[#This Row],[Profit]]/Table1[[#This Row],[Sales]]</f>
        <v>0.4</v>
      </c>
      <c r="K481" t="str">
        <f ca="1">TEXT(Table1[[#This Row],[Order_Date]],"mmm")</f>
        <v>Jan</v>
      </c>
      <c r="L481">
        <f ca="1">YEAR(Table1[[#This Row],[Order_Date]])</f>
        <v>2023</v>
      </c>
    </row>
    <row r="482" spans="1:12" x14ac:dyDescent="0.3">
      <c r="A482">
        <f t="shared" si="28"/>
        <v>481</v>
      </c>
      <c r="B482" s="1">
        <f t="shared" ca="1" si="29"/>
        <v>45034</v>
      </c>
      <c r="C482" t="s">
        <v>7</v>
      </c>
      <c r="D482" t="str">
        <f t="shared" ca="1" si="30"/>
        <v>Office Supplies</v>
      </c>
      <c r="E482" t="s">
        <v>75</v>
      </c>
      <c r="F482" s="11">
        <v>10835</v>
      </c>
      <c r="G482">
        <f t="shared" ca="1" si="31"/>
        <v>4</v>
      </c>
      <c r="H482" s="11">
        <f ca="1">IF(Table1[[#This Row],[Category]]="Electronics",Table1[[#This Row],[Sales]]*0.6,
IF(Table1[[#This Row],[Category]]="Furniture",Table1[[#This Row],[Sales]]*0.75,
IF(Table1[[#This Row],[Category]]="Clothing",Table1[[#This Row],[Sales]]*0.65,
Table1[[#This Row],[Sales]]*0.7)))</f>
        <v>7584.4999999999991</v>
      </c>
      <c r="I482" s="11">
        <f ca="1">Table1[[#This Row],[Sales]]-H482</f>
        <v>3250.5000000000009</v>
      </c>
      <c r="J482" s="2">
        <f ca="1">Table1[[#This Row],[Profit]]/Table1[[#This Row],[Sales]]</f>
        <v>0.3000000000000001</v>
      </c>
      <c r="K482" t="str">
        <f ca="1">TEXT(Table1[[#This Row],[Order_Date]],"mmm")</f>
        <v>Apr</v>
      </c>
      <c r="L482">
        <f ca="1">YEAR(Table1[[#This Row],[Order_Date]])</f>
        <v>2023</v>
      </c>
    </row>
    <row r="483" spans="1:12" x14ac:dyDescent="0.3">
      <c r="A483">
        <f t="shared" si="28"/>
        <v>482</v>
      </c>
      <c r="B483" s="1">
        <f t="shared" ca="1" si="29"/>
        <v>45218</v>
      </c>
      <c r="C483" t="s">
        <v>8</v>
      </c>
      <c r="D483" t="str">
        <f t="shared" ca="1" si="30"/>
        <v>Electronics</v>
      </c>
      <c r="E483" t="s">
        <v>50</v>
      </c>
      <c r="F483" s="11">
        <v>18728</v>
      </c>
      <c r="G483">
        <f t="shared" ca="1" si="31"/>
        <v>4</v>
      </c>
      <c r="H483" s="11">
        <f ca="1">IF(Table1[[#This Row],[Category]]="Electronics",Table1[[#This Row],[Sales]]*0.6,
IF(Table1[[#This Row],[Category]]="Furniture",Table1[[#This Row],[Sales]]*0.75,
IF(Table1[[#This Row],[Category]]="Clothing",Table1[[#This Row],[Sales]]*0.65,
Table1[[#This Row],[Sales]]*0.7)))</f>
        <v>11236.8</v>
      </c>
      <c r="I483" s="11">
        <f ca="1">Table1[[#This Row],[Sales]]-H483</f>
        <v>7491.2000000000007</v>
      </c>
      <c r="J483" s="2">
        <f ca="1">Table1[[#This Row],[Profit]]/Table1[[#This Row],[Sales]]</f>
        <v>0.4</v>
      </c>
      <c r="K483" t="str">
        <f ca="1">TEXT(Table1[[#This Row],[Order_Date]],"mmm")</f>
        <v>Oct</v>
      </c>
      <c r="L483">
        <f ca="1">YEAR(Table1[[#This Row],[Order_Date]])</f>
        <v>2023</v>
      </c>
    </row>
    <row r="484" spans="1:12" x14ac:dyDescent="0.3">
      <c r="A484">
        <f t="shared" si="28"/>
        <v>483</v>
      </c>
      <c r="B484" s="1">
        <f t="shared" ca="1" si="29"/>
        <v>45031</v>
      </c>
      <c r="C484" t="s">
        <v>9</v>
      </c>
      <c r="D484" t="str">
        <f t="shared" ca="1" si="30"/>
        <v>Office Supplies</v>
      </c>
      <c r="E484" t="s">
        <v>43</v>
      </c>
      <c r="F484" s="11">
        <v>13637</v>
      </c>
      <c r="G484">
        <f t="shared" ca="1" si="31"/>
        <v>3</v>
      </c>
      <c r="H484" s="11">
        <f ca="1">IF(Table1[[#This Row],[Category]]="Electronics",Table1[[#This Row],[Sales]]*0.6,
IF(Table1[[#This Row],[Category]]="Furniture",Table1[[#This Row],[Sales]]*0.75,
IF(Table1[[#This Row],[Category]]="Clothing",Table1[[#This Row],[Sales]]*0.65,
Table1[[#This Row],[Sales]]*0.7)))</f>
        <v>9545.9</v>
      </c>
      <c r="I484" s="11">
        <f ca="1">Table1[[#This Row],[Sales]]-H484</f>
        <v>4091.1000000000004</v>
      </c>
      <c r="J484" s="2">
        <f ca="1">Table1[[#This Row],[Profit]]/Table1[[#This Row],[Sales]]</f>
        <v>0.30000000000000004</v>
      </c>
      <c r="K484" t="str">
        <f ca="1">TEXT(Table1[[#This Row],[Order_Date]],"mmm")</f>
        <v>Apr</v>
      </c>
      <c r="L484">
        <f ca="1">YEAR(Table1[[#This Row],[Order_Date]])</f>
        <v>2023</v>
      </c>
    </row>
    <row r="485" spans="1:12" x14ac:dyDescent="0.3">
      <c r="A485">
        <f t="shared" si="28"/>
        <v>484</v>
      </c>
      <c r="B485" s="1">
        <f t="shared" ca="1" si="29"/>
        <v>45246</v>
      </c>
      <c r="C485" t="s">
        <v>10</v>
      </c>
      <c r="D485" t="str">
        <f t="shared" ca="1" si="30"/>
        <v>Office Supplies</v>
      </c>
      <c r="E485" t="s">
        <v>48</v>
      </c>
      <c r="F485" s="11">
        <v>6066</v>
      </c>
      <c r="G485">
        <f t="shared" ca="1" si="31"/>
        <v>2</v>
      </c>
      <c r="H485" s="11">
        <f ca="1">IF(Table1[[#This Row],[Category]]="Electronics",Table1[[#This Row],[Sales]]*0.6,
IF(Table1[[#This Row],[Category]]="Furniture",Table1[[#This Row],[Sales]]*0.75,
IF(Table1[[#This Row],[Category]]="Clothing",Table1[[#This Row],[Sales]]*0.65,
Table1[[#This Row],[Sales]]*0.7)))</f>
        <v>4246.2</v>
      </c>
      <c r="I485" s="11">
        <f ca="1">Table1[[#This Row],[Sales]]-H485</f>
        <v>1819.8000000000002</v>
      </c>
      <c r="J485" s="2">
        <f ca="1">Table1[[#This Row],[Profit]]/Table1[[#This Row],[Sales]]</f>
        <v>0.30000000000000004</v>
      </c>
      <c r="K485" t="str">
        <f ca="1">TEXT(Table1[[#This Row],[Order_Date]],"mmm")</f>
        <v>Nov</v>
      </c>
      <c r="L485">
        <f ca="1">YEAR(Table1[[#This Row],[Order_Date]])</f>
        <v>2023</v>
      </c>
    </row>
    <row r="486" spans="1:12" x14ac:dyDescent="0.3">
      <c r="A486">
        <f t="shared" si="28"/>
        <v>485</v>
      </c>
      <c r="B486" s="1">
        <f t="shared" ca="1" si="29"/>
        <v>45002</v>
      </c>
      <c r="C486" t="s">
        <v>7</v>
      </c>
      <c r="D486" t="str">
        <f t="shared" ca="1" si="30"/>
        <v>Clothing</v>
      </c>
      <c r="E486" t="s">
        <v>57</v>
      </c>
      <c r="F486" s="11">
        <v>4141</v>
      </c>
      <c r="G486">
        <f t="shared" ca="1" si="31"/>
        <v>10</v>
      </c>
      <c r="H486" s="11">
        <f ca="1">IF(Table1[[#This Row],[Category]]="Electronics",Table1[[#This Row],[Sales]]*0.6,
IF(Table1[[#This Row],[Category]]="Furniture",Table1[[#This Row],[Sales]]*0.75,
IF(Table1[[#This Row],[Category]]="Clothing",Table1[[#This Row],[Sales]]*0.65,
Table1[[#This Row],[Sales]]*0.7)))</f>
        <v>2691.65</v>
      </c>
      <c r="I486" s="11">
        <f ca="1">Table1[[#This Row],[Sales]]-H486</f>
        <v>1449.35</v>
      </c>
      <c r="J486" s="2">
        <f ca="1">Table1[[#This Row],[Profit]]/Table1[[#This Row],[Sales]]</f>
        <v>0.35</v>
      </c>
      <c r="K486" t="str">
        <f ca="1">TEXT(Table1[[#This Row],[Order_Date]],"mmm")</f>
        <v>Mar</v>
      </c>
      <c r="L486">
        <f ca="1">YEAR(Table1[[#This Row],[Order_Date]])</f>
        <v>2023</v>
      </c>
    </row>
    <row r="487" spans="1:12" x14ac:dyDescent="0.3">
      <c r="A487">
        <f t="shared" si="28"/>
        <v>486</v>
      </c>
      <c r="B487" s="1">
        <f t="shared" ca="1" si="29"/>
        <v>45108</v>
      </c>
      <c r="C487" t="s">
        <v>8</v>
      </c>
      <c r="D487" t="str">
        <f t="shared" ca="1" si="30"/>
        <v>Furniture</v>
      </c>
      <c r="E487" t="s">
        <v>74</v>
      </c>
      <c r="F487" s="11">
        <v>8514</v>
      </c>
      <c r="G487">
        <f t="shared" ca="1" si="31"/>
        <v>6</v>
      </c>
      <c r="H487" s="11">
        <f ca="1">IF(Table1[[#This Row],[Category]]="Electronics",Table1[[#This Row],[Sales]]*0.6,
IF(Table1[[#This Row],[Category]]="Furniture",Table1[[#This Row],[Sales]]*0.75,
IF(Table1[[#This Row],[Category]]="Clothing",Table1[[#This Row],[Sales]]*0.65,
Table1[[#This Row],[Sales]]*0.7)))</f>
        <v>6385.5</v>
      </c>
      <c r="I487" s="11">
        <f ca="1">Table1[[#This Row],[Sales]]-H487</f>
        <v>2128.5</v>
      </c>
      <c r="J487" s="2">
        <f ca="1">Table1[[#This Row],[Profit]]/Table1[[#This Row],[Sales]]</f>
        <v>0.25</v>
      </c>
      <c r="K487" t="str">
        <f ca="1">TEXT(Table1[[#This Row],[Order_Date]],"mmm")</f>
        <v>Jul</v>
      </c>
      <c r="L487">
        <f ca="1">YEAR(Table1[[#This Row],[Order_Date]])</f>
        <v>2023</v>
      </c>
    </row>
    <row r="488" spans="1:12" x14ac:dyDescent="0.3">
      <c r="A488">
        <f t="shared" si="28"/>
        <v>487</v>
      </c>
      <c r="B488" s="1">
        <f t="shared" ca="1" si="29"/>
        <v>45123</v>
      </c>
      <c r="C488" t="s">
        <v>9</v>
      </c>
      <c r="D488" t="str">
        <f t="shared" ca="1" si="30"/>
        <v>Office Supplies</v>
      </c>
      <c r="E488" t="s">
        <v>47</v>
      </c>
      <c r="F488" s="11">
        <v>5383</v>
      </c>
      <c r="G488">
        <f t="shared" ca="1" si="31"/>
        <v>7</v>
      </c>
      <c r="H488" s="11">
        <f ca="1">IF(Table1[[#This Row],[Category]]="Electronics",Table1[[#This Row],[Sales]]*0.6,
IF(Table1[[#This Row],[Category]]="Furniture",Table1[[#This Row],[Sales]]*0.75,
IF(Table1[[#This Row],[Category]]="Clothing",Table1[[#This Row],[Sales]]*0.65,
Table1[[#This Row],[Sales]]*0.7)))</f>
        <v>3768.1</v>
      </c>
      <c r="I488" s="11">
        <f ca="1">Table1[[#This Row],[Sales]]-H488</f>
        <v>1614.9</v>
      </c>
      <c r="J488" s="2">
        <f ca="1">Table1[[#This Row],[Profit]]/Table1[[#This Row],[Sales]]</f>
        <v>0.30000000000000004</v>
      </c>
      <c r="K488" t="str">
        <f ca="1">TEXT(Table1[[#This Row],[Order_Date]],"mmm")</f>
        <v>Jul</v>
      </c>
      <c r="L488">
        <f ca="1">YEAR(Table1[[#This Row],[Order_Date]])</f>
        <v>2023</v>
      </c>
    </row>
    <row r="489" spans="1:12" x14ac:dyDescent="0.3">
      <c r="A489">
        <f t="shared" si="28"/>
        <v>488</v>
      </c>
      <c r="B489" s="1">
        <f t="shared" ca="1" si="29"/>
        <v>45055</v>
      </c>
      <c r="C489" t="s">
        <v>10</v>
      </c>
      <c r="D489" t="str">
        <f t="shared" ca="1" si="30"/>
        <v>Office Supplies</v>
      </c>
      <c r="E489" t="s">
        <v>65</v>
      </c>
      <c r="F489" s="11">
        <v>19653</v>
      </c>
      <c r="G489">
        <f t="shared" ca="1" si="31"/>
        <v>7</v>
      </c>
      <c r="H489" s="11">
        <f ca="1">IF(Table1[[#This Row],[Category]]="Electronics",Table1[[#This Row],[Sales]]*0.6,
IF(Table1[[#This Row],[Category]]="Furniture",Table1[[#This Row],[Sales]]*0.75,
IF(Table1[[#This Row],[Category]]="Clothing",Table1[[#This Row],[Sales]]*0.65,
Table1[[#This Row],[Sales]]*0.7)))</f>
        <v>13757.099999999999</v>
      </c>
      <c r="I489" s="11">
        <f ca="1">Table1[[#This Row],[Sales]]-H489</f>
        <v>5895.9000000000015</v>
      </c>
      <c r="J489" s="2">
        <f ca="1">Table1[[#This Row],[Profit]]/Table1[[#This Row],[Sales]]</f>
        <v>0.3000000000000001</v>
      </c>
      <c r="K489" t="str">
        <f ca="1">TEXT(Table1[[#This Row],[Order_Date]],"mmm")</f>
        <v>May</v>
      </c>
      <c r="L489">
        <f ca="1">YEAR(Table1[[#This Row],[Order_Date]])</f>
        <v>2023</v>
      </c>
    </row>
    <row r="490" spans="1:12" x14ac:dyDescent="0.3">
      <c r="A490">
        <f t="shared" si="28"/>
        <v>489</v>
      </c>
      <c r="B490" s="1">
        <f t="shared" ca="1" si="29"/>
        <v>45197</v>
      </c>
      <c r="C490" t="s">
        <v>7</v>
      </c>
      <c r="D490" t="str">
        <f t="shared" ca="1" si="30"/>
        <v>Office Supplies</v>
      </c>
      <c r="E490" t="s">
        <v>82</v>
      </c>
      <c r="F490" s="11">
        <v>1076</v>
      </c>
      <c r="G490">
        <f t="shared" ca="1" si="31"/>
        <v>2</v>
      </c>
      <c r="H490" s="11">
        <f ca="1">IF(Table1[[#This Row],[Category]]="Electronics",Table1[[#This Row],[Sales]]*0.6,
IF(Table1[[#This Row],[Category]]="Furniture",Table1[[#This Row],[Sales]]*0.75,
IF(Table1[[#This Row],[Category]]="Clothing",Table1[[#This Row],[Sales]]*0.65,
Table1[[#This Row],[Sales]]*0.7)))</f>
        <v>753.19999999999993</v>
      </c>
      <c r="I490" s="11">
        <f ca="1">Table1[[#This Row],[Sales]]-H490</f>
        <v>322.80000000000007</v>
      </c>
      <c r="J490" s="2">
        <f ca="1">Table1[[#This Row],[Profit]]/Table1[[#This Row],[Sales]]</f>
        <v>0.30000000000000004</v>
      </c>
      <c r="K490" t="str">
        <f ca="1">TEXT(Table1[[#This Row],[Order_Date]],"mmm")</f>
        <v>Sep</v>
      </c>
      <c r="L490">
        <f ca="1">YEAR(Table1[[#This Row],[Order_Date]])</f>
        <v>2023</v>
      </c>
    </row>
    <row r="491" spans="1:12" x14ac:dyDescent="0.3">
      <c r="A491">
        <f t="shared" si="28"/>
        <v>490</v>
      </c>
      <c r="B491" s="1">
        <f t="shared" ca="1" si="29"/>
        <v>44996</v>
      </c>
      <c r="C491" t="s">
        <v>8</v>
      </c>
      <c r="D491" t="str">
        <f t="shared" ca="1" si="30"/>
        <v>Clothing</v>
      </c>
      <c r="E491" t="s">
        <v>55</v>
      </c>
      <c r="F491" s="11">
        <v>1188</v>
      </c>
      <c r="G491">
        <f t="shared" ca="1" si="31"/>
        <v>6</v>
      </c>
      <c r="H491" s="11">
        <f ca="1">IF(Table1[[#This Row],[Category]]="Electronics",Table1[[#This Row],[Sales]]*0.6,
IF(Table1[[#This Row],[Category]]="Furniture",Table1[[#This Row],[Sales]]*0.75,
IF(Table1[[#This Row],[Category]]="Clothing",Table1[[#This Row],[Sales]]*0.65,
Table1[[#This Row],[Sales]]*0.7)))</f>
        <v>772.2</v>
      </c>
      <c r="I491" s="11">
        <f ca="1">Table1[[#This Row],[Sales]]-H491</f>
        <v>415.79999999999995</v>
      </c>
      <c r="J491" s="2">
        <f ca="1">Table1[[#This Row],[Profit]]/Table1[[#This Row],[Sales]]</f>
        <v>0.35</v>
      </c>
      <c r="K491" t="str">
        <f ca="1">TEXT(Table1[[#This Row],[Order_Date]],"mmm")</f>
        <v>Mar</v>
      </c>
      <c r="L491">
        <f ca="1">YEAR(Table1[[#This Row],[Order_Date]])</f>
        <v>2023</v>
      </c>
    </row>
    <row r="492" spans="1:12" x14ac:dyDescent="0.3">
      <c r="A492">
        <f t="shared" si="28"/>
        <v>491</v>
      </c>
      <c r="B492" s="1">
        <f t="shared" ca="1" si="29"/>
        <v>45068</v>
      </c>
      <c r="C492" t="s">
        <v>9</v>
      </c>
      <c r="D492" t="str">
        <f t="shared" ca="1" si="30"/>
        <v>Clothing</v>
      </c>
      <c r="E492" t="s">
        <v>77</v>
      </c>
      <c r="F492" s="11">
        <v>6849</v>
      </c>
      <c r="G492">
        <f t="shared" ca="1" si="31"/>
        <v>4</v>
      </c>
      <c r="H492" s="11">
        <f ca="1">IF(Table1[[#This Row],[Category]]="Electronics",Table1[[#This Row],[Sales]]*0.6,
IF(Table1[[#This Row],[Category]]="Furniture",Table1[[#This Row],[Sales]]*0.75,
IF(Table1[[#This Row],[Category]]="Clothing",Table1[[#This Row],[Sales]]*0.65,
Table1[[#This Row],[Sales]]*0.7)))</f>
        <v>4451.8500000000004</v>
      </c>
      <c r="I492" s="11">
        <f ca="1">Table1[[#This Row],[Sales]]-H492</f>
        <v>2397.1499999999996</v>
      </c>
      <c r="J492" s="2">
        <f ca="1">Table1[[#This Row],[Profit]]/Table1[[#This Row],[Sales]]</f>
        <v>0.34999999999999992</v>
      </c>
      <c r="K492" t="str">
        <f ca="1">TEXT(Table1[[#This Row],[Order_Date]],"mmm")</f>
        <v>May</v>
      </c>
      <c r="L492">
        <f ca="1">YEAR(Table1[[#This Row],[Order_Date]])</f>
        <v>2023</v>
      </c>
    </row>
    <row r="493" spans="1:12" x14ac:dyDescent="0.3">
      <c r="A493">
        <f t="shared" si="28"/>
        <v>492</v>
      </c>
      <c r="B493" s="1">
        <f t="shared" ca="1" si="29"/>
        <v>45253</v>
      </c>
      <c r="C493" t="s">
        <v>10</v>
      </c>
      <c r="D493" t="str">
        <f t="shared" ca="1" si="30"/>
        <v>Office Supplies</v>
      </c>
      <c r="E493" t="s">
        <v>70</v>
      </c>
      <c r="F493" s="11">
        <v>11488</v>
      </c>
      <c r="G493">
        <f t="shared" ca="1" si="31"/>
        <v>2</v>
      </c>
      <c r="H493" s="11">
        <f ca="1">IF(Table1[[#This Row],[Category]]="Electronics",Table1[[#This Row],[Sales]]*0.6,
IF(Table1[[#This Row],[Category]]="Furniture",Table1[[#This Row],[Sales]]*0.75,
IF(Table1[[#This Row],[Category]]="Clothing",Table1[[#This Row],[Sales]]*0.65,
Table1[[#This Row],[Sales]]*0.7)))</f>
        <v>8041.5999999999995</v>
      </c>
      <c r="I493" s="11">
        <f ca="1">Table1[[#This Row],[Sales]]-H493</f>
        <v>3446.4000000000005</v>
      </c>
      <c r="J493" s="2">
        <f ca="1">Table1[[#This Row],[Profit]]/Table1[[#This Row],[Sales]]</f>
        <v>0.30000000000000004</v>
      </c>
      <c r="K493" t="str">
        <f ca="1">TEXT(Table1[[#This Row],[Order_Date]],"mmm")</f>
        <v>Nov</v>
      </c>
      <c r="L493">
        <f ca="1">YEAR(Table1[[#This Row],[Order_Date]])</f>
        <v>2023</v>
      </c>
    </row>
    <row r="494" spans="1:12" x14ac:dyDescent="0.3">
      <c r="A494">
        <f t="shared" si="28"/>
        <v>493</v>
      </c>
      <c r="B494" s="1">
        <f t="shared" ca="1" si="29"/>
        <v>44974</v>
      </c>
      <c r="C494" t="s">
        <v>7</v>
      </c>
      <c r="D494" t="str">
        <f t="shared" ca="1" si="30"/>
        <v>Clothing</v>
      </c>
      <c r="E494" t="s">
        <v>37</v>
      </c>
      <c r="F494" s="11">
        <v>8928</v>
      </c>
      <c r="G494">
        <f t="shared" ca="1" si="31"/>
        <v>3</v>
      </c>
      <c r="H494" s="11">
        <f ca="1">IF(Table1[[#This Row],[Category]]="Electronics",Table1[[#This Row],[Sales]]*0.6,
IF(Table1[[#This Row],[Category]]="Furniture",Table1[[#This Row],[Sales]]*0.75,
IF(Table1[[#This Row],[Category]]="Clothing",Table1[[#This Row],[Sales]]*0.65,
Table1[[#This Row],[Sales]]*0.7)))</f>
        <v>5803.2</v>
      </c>
      <c r="I494" s="11">
        <f ca="1">Table1[[#This Row],[Sales]]-H494</f>
        <v>3124.8</v>
      </c>
      <c r="J494" s="2">
        <f ca="1">Table1[[#This Row],[Profit]]/Table1[[#This Row],[Sales]]</f>
        <v>0.35000000000000003</v>
      </c>
      <c r="K494" t="str">
        <f ca="1">TEXT(Table1[[#This Row],[Order_Date]],"mmm")</f>
        <v>Feb</v>
      </c>
      <c r="L494">
        <f ca="1">YEAR(Table1[[#This Row],[Order_Date]])</f>
        <v>2023</v>
      </c>
    </row>
    <row r="495" spans="1:12" x14ac:dyDescent="0.3">
      <c r="A495">
        <f t="shared" si="28"/>
        <v>494</v>
      </c>
      <c r="B495" s="1">
        <f t="shared" ca="1" si="29"/>
        <v>45084</v>
      </c>
      <c r="C495" t="s">
        <v>8</v>
      </c>
      <c r="D495" t="str">
        <f t="shared" ca="1" si="30"/>
        <v>Clothing</v>
      </c>
      <c r="E495" t="s">
        <v>56</v>
      </c>
      <c r="F495" s="11">
        <v>10307</v>
      </c>
      <c r="G495">
        <f t="shared" ca="1" si="31"/>
        <v>4</v>
      </c>
      <c r="H495" s="11">
        <f ca="1">IF(Table1[[#This Row],[Category]]="Electronics",Table1[[#This Row],[Sales]]*0.6,
IF(Table1[[#This Row],[Category]]="Furniture",Table1[[#This Row],[Sales]]*0.75,
IF(Table1[[#This Row],[Category]]="Clothing",Table1[[#This Row],[Sales]]*0.65,
Table1[[#This Row],[Sales]]*0.7)))</f>
        <v>6699.55</v>
      </c>
      <c r="I495" s="11">
        <f ca="1">Table1[[#This Row],[Sales]]-H495</f>
        <v>3607.45</v>
      </c>
      <c r="J495" s="2">
        <f ca="1">Table1[[#This Row],[Profit]]/Table1[[#This Row],[Sales]]</f>
        <v>0.35</v>
      </c>
      <c r="K495" t="str">
        <f ca="1">TEXT(Table1[[#This Row],[Order_Date]],"mmm")</f>
        <v>Jun</v>
      </c>
      <c r="L495">
        <f ca="1">YEAR(Table1[[#This Row],[Order_Date]])</f>
        <v>2023</v>
      </c>
    </row>
    <row r="496" spans="1:12" x14ac:dyDescent="0.3">
      <c r="A496">
        <f t="shared" si="28"/>
        <v>495</v>
      </c>
      <c r="B496" s="1">
        <f t="shared" ca="1" si="29"/>
        <v>45195</v>
      </c>
      <c r="C496" t="s">
        <v>9</v>
      </c>
      <c r="D496" t="str">
        <f t="shared" ca="1" si="30"/>
        <v>Furniture</v>
      </c>
      <c r="E496" t="s">
        <v>47</v>
      </c>
      <c r="F496" s="11">
        <v>3314</v>
      </c>
      <c r="G496">
        <f t="shared" ca="1" si="31"/>
        <v>6</v>
      </c>
      <c r="H496" s="11">
        <f ca="1">IF(Table1[[#This Row],[Category]]="Electronics",Table1[[#This Row],[Sales]]*0.6,
IF(Table1[[#This Row],[Category]]="Furniture",Table1[[#This Row],[Sales]]*0.75,
IF(Table1[[#This Row],[Category]]="Clothing",Table1[[#This Row],[Sales]]*0.65,
Table1[[#This Row],[Sales]]*0.7)))</f>
        <v>2485.5</v>
      </c>
      <c r="I496" s="11">
        <f ca="1">Table1[[#This Row],[Sales]]-H496</f>
        <v>828.5</v>
      </c>
      <c r="J496" s="2">
        <f ca="1">Table1[[#This Row],[Profit]]/Table1[[#This Row],[Sales]]</f>
        <v>0.25</v>
      </c>
      <c r="K496" t="str">
        <f ca="1">TEXT(Table1[[#This Row],[Order_Date]],"mmm")</f>
        <v>Sep</v>
      </c>
      <c r="L496">
        <f ca="1">YEAR(Table1[[#This Row],[Order_Date]])</f>
        <v>2023</v>
      </c>
    </row>
    <row r="497" spans="1:12" x14ac:dyDescent="0.3">
      <c r="A497">
        <f t="shared" si="28"/>
        <v>496</v>
      </c>
      <c r="B497" s="1">
        <f t="shared" ca="1" si="29"/>
        <v>45052</v>
      </c>
      <c r="C497" t="s">
        <v>10</v>
      </c>
      <c r="D497" t="str">
        <f t="shared" ca="1" si="30"/>
        <v>Office Supplies</v>
      </c>
      <c r="E497" t="s">
        <v>61</v>
      </c>
      <c r="F497" s="11">
        <v>2599</v>
      </c>
      <c r="G497">
        <f t="shared" ca="1" si="31"/>
        <v>2</v>
      </c>
      <c r="H497" s="11">
        <f ca="1">IF(Table1[[#This Row],[Category]]="Electronics",Table1[[#This Row],[Sales]]*0.6,
IF(Table1[[#This Row],[Category]]="Furniture",Table1[[#This Row],[Sales]]*0.75,
IF(Table1[[#This Row],[Category]]="Clothing",Table1[[#This Row],[Sales]]*0.65,
Table1[[#This Row],[Sales]]*0.7)))</f>
        <v>1819.3</v>
      </c>
      <c r="I497" s="11">
        <f ca="1">Table1[[#This Row],[Sales]]-H497</f>
        <v>779.7</v>
      </c>
      <c r="J497" s="2">
        <f ca="1">Table1[[#This Row],[Profit]]/Table1[[#This Row],[Sales]]</f>
        <v>0.30000000000000004</v>
      </c>
      <c r="K497" t="str">
        <f ca="1">TEXT(Table1[[#This Row],[Order_Date]],"mmm")</f>
        <v>May</v>
      </c>
      <c r="L497">
        <f ca="1">YEAR(Table1[[#This Row],[Order_Date]])</f>
        <v>2023</v>
      </c>
    </row>
    <row r="498" spans="1:12" x14ac:dyDescent="0.3">
      <c r="A498">
        <f t="shared" si="28"/>
        <v>497</v>
      </c>
      <c r="B498" s="1">
        <f t="shared" ca="1" si="29"/>
        <v>45203</v>
      </c>
      <c r="C498" t="s">
        <v>7</v>
      </c>
      <c r="D498" t="str">
        <f t="shared" ca="1" si="30"/>
        <v>Office Supplies</v>
      </c>
      <c r="E498" t="s">
        <v>82</v>
      </c>
      <c r="F498" s="11">
        <v>14844</v>
      </c>
      <c r="G498">
        <f t="shared" ca="1" si="31"/>
        <v>6</v>
      </c>
      <c r="H498" s="11">
        <f ca="1">IF(Table1[[#This Row],[Category]]="Electronics",Table1[[#This Row],[Sales]]*0.6,
IF(Table1[[#This Row],[Category]]="Furniture",Table1[[#This Row],[Sales]]*0.75,
IF(Table1[[#This Row],[Category]]="Clothing",Table1[[#This Row],[Sales]]*0.65,
Table1[[#This Row],[Sales]]*0.7)))</f>
        <v>10390.799999999999</v>
      </c>
      <c r="I498" s="11">
        <f ca="1">Table1[[#This Row],[Sales]]-H498</f>
        <v>4453.2000000000007</v>
      </c>
      <c r="J498" s="2">
        <f ca="1">Table1[[#This Row],[Profit]]/Table1[[#This Row],[Sales]]</f>
        <v>0.30000000000000004</v>
      </c>
      <c r="K498" t="str">
        <f ca="1">TEXT(Table1[[#This Row],[Order_Date]],"mmm")</f>
        <v>Oct</v>
      </c>
      <c r="L498">
        <f ca="1">YEAR(Table1[[#This Row],[Order_Date]])</f>
        <v>2023</v>
      </c>
    </row>
    <row r="499" spans="1:12" x14ac:dyDescent="0.3">
      <c r="A499">
        <f t="shared" si="28"/>
        <v>498</v>
      </c>
      <c r="B499" s="1">
        <f t="shared" ca="1" si="29"/>
        <v>44999</v>
      </c>
      <c r="C499" t="s">
        <v>8</v>
      </c>
      <c r="D499" t="str">
        <f t="shared" ca="1" si="30"/>
        <v>Furniture</v>
      </c>
      <c r="E499" t="s">
        <v>73</v>
      </c>
      <c r="F499" s="11">
        <v>3885</v>
      </c>
      <c r="G499">
        <f t="shared" ca="1" si="31"/>
        <v>2</v>
      </c>
      <c r="H499" s="11">
        <f ca="1">IF(Table1[[#This Row],[Category]]="Electronics",Table1[[#This Row],[Sales]]*0.6,
IF(Table1[[#This Row],[Category]]="Furniture",Table1[[#This Row],[Sales]]*0.75,
IF(Table1[[#This Row],[Category]]="Clothing",Table1[[#This Row],[Sales]]*0.65,
Table1[[#This Row],[Sales]]*0.7)))</f>
        <v>2913.75</v>
      </c>
      <c r="I499" s="11">
        <f ca="1">Table1[[#This Row],[Sales]]-H499</f>
        <v>971.25</v>
      </c>
      <c r="J499" s="2">
        <f ca="1">Table1[[#This Row],[Profit]]/Table1[[#This Row],[Sales]]</f>
        <v>0.25</v>
      </c>
      <c r="K499" t="str">
        <f ca="1">TEXT(Table1[[#This Row],[Order_Date]],"mmm")</f>
        <v>Mar</v>
      </c>
      <c r="L499">
        <f ca="1">YEAR(Table1[[#This Row],[Order_Date]])</f>
        <v>2023</v>
      </c>
    </row>
    <row r="500" spans="1:12" x14ac:dyDescent="0.3">
      <c r="A500">
        <f t="shared" si="28"/>
        <v>499</v>
      </c>
      <c r="B500" s="1">
        <f t="shared" ca="1" si="29"/>
        <v>45246</v>
      </c>
      <c r="C500" t="s">
        <v>9</v>
      </c>
      <c r="D500" t="str">
        <f t="shared" ca="1" si="30"/>
        <v>Clothing</v>
      </c>
      <c r="E500" t="s">
        <v>54</v>
      </c>
      <c r="F500" s="11">
        <v>18194</v>
      </c>
      <c r="G500">
        <f t="shared" ca="1" si="31"/>
        <v>10</v>
      </c>
      <c r="H500" s="11">
        <f ca="1">IF(Table1[[#This Row],[Category]]="Electronics",Table1[[#This Row],[Sales]]*0.6,
IF(Table1[[#This Row],[Category]]="Furniture",Table1[[#This Row],[Sales]]*0.75,
IF(Table1[[#This Row],[Category]]="Clothing",Table1[[#This Row],[Sales]]*0.65,
Table1[[#This Row],[Sales]]*0.7)))</f>
        <v>11826.1</v>
      </c>
      <c r="I500" s="11">
        <f ca="1">Table1[[#This Row],[Sales]]-H500</f>
        <v>6367.9</v>
      </c>
      <c r="J500" s="2">
        <f ca="1">Table1[[#This Row],[Profit]]/Table1[[#This Row],[Sales]]</f>
        <v>0.35</v>
      </c>
      <c r="K500" t="str">
        <f ca="1">TEXT(Table1[[#This Row],[Order_Date]],"mmm")</f>
        <v>Nov</v>
      </c>
      <c r="L500">
        <f ca="1">YEAR(Table1[[#This Row],[Order_Date]])</f>
        <v>2023</v>
      </c>
    </row>
    <row r="501" spans="1:12" x14ac:dyDescent="0.3">
      <c r="A501">
        <f t="shared" si="28"/>
        <v>500</v>
      </c>
      <c r="B501" s="1">
        <f t="shared" ca="1" si="29"/>
        <v>45049</v>
      </c>
      <c r="C501" t="s">
        <v>10</v>
      </c>
      <c r="D501" t="str">
        <f t="shared" ca="1" si="30"/>
        <v>Furniture</v>
      </c>
      <c r="E501" t="s">
        <v>51</v>
      </c>
      <c r="F501" s="11">
        <v>12243</v>
      </c>
      <c r="G501">
        <f t="shared" ca="1" si="31"/>
        <v>2</v>
      </c>
      <c r="H501" s="11">
        <f ca="1">IF(Table1[[#This Row],[Category]]="Electronics",Table1[[#This Row],[Sales]]*0.6,
IF(Table1[[#This Row],[Category]]="Furniture",Table1[[#This Row],[Sales]]*0.75,
IF(Table1[[#This Row],[Category]]="Clothing",Table1[[#This Row],[Sales]]*0.65,
Table1[[#This Row],[Sales]]*0.7)))</f>
        <v>9182.25</v>
      </c>
      <c r="I501" s="11">
        <f ca="1">Table1[[#This Row],[Sales]]-H501</f>
        <v>3060.75</v>
      </c>
      <c r="J501" s="2">
        <f ca="1">Table1[[#This Row],[Profit]]/Table1[[#This Row],[Sales]]</f>
        <v>0.25</v>
      </c>
      <c r="K501" t="str">
        <f ca="1">TEXT(Table1[[#This Row],[Order_Date]],"mmm")</f>
        <v>May</v>
      </c>
      <c r="L501">
        <f ca="1">YEAR(Table1[[#This Row],[Order_Date]])</f>
        <v>2023</v>
      </c>
    </row>
    <row r="502" spans="1:12" x14ac:dyDescent="0.3">
      <c r="A502">
        <f t="shared" si="28"/>
        <v>501</v>
      </c>
      <c r="B502" s="1">
        <f t="shared" ca="1" si="29"/>
        <v>45135</v>
      </c>
      <c r="C502" t="s">
        <v>7</v>
      </c>
      <c r="D502" t="str">
        <f t="shared" ca="1" si="30"/>
        <v>Office Supplies</v>
      </c>
      <c r="E502" t="s">
        <v>67</v>
      </c>
      <c r="F502" s="11">
        <v>15692</v>
      </c>
      <c r="G502">
        <f t="shared" ca="1" si="31"/>
        <v>8</v>
      </c>
      <c r="H502" s="11">
        <f ca="1">IF(Table1[[#This Row],[Category]]="Electronics",Table1[[#This Row],[Sales]]*0.6,
IF(Table1[[#This Row],[Category]]="Furniture",Table1[[#This Row],[Sales]]*0.75,
IF(Table1[[#This Row],[Category]]="Clothing",Table1[[#This Row],[Sales]]*0.65,
Table1[[#This Row],[Sales]]*0.7)))</f>
        <v>10984.4</v>
      </c>
      <c r="I502" s="11">
        <f ca="1">Table1[[#This Row],[Sales]]-H502</f>
        <v>4707.6000000000004</v>
      </c>
      <c r="J502" s="2">
        <f ca="1">Table1[[#This Row],[Profit]]/Table1[[#This Row],[Sales]]</f>
        <v>0.30000000000000004</v>
      </c>
      <c r="K502" t="str">
        <f ca="1">TEXT(Table1[[#This Row],[Order_Date]],"mmm")</f>
        <v>Jul</v>
      </c>
      <c r="L502">
        <f ca="1">YEAR(Table1[[#This Row],[Order_Date]])</f>
        <v>2023</v>
      </c>
    </row>
    <row r="503" spans="1:12" x14ac:dyDescent="0.3">
      <c r="A503">
        <f t="shared" si="28"/>
        <v>502</v>
      </c>
      <c r="B503" s="1">
        <f t="shared" ca="1" si="29"/>
        <v>45262</v>
      </c>
      <c r="C503" t="s">
        <v>8</v>
      </c>
      <c r="D503" t="str">
        <f t="shared" ca="1" si="30"/>
        <v>Furniture</v>
      </c>
      <c r="E503" t="s">
        <v>55</v>
      </c>
      <c r="F503" s="11">
        <v>14892</v>
      </c>
      <c r="G503">
        <f t="shared" ca="1" si="31"/>
        <v>6</v>
      </c>
      <c r="H503" s="11">
        <f ca="1">IF(Table1[[#This Row],[Category]]="Electronics",Table1[[#This Row],[Sales]]*0.6,
IF(Table1[[#This Row],[Category]]="Furniture",Table1[[#This Row],[Sales]]*0.75,
IF(Table1[[#This Row],[Category]]="Clothing",Table1[[#This Row],[Sales]]*0.65,
Table1[[#This Row],[Sales]]*0.7)))</f>
        <v>11169</v>
      </c>
      <c r="I503" s="11">
        <f ca="1">Table1[[#This Row],[Sales]]-H503</f>
        <v>3723</v>
      </c>
      <c r="J503" s="2">
        <f ca="1">Table1[[#This Row],[Profit]]/Table1[[#This Row],[Sales]]</f>
        <v>0.25</v>
      </c>
      <c r="K503" t="str">
        <f ca="1">TEXT(Table1[[#This Row],[Order_Date]],"mmm")</f>
        <v>Dec</v>
      </c>
      <c r="L503">
        <f ca="1">YEAR(Table1[[#This Row],[Order_Date]])</f>
        <v>2023</v>
      </c>
    </row>
    <row r="504" spans="1:12" x14ac:dyDescent="0.3">
      <c r="A504">
        <f t="shared" si="28"/>
        <v>503</v>
      </c>
      <c r="B504" s="1">
        <f t="shared" ca="1" si="29"/>
        <v>45281</v>
      </c>
      <c r="C504" t="s">
        <v>9</v>
      </c>
      <c r="D504" t="str">
        <f t="shared" ca="1" si="30"/>
        <v>Office Supplies</v>
      </c>
      <c r="E504" t="s">
        <v>67</v>
      </c>
      <c r="F504" s="11">
        <v>4095</v>
      </c>
      <c r="G504">
        <f t="shared" ca="1" si="31"/>
        <v>2</v>
      </c>
      <c r="H504" s="11">
        <f ca="1">IF(Table1[[#This Row],[Category]]="Electronics",Table1[[#This Row],[Sales]]*0.6,
IF(Table1[[#This Row],[Category]]="Furniture",Table1[[#This Row],[Sales]]*0.75,
IF(Table1[[#This Row],[Category]]="Clothing",Table1[[#This Row],[Sales]]*0.65,
Table1[[#This Row],[Sales]]*0.7)))</f>
        <v>2866.5</v>
      </c>
      <c r="I504" s="11">
        <f ca="1">Table1[[#This Row],[Sales]]-H504</f>
        <v>1228.5</v>
      </c>
      <c r="J504" s="2">
        <f ca="1">Table1[[#This Row],[Profit]]/Table1[[#This Row],[Sales]]</f>
        <v>0.3</v>
      </c>
      <c r="K504" t="str">
        <f ca="1">TEXT(Table1[[#This Row],[Order_Date]],"mmm")</f>
        <v>Dec</v>
      </c>
      <c r="L504">
        <f ca="1">YEAR(Table1[[#This Row],[Order_Date]])</f>
        <v>2023</v>
      </c>
    </row>
    <row r="505" spans="1:12" x14ac:dyDescent="0.3">
      <c r="A505">
        <f t="shared" si="28"/>
        <v>504</v>
      </c>
      <c r="B505" s="1">
        <f t="shared" ca="1" si="29"/>
        <v>45218</v>
      </c>
      <c r="C505" t="s">
        <v>10</v>
      </c>
      <c r="D505" t="str">
        <f t="shared" ca="1" si="30"/>
        <v>Office Supplies</v>
      </c>
      <c r="E505" t="s">
        <v>45</v>
      </c>
      <c r="F505" s="11">
        <v>10329</v>
      </c>
      <c r="G505">
        <f t="shared" ca="1" si="31"/>
        <v>5</v>
      </c>
      <c r="H505" s="11">
        <f ca="1">IF(Table1[[#This Row],[Category]]="Electronics",Table1[[#This Row],[Sales]]*0.6,
IF(Table1[[#This Row],[Category]]="Furniture",Table1[[#This Row],[Sales]]*0.75,
IF(Table1[[#This Row],[Category]]="Clothing",Table1[[#This Row],[Sales]]*0.65,
Table1[[#This Row],[Sales]]*0.7)))</f>
        <v>7230.2999999999993</v>
      </c>
      <c r="I505" s="11">
        <f ca="1">Table1[[#This Row],[Sales]]-H505</f>
        <v>3098.7000000000007</v>
      </c>
      <c r="J505" s="2">
        <f ca="1">Table1[[#This Row],[Profit]]/Table1[[#This Row],[Sales]]</f>
        <v>0.30000000000000004</v>
      </c>
      <c r="K505" t="str">
        <f ca="1">TEXT(Table1[[#This Row],[Order_Date]],"mmm")</f>
        <v>Oct</v>
      </c>
      <c r="L505">
        <f ca="1">YEAR(Table1[[#This Row],[Order_Date]])</f>
        <v>2023</v>
      </c>
    </row>
    <row r="506" spans="1:12" x14ac:dyDescent="0.3">
      <c r="A506">
        <f t="shared" si="28"/>
        <v>505</v>
      </c>
      <c r="B506" s="1">
        <f t="shared" ca="1" si="29"/>
        <v>45215</v>
      </c>
      <c r="C506" t="s">
        <v>7</v>
      </c>
      <c r="D506" t="str">
        <f t="shared" ca="1" si="30"/>
        <v>Clothing</v>
      </c>
      <c r="E506" t="s">
        <v>82</v>
      </c>
      <c r="F506" s="11">
        <v>4651</v>
      </c>
      <c r="G506">
        <f t="shared" ca="1" si="31"/>
        <v>10</v>
      </c>
      <c r="H506" s="11">
        <f ca="1">IF(Table1[[#This Row],[Category]]="Electronics",Table1[[#This Row],[Sales]]*0.6,
IF(Table1[[#This Row],[Category]]="Furniture",Table1[[#This Row],[Sales]]*0.75,
IF(Table1[[#This Row],[Category]]="Clothing",Table1[[#This Row],[Sales]]*0.65,
Table1[[#This Row],[Sales]]*0.7)))</f>
        <v>3023.15</v>
      </c>
      <c r="I506" s="11">
        <f ca="1">Table1[[#This Row],[Sales]]-H506</f>
        <v>1627.85</v>
      </c>
      <c r="J506" s="2">
        <f ca="1">Table1[[#This Row],[Profit]]/Table1[[#This Row],[Sales]]</f>
        <v>0.35</v>
      </c>
      <c r="K506" t="str">
        <f ca="1">TEXT(Table1[[#This Row],[Order_Date]],"mmm")</f>
        <v>Oct</v>
      </c>
      <c r="L506">
        <f ca="1">YEAR(Table1[[#This Row],[Order_Date]])</f>
        <v>2023</v>
      </c>
    </row>
    <row r="507" spans="1:12" x14ac:dyDescent="0.3">
      <c r="A507">
        <f t="shared" si="28"/>
        <v>506</v>
      </c>
      <c r="B507" s="1">
        <f t="shared" ca="1" si="29"/>
        <v>44963</v>
      </c>
      <c r="C507" t="s">
        <v>8</v>
      </c>
      <c r="D507" t="str">
        <f t="shared" ca="1" si="30"/>
        <v>Clothing</v>
      </c>
      <c r="E507" t="s">
        <v>45</v>
      </c>
      <c r="F507" s="11">
        <v>7863</v>
      </c>
      <c r="G507">
        <f t="shared" ca="1" si="31"/>
        <v>10</v>
      </c>
      <c r="H507" s="11">
        <f ca="1">IF(Table1[[#This Row],[Category]]="Electronics",Table1[[#This Row],[Sales]]*0.6,
IF(Table1[[#This Row],[Category]]="Furniture",Table1[[#This Row],[Sales]]*0.75,
IF(Table1[[#This Row],[Category]]="Clothing",Table1[[#This Row],[Sales]]*0.65,
Table1[[#This Row],[Sales]]*0.7)))</f>
        <v>5110.95</v>
      </c>
      <c r="I507" s="11">
        <f ca="1">Table1[[#This Row],[Sales]]-H507</f>
        <v>2752.05</v>
      </c>
      <c r="J507" s="2">
        <f ca="1">Table1[[#This Row],[Profit]]/Table1[[#This Row],[Sales]]</f>
        <v>0.35000000000000003</v>
      </c>
      <c r="K507" t="str">
        <f ca="1">TEXT(Table1[[#This Row],[Order_Date]],"mmm")</f>
        <v>Feb</v>
      </c>
      <c r="L507">
        <f ca="1">YEAR(Table1[[#This Row],[Order_Date]])</f>
        <v>2023</v>
      </c>
    </row>
    <row r="508" spans="1:12" x14ac:dyDescent="0.3">
      <c r="A508">
        <f t="shared" si="28"/>
        <v>507</v>
      </c>
      <c r="B508" s="1">
        <f t="shared" ca="1" si="29"/>
        <v>45254</v>
      </c>
      <c r="C508" t="s">
        <v>9</v>
      </c>
      <c r="D508" t="str">
        <f t="shared" ca="1" si="30"/>
        <v>Office Supplies</v>
      </c>
      <c r="E508" t="s">
        <v>74</v>
      </c>
      <c r="F508" s="11">
        <v>19640</v>
      </c>
      <c r="G508">
        <f t="shared" ca="1" si="31"/>
        <v>4</v>
      </c>
      <c r="H508" s="11">
        <f ca="1">IF(Table1[[#This Row],[Category]]="Electronics",Table1[[#This Row],[Sales]]*0.6,
IF(Table1[[#This Row],[Category]]="Furniture",Table1[[#This Row],[Sales]]*0.75,
IF(Table1[[#This Row],[Category]]="Clothing",Table1[[#This Row],[Sales]]*0.65,
Table1[[#This Row],[Sales]]*0.7)))</f>
        <v>13748</v>
      </c>
      <c r="I508" s="11">
        <f ca="1">Table1[[#This Row],[Sales]]-H508</f>
        <v>5892</v>
      </c>
      <c r="J508" s="2">
        <f ca="1">Table1[[#This Row],[Profit]]/Table1[[#This Row],[Sales]]</f>
        <v>0.3</v>
      </c>
      <c r="K508" t="str">
        <f ca="1">TEXT(Table1[[#This Row],[Order_Date]],"mmm")</f>
        <v>Nov</v>
      </c>
      <c r="L508">
        <f ca="1">YEAR(Table1[[#This Row],[Order_Date]])</f>
        <v>2023</v>
      </c>
    </row>
    <row r="509" spans="1:12" x14ac:dyDescent="0.3">
      <c r="A509">
        <f t="shared" si="28"/>
        <v>508</v>
      </c>
      <c r="B509" s="1">
        <f t="shared" ca="1" si="29"/>
        <v>45183</v>
      </c>
      <c r="C509" t="s">
        <v>10</v>
      </c>
      <c r="D509" t="str">
        <f t="shared" ca="1" si="30"/>
        <v>Electronics</v>
      </c>
      <c r="E509" t="s">
        <v>73</v>
      </c>
      <c r="F509" s="11">
        <v>11690</v>
      </c>
      <c r="G509">
        <f t="shared" ca="1" si="31"/>
        <v>5</v>
      </c>
      <c r="H509" s="11">
        <f ca="1">IF(Table1[[#This Row],[Category]]="Electronics",Table1[[#This Row],[Sales]]*0.6,
IF(Table1[[#This Row],[Category]]="Furniture",Table1[[#This Row],[Sales]]*0.75,
IF(Table1[[#This Row],[Category]]="Clothing",Table1[[#This Row],[Sales]]*0.65,
Table1[[#This Row],[Sales]]*0.7)))</f>
        <v>7014</v>
      </c>
      <c r="I509" s="11">
        <f ca="1">Table1[[#This Row],[Sales]]-H509</f>
        <v>4676</v>
      </c>
      <c r="J509" s="2">
        <f ca="1">Table1[[#This Row],[Profit]]/Table1[[#This Row],[Sales]]</f>
        <v>0.4</v>
      </c>
      <c r="K509" t="str">
        <f ca="1">TEXT(Table1[[#This Row],[Order_Date]],"mmm")</f>
        <v>Sep</v>
      </c>
      <c r="L509">
        <f ca="1">YEAR(Table1[[#This Row],[Order_Date]])</f>
        <v>2023</v>
      </c>
    </row>
    <row r="510" spans="1:12" x14ac:dyDescent="0.3">
      <c r="A510">
        <f t="shared" si="28"/>
        <v>509</v>
      </c>
      <c r="B510" s="1">
        <f t="shared" ca="1" si="29"/>
        <v>45018</v>
      </c>
      <c r="C510" t="s">
        <v>7</v>
      </c>
      <c r="D510" t="str">
        <f t="shared" ca="1" si="30"/>
        <v>Electronics</v>
      </c>
      <c r="E510" t="s">
        <v>80</v>
      </c>
      <c r="F510" s="11">
        <v>1000</v>
      </c>
      <c r="G510">
        <f t="shared" ca="1" si="31"/>
        <v>5</v>
      </c>
      <c r="H510" s="11">
        <f ca="1">IF(Table1[[#This Row],[Category]]="Electronics",Table1[[#This Row],[Sales]]*0.6,
IF(Table1[[#This Row],[Category]]="Furniture",Table1[[#This Row],[Sales]]*0.75,
IF(Table1[[#This Row],[Category]]="Clothing",Table1[[#This Row],[Sales]]*0.65,
Table1[[#This Row],[Sales]]*0.7)))</f>
        <v>600</v>
      </c>
      <c r="I510" s="11">
        <f ca="1">Table1[[#This Row],[Sales]]-H510</f>
        <v>400</v>
      </c>
      <c r="J510" s="2">
        <f ca="1">Table1[[#This Row],[Profit]]/Table1[[#This Row],[Sales]]</f>
        <v>0.4</v>
      </c>
      <c r="K510" t="str">
        <f ca="1">TEXT(Table1[[#This Row],[Order_Date]],"mmm")</f>
        <v>Apr</v>
      </c>
      <c r="L510">
        <f ca="1">YEAR(Table1[[#This Row],[Order_Date]])</f>
        <v>2023</v>
      </c>
    </row>
    <row r="511" spans="1:12" x14ac:dyDescent="0.3">
      <c r="A511">
        <f t="shared" si="28"/>
        <v>510</v>
      </c>
      <c r="B511" s="1">
        <f t="shared" ca="1" si="29"/>
        <v>44951</v>
      </c>
      <c r="C511" t="s">
        <v>8</v>
      </c>
      <c r="D511" t="str">
        <f t="shared" ca="1" si="30"/>
        <v>Furniture</v>
      </c>
      <c r="E511" t="s">
        <v>69</v>
      </c>
      <c r="F511" s="11">
        <v>4142</v>
      </c>
      <c r="G511">
        <f t="shared" ca="1" si="31"/>
        <v>8</v>
      </c>
      <c r="H511" s="11">
        <f ca="1">IF(Table1[[#This Row],[Category]]="Electronics",Table1[[#This Row],[Sales]]*0.6,
IF(Table1[[#This Row],[Category]]="Furniture",Table1[[#This Row],[Sales]]*0.75,
IF(Table1[[#This Row],[Category]]="Clothing",Table1[[#This Row],[Sales]]*0.65,
Table1[[#This Row],[Sales]]*0.7)))</f>
        <v>3106.5</v>
      </c>
      <c r="I511" s="11">
        <f ca="1">Table1[[#This Row],[Sales]]-H511</f>
        <v>1035.5</v>
      </c>
      <c r="J511" s="2">
        <f ca="1">Table1[[#This Row],[Profit]]/Table1[[#This Row],[Sales]]</f>
        <v>0.25</v>
      </c>
      <c r="K511" t="str">
        <f ca="1">TEXT(Table1[[#This Row],[Order_Date]],"mmm")</f>
        <v>Jan</v>
      </c>
      <c r="L511">
        <f ca="1">YEAR(Table1[[#This Row],[Order_Date]])</f>
        <v>2023</v>
      </c>
    </row>
    <row r="512" spans="1:12" x14ac:dyDescent="0.3">
      <c r="A512">
        <f t="shared" si="28"/>
        <v>511</v>
      </c>
      <c r="B512" s="1">
        <f t="shared" ca="1" si="29"/>
        <v>45201</v>
      </c>
      <c r="C512" t="s">
        <v>9</v>
      </c>
      <c r="D512" t="str">
        <f t="shared" ca="1" si="30"/>
        <v>Office Supplies</v>
      </c>
      <c r="E512" t="s">
        <v>44</v>
      </c>
      <c r="F512" s="11">
        <v>4592</v>
      </c>
      <c r="G512">
        <f t="shared" ca="1" si="31"/>
        <v>3</v>
      </c>
      <c r="H512" s="11">
        <f ca="1">IF(Table1[[#This Row],[Category]]="Electronics",Table1[[#This Row],[Sales]]*0.6,
IF(Table1[[#This Row],[Category]]="Furniture",Table1[[#This Row],[Sales]]*0.75,
IF(Table1[[#This Row],[Category]]="Clothing",Table1[[#This Row],[Sales]]*0.65,
Table1[[#This Row],[Sales]]*0.7)))</f>
        <v>3214.3999999999996</v>
      </c>
      <c r="I512" s="11">
        <f ca="1">Table1[[#This Row],[Sales]]-H512</f>
        <v>1377.6000000000004</v>
      </c>
      <c r="J512" s="2">
        <f ca="1">Table1[[#This Row],[Profit]]/Table1[[#This Row],[Sales]]</f>
        <v>0.3000000000000001</v>
      </c>
      <c r="K512" t="str">
        <f ca="1">TEXT(Table1[[#This Row],[Order_Date]],"mmm")</f>
        <v>Oct</v>
      </c>
      <c r="L512">
        <f ca="1">YEAR(Table1[[#This Row],[Order_Date]])</f>
        <v>2023</v>
      </c>
    </row>
    <row r="513" spans="1:12" x14ac:dyDescent="0.3">
      <c r="A513">
        <f t="shared" si="28"/>
        <v>512</v>
      </c>
      <c r="B513" s="1">
        <f t="shared" ca="1" si="29"/>
        <v>44931</v>
      </c>
      <c r="C513" t="s">
        <v>10</v>
      </c>
      <c r="D513" t="str">
        <f t="shared" ca="1" si="30"/>
        <v>Furniture</v>
      </c>
      <c r="E513" t="s">
        <v>68</v>
      </c>
      <c r="F513" s="11">
        <v>18071</v>
      </c>
      <c r="G513">
        <f t="shared" ca="1" si="31"/>
        <v>6</v>
      </c>
      <c r="H513" s="11">
        <f ca="1">IF(Table1[[#This Row],[Category]]="Electronics",Table1[[#This Row],[Sales]]*0.6,
IF(Table1[[#This Row],[Category]]="Furniture",Table1[[#This Row],[Sales]]*0.75,
IF(Table1[[#This Row],[Category]]="Clothing",Table1[[#This Row],[Sales]]*0.65,
Table1[[#This Row],[Sales]]*0.7)))</f>
        <v>13553.25</v>
      </c>
      <c r="I513" s="11">
        <f ca="1">Table1[[#This Row],[Sales]]-H513</f>
        <v>4517.75</v>
      </c>
      <c r="J513" s="2">
        <f ca="1">Table1[[#This Row],[Profit]]/Table1[[#This Row],[Sales]]</f>
        <v>0.25</v>
      </c>
      <c r="K513" t="str">
        <f ca="1">TEXT(Table1[[#This Row],[Order_Date]],"mmm")</f>
        <v>Jan</v>
      </c>
      <c r="L513">
        <f ca="1">YEAR(Table1[[#This Row],[Order_Date]])</f>
        <v>2023</v>
      </c>
    </row>
    <row r="514" spans="1:12" x14ac:dyDescent="0.3">
      <c r="A514">
        <f t="shared" si="28"/>
        <v>513</v>
      </c>
      <c r="B514" s="1">
        <f t="shared" ca="1" si="29"/>
        <v>45065</v>
      </c>
      <c r="C514" t="s">
        <v>7</v>
      </c>
      <c r="D514" t="str">
        <f t="shared" ca="1" si="30"/>
        <v>Furniture</v>
      </c>
      <c r="E514" t="s">
        <v>60</v>
      </c>
      <c r="F514" s="11">
        <v>7012</v>
      </c>
      <c r="G514">
        <f t="shared" ca="1" si="31"/>
        <v>3</v>
      </c>
      <c r="H514" s="11">
        <f ca="1">IF(Table1[[#This Row],[Category]]="Electronics",Table1[[#This Row],[Sales]]*0.6,
IF(Table1[[#This Row],[Category]]="Furniture",Table1[[#This Row],[Sales]]*0.75,
IF(Table1[[#This Row],[Category]]="Clothing",Table1[[#This Row],[Sales]]*0.65,
Table1[[#This Row],[Sales]]*0.7)))</f>
        <v>5259</v>
      </c>
      <c r="I514" s="11">
        <f ca="1">Table1[[#This Row],[Sales]]-H514</f>
        <v>1753</v>
      </c>
      <c r="J514" s="2">
        <f ca="1">Table1[[#This Row],[Profit]]/Table1[[#This Row],[Sales]]</f>
        <v>0.25</v>
      </c>
      <c r="K514" t="str">
        <f ca="1">TEXT(Table1[[#This Row],[Order_Date]],"mmm")</f>
        <v>May</v>
      </c>
      <c r="L514">
        <f ca="1">YEAR(Table1[[#This Row],[Order_Date]])</f>
        <v>2023</v>
      </c>
    </row>
    <row r="515" spans="1:12" x14ac:dyDescent="0.3">
      <c r="A515">
        <f t="shared" ref="A515:A578" si="32">ROW()-1</f>
        <v>514</v>
      </c>
      <c r="B515" s="1">
        <f t="shared" ref="B515:B578" ca="1" si="33">DATE(2023, RANDBETWEEN(1,12), RANDBETWEEN(1,28))</f>
        <v>45242</v>
      </c>
      <c r="C515" t="s">
        <v>8</v>
      </c>
      <c r="D515" t="str">
        <f t="shared" ref="D515:D578" ca="1" si="34">CHOOSE(RANDBETWEEN(1,4),"Electronics","Furniture","Clothing","Office Supplies")</f>
        <v>Furniture</v>
      </c>
      <c r="E515" t="s">
        <v>81</v>
      </c>
      <c r="F515" s="11">
        <v>4892</v>
      </c>
      <c r="G515">
        <f t="shared" ref="G515:G578" ca="1" si="35">RANDBETWEEN(1,10)</f>
        <v>5</v>
      </c>
      <c r="H515" s="11">
        <f ca="1">IF(Table1[[#This Row],[Category]]="Electronics",Table1[[#This Row],[Sales]]*0.6,
IF(Table1[[#This Row],[Category]]="Furniture",Table1[[#This Row],[Sales]]*0.75,
IF(Table1[[#This Row],[Category]]="Clothing",Table1[[#This Row],[Sales]]*0.65,
Table1[[#This Row],[Sales]]*0.7)))</f>
        <v>3669</v>
      </c>
      <c r="I515" s="11">
        <f ca="1">Table1[[#This Row],[Sales]]-H515</f>
        <v>1223</v>
      </c>
      <c r="J515" s="2">
        <f ca="1">Table1[[#This Row],[Profit]]/Table1[[#This Row],[Sales]]</f>
        <v>0.25</v>
      </c>
      <c r="K515" t="str">
        <f ca="1">TEXT(Table1[[#This Row],[Order_Date]],"mmm")</f>
        <v>Nov</v>
      </c>
      <c r="L515">
        <f ca="1">YEAR(Table1[[#This Row],[Order_Date]])</f>
        <v>2023</v>
      </c>
    </row>
    <row r="516" spans="1:12" x14ac:dyDescent="0.3">
      <c r="A516">
        <f t="shared" si="32"/>
        <v>515</v>
      </c>
      <c r="B516" s="1">
        <f t="shared" ca="1" si="33"/>
        <v>45080</v>
      </c>
      <c r="C516" t="s">
        <v>9</v>
      </c>
      <c r="D516" t="str">
        <f t="shared" ca="1" si="34"/>
        <v>Office Supplies</v>
      </c>
      <c r="E516" t="s">
        <v>82</v>
      </c>
      <c r="F516" s="11">
        <v>4658</v>
      </c>
      <c r="G516">
        <f t="shared" ca="1" si="35"/>
        <v>6</v>
      </c>
      <c r="H516" s="11">
        <f ca="1">IF(Table1[[#This Row],[Category]]="Electronics",Table1[[#This Row],[Sales]]*0.6,
IF(Table1[[#This Row],[Category]]="Furniture",Table1[[#This Row],[Sales]]*0.75,
IF(Table1[[#This Row],[Category]]="Clothing",Table1[[#This Row],[Sales]]*0.65,
Table1[[#This Row],[Sales]]*0.7)))</f>
        <v>3260.6</v>
      </c>
      <c r="I516" s="11">
        <f ca="1">Table1[[#This Row],[Sales]]-H516</f>
        <v>1397.4</v>
      </c>
      <c r="J516" s="2">
        <f ca="1">Table1[[#This Row],[Profit]]/Table1[[#This Row],[Sales]]</f>
        <v>0.30000000000000004</v>
      </c>
      <c r="K516" t="str">
        <f ca="1">TEXT(Table1[[#This Row],[Order_Date]],"mmm")</f>
        <v>Jun</v>
      </c>
      <c r="L516">
        <f ca="1">YEAR(Table1[[#This Row],[Order_Date]])</f>
        <v>2023</v>
      </c>
    </row>
    <row r="517" spans="1:12" x14ac:dyDescent="0.3">
      <c r="A517">
        <f t="shared" si="32"/>
        <v>516</v>
      </c>
      <c r="B517" s="1">
        <f t="shared" ca="1" si="33"/>
        <v>44973</v>
      </c>
      <c r="C517" t="s">
        <v>10</v>
      </c>
      <c r="D517" t="str">
        <f t="shared" ca="1" si="34"/>
        <v>Office Supplies</v>
      </c>
      <c r="E517" t="s">
        <v>53</v>
      </c>
      <c r="F517" s="11">
        <v>815</v>
      </c>
      <c r="G517">
        <f t="shared" ca="1" si="35"/>
        <v>10</v>
      </c>
      <c r="H517" s="11">
        <f ca="1">IF(Table1[[#This Row],[Category]]="Electronics",Table1[[#This Row],[Sales]]*0.6,
IF(Table1[[#This Row],[Category]]="Furniture",Table1[[#This Row],[Sales]]*0.75,
IF(Table1[[#This Row],[Category]]="Clothing",Table1[[#This Row],[Sales]]*0.65,
Table1[[#This Row],[Sales]]*0.7)))</f>
        <v>570.5</v>
      </c>
      <c r="I517" s="11">
        <f ca="1">Table1[[#This Row],[Sales]]-H517</f>
        <v>244.5</v>
      </c>
      <c r="J517" s="2">
        <f ca="1">Table1[[#This Row],[Profit]]/Table1[[#This Row],[Sales]]</f>
        <v>0.3</v>
      </c>
      <c r="K517" t="str">
        <f ca="1">TEXT(Table1[[#This Row],[Order_Date]],"mmm")</f>
        <v>Feb</v>
      </c>
      <c r="L517">
        <f ca="1">YEAR(Table1[[#This Row],[Order_Date]])</f>
        <v>2023</v>
      </c>
    </row>
    <row r="518" spans="1:12" x14ac:dyDescent="0.3">
      <c r="A518">
        <f t="shared" si="32"/>
        <v>517</v>
      </c>
      <c r="B518" s="1">
        <f t="shared" ca="1" si="33"/>
        <v>44946</v>
      </c>
      <c r="C518" t="s">
        <v>7</v>
      </c>
      <c r="D518" t="str">
        <f t="shared" ca="1" si="34"/>
        <v>Office Supplies</v>
      </c>
      <c r="E518" t="s">
        <v>42</v>
      </c>
      <c r="F518" s="11">
        <v>9647</v>
      </c>
      <c r="G518">
        <f t="shared" ca="1" si="35"/>
        <v>2</v>
      </c>
      <c r="H518" s="11">
        <f ca="1">IF(Table1[[#This Row],[Category]]="Electronics",Table1[[#This Row],[Sales]]*0.6,
IF(Table1[[#This Row],[Category]]="Furniture",Table1[[#This Row],[Sales]]*0.75,
IF(Table1[[#This Row],[Category]]="Clothing",Table1[[#This Row],[Sales]]*0.65,
Table1[[#This Row],[Sales]]*0.7)))</f>
        <v>6752.9</v>
      </c>
      <c r="I518" s="11">
        <f ca="1">Table1[[#This Row],[Sales]]-H518</f>
        <v>2894.1000000000004</v>
      </c>
      <c r="J518" s="2">
        <f ca="1">Table1[[#This Row],[Profit]]/Table1[[#This Row],[Sales]]</f>
        <v>0.30000000000000004</v>
      </c>
      <c r="K518" t="str">
        <f ca="1">TEXT(Table1[[#This Row],[Order_Date]],"mmm")</f>
        <v>Jan</v>
      </c>
      <c r="L518">
        <f ca="1">YEAR(Table1[[#This Row],[Order_Date]])</f>
        <v>2023</v>
      </c>
    </row>
    <row r="519" spans="1:12" x14ac:dyDescent="0.3">
      <c r="A519">
        <f t="shared" si="32"/>
        <v>518</v>
      </c>
      <c r="B519" s="1">
        <f t="shared" ca="1" si="33"/>
        <v>45031</v>
      </c>
      <c r="C519" t="s">
        <v>8</v>
      </c>
      <c r="D519" t="str">
        <f t="shared" ca="1" si="34"/>
        <v>Office Supplies</v>
      </c>
      <c r="E519" t="s">
        <v>71</v>
      </c>
      <c r="F519" s="11">
        <v>3192</v>
      </c>
      <c r="G519">
        <f t="shared" ca="1" si="35"/>
        <v>4</v>
      </c>
      <c r="H519" s="11">
        <f ca="1">IF(Table1[[#This Row],[Category]]="Electronics",Table1[[#This Row],[Sales]]*0.6,
IF(Table1[[#This Row],[Category]]="Furniture",Table1[[#This Row],[Sales]]*0.75,
IF(Table1[[#This Row],[Category]]="Clothing",Table1[[#This Row],[Sales]]*0.65,
Table1[[#This Row],[Sales]]*0.7)))</f>
        <v>2234.3999999999996</v>
      </c>
      <c r="I519" s="11">
        <f ca="1">Table1[[#This Row],[Sales]]-H519</f>
        <v>957.60000000000036</v>
      </c>
      <c r="J519" s="2">
        <f ca="1">Table1[[#This Row],[Profit]]/Table1[[#This Row],[Sales]]</f>
        <v>0.3000000000000001</v>
      </c>
      <c r="K519" t="str">
        <f ca="1">TEXT(Table1[[#This Row],[Order_Date]],"mmm")</f>
        <v>Apr</v>
      </c>
      <c r="L519">
        <f ca="1">YEAR(Table1[[#This Row],[Order_Date]])</f>
        <v>2023</v>
      </c>
    </row>
    <row r="520" spans="1:12" x14ac:dyDescent="0.3">
      <c r="A520">
        <f t="shared" si="32"/>
        <v>519</v>
      </c>
      <c r="B520" s="1">
        <f t="shared" ca="1" si="33"/>
        <v>45221</v>
      </c>
      <c r="C520" t="s">
        <v>9</v>
      </c>
      <c r="D520" t="str">
        <f t="shared" ca="1" si="34"/>
        <v>Office Supplies</v>
      </c>
      <c r="E520" t="s">
        <v>81</v>
      </c>
      <c r="F520" s="11">
        <v>17746</v>
      </c>
      <c r="G520">
        <f t="shared" ca="1" si="35"/>
        <v>2</v>
      </c>
      <c r="H520" s="11">
        <f ca="1">IF(Table1[[#This Row],[Category]]="Electronics",Table1[[#This Row],[Sales]]*0.6,
IF(Table1[[#This Row],[Category]]="Furniture",Table1[[#This Row],[Sales]]*0.75,
IF(Table1[[#This Row],[Category]]="Clothing",Table1[[#This Row],[Sales]]*0.65,
Table1[[#This Row],[Sales]]*0.7)))</f>
        <v>12422.199999999999</v>
      </c>
      <c r="I520" s="11">
        <f ca="1">Table1[[#This Row],[Sales]]-H520</f>
        <v>5323.8000000000011</v>
      </c>
      <c r="J520" s="2">
        <f ca="1">Table1[[#This Row],[Profit]]/Table1[[#This Row],[Sales]]</f>
        <v>0.30000000000000004</v>
      </c>
      <c r="K520" t="str">
        <f ca="1">TEXT(Table1[[#This Row],[Order_Date]],"mmm")</f>
        <v>Oct</v>
      </c>
      <c r="L520">
        <f ca="1">YEAR(Table1[[#This Row],[Order_Date]])</f>
        <v>2023</v>
      </c>
    </row>
    <row r="521" spans="1:12" x14ac:dyDescent="0.3">
      <c r="A521">
        <f t="shared" si="32"/>
        <v>520</v>
      </c>
      <c r="B521" s="1">
        <f t="shared" ca="1" si="33"/>
        <v>44936</v>
      </c>
      <c r="C521" t="s">
        <v>10</v>
      </c>
      <c r="D521" t="str">
        <f t="shared" ca="1" si="34"/>
        <v>Office Supplies</v>
      </c>
      <c r="E521" t="s">
        <v>78</v>
      </c>
      <c r="F521" s="11">
        <v>10831</v>
      </c>
      <c r="G521">
        <f t="shared" ca="1" si="35"/>
        <v>4</v>
      </c>
      <c r="H521" s="11">
        <f ca="1">IF(Table1[[#This Row],[Category]]="Electronics",Table1[[#This Row],[Sales]]*0.6,
IF(Table1[[#This Row],[Category]]="Furniture",Table1[[#This Row],[Sales]]*0.75,
IF(Table1[[#This Row],[Category]]="Clothing",Table1[[#This Row],[Sales]]*0.65,
Table1[[#This Row],[Sales]]*0.7)))</f>
        <v>7581.7</v>
      </c>
      <c r="I521" s="11">
        <f ca="1">Table1[[#This Row],[Sales]]-H521</f>
        <v>3249.3</v>
      </c>
      <c r="J521" s="2">
        <f ca="1">Table1[[#This Row],[Profit]]/Table1[[#This Row],[Sales]]</f>
        <v>0.30000000000000004</v>
      </c>
      <c r="K521" t="str">
        <f ca="1">TEXT(Table1[[#This Row],[Order_Date]],"mmm")</f>
        <v>Jan</v>
      </c>
      <c r="L521">
        <f ca="1">YEAR(Table1[[#This Row],[Order_Date]])</f>
        <v>2023</v>
      </c>
    </row>
    <row r="522" spans="1:12" x14ac:dyDescent="0.3">
      <c r="A522">
        <f t="shared" si="32"/>
        <v>521</v>
      </c>
      <c r="B522" s="1">
        <f t="shared" ca="1" si="33"/>
        <v>45010</v>
      </c>
      <c r="C522" t="s">
        <v>7</v>
      </c>
      <c r="D522" t="str">
        <f t="shared" ca="1" si="34"/>
        <v>Electronics</v>
      </c>
      <c r="E522" t="s">
        <v>59</v>
      </c>
      <c r="F522" s="11">
        <v>10084</v>
      </c>
      <c r="G522">
        <f t="shared" ca="1" si="35"/>
        <v>5</v>
      </c>
      <c r="H522" s="11">
        <f ca="1">IF(Table1[[#This Row],[Category]]="Electronics",Table1[[#This Row],[Sales]]*0.6,
IF(Table1[[#This Row],[Category]]="Furniture",Table1[[#This Row],[Sales]]*0.75,
IF(Table1[[#This Row],[Category]]="Clothing",Table1[[#This Row],[Sales]]*0.65,
Table1[[#This Row],[Sales]]*0.7)))</f>
        <v>6050.4</v>
      </c>
      <c r="I522" s="11">
        <f ca="1">Table1[[#This Row],[Sales]]-H522</f>
        <v>4033.6000000000004</v>
      </c>
      <c r="J522" s="2">
        <f ca="1">Table1[[#This Row],[Profit]]/Table1[[#This Row],[Sales]]</f>
        <v>0.4</v>
      </c>
      <c r="K522" t="str">
        <f ca="1">TEXT(Table1[[#This Row],[Order_Date]],"mmm")</f>
        <v>Mar</v>
      </c>
      <c r="L522">
        <f ca="1">YEAR(Table1[[#This Row],[Order_Date]])</f>
        <v>2023</v>
      </c>
    </row>
    <row r="523" spans="1:12" x14ac:dyDescent="0.3">
      <c r="A523">
        <f t="shared" si="32"/>
        <v>522</v>
      </c>
      <c r="B523" s="1">
        <f t="shared" ca="1" si="33"/>
        <v>45052</v>
      </c>
      <c r="C523" t="s">
        <v>8</v>
      </c>
      <c r="D523" t="str">
        <f t="shared" ca="1" si="34"/>
        <v>Office Supplies</v>
      </c>
      <c r="E523" t="s">
        <v>48</v>
      </c>
      <c r="F523" s="11">
        <v>5853</v>
      </c>
      <c r="G523">
        <f t="shared" ca="1" si="35"/>
        <v>2</v>
      </c>
      <c r="H523" s="11">
        <f ca="1">IF(Table1[[#This Row],[Category]]="Electronics",Table1[[#This Row],[Sales]]*0.6,
IF(Table1[[#This Row],[Category]]="Furniture",Table1[[#This Row],[Sales]]*0.75,
IF(Table1[[#This Row],[Category]]="Clothing",Table1[[#This Row],[Sales]]*0.65,
Table1[[#This Row],[Sales]]*0.7)))</f>
        <v>4097.0999999999995</v>
      </c>
      <c r="I523" s="11">
        <f ca="1">Table1[[#This Row],[Sales]]-H523</f>
        <v>1755.9000000000005</v>
      </c>
      <c r="J523" s="2">
        <f ca="1">Table1[[#This Row],[Profit]]/Table1[[#This Row],[Sales]]</f>
        <v>0.3000000000000001</v>
      </c>
      <c r="K523" t="str">
        <f ca="1">TEXT(Table1[[#This Row],[Order_Date]],"mmm")</f>
        <v>May</v>
      </c>
      <c r="L523">
        <f ca="1">YEAR(Table1[[#This Row],[Order_Date]])</f>
        <v>2023</v>
      </c>
    </row>
    <row r="524" spans="1:12" x14ac:dyDescent="0.3">
      <c r="A524">
        <f t="shared" si="32"/>
        <v>523</v>
      </c>
      <c r="B524" s="1">
        <f t="shared" ca="1" si="33"/>
        <v>45082</v>
      </c>
      <c r="C524" t="s">
        <v>9</v>
      </c>
      <c r="D524" t="str">
        <f t="shared" ca="1" si="34"/>
        <v>Furniture</v>
      </c>
      <c r="E524" t="s">
        <v>47</v>
      </c>
      <c r="F524" s="11">
        <v>9915</v>
      </c>
      <c r="G524">
        <f t="shared" ca="1" si="35"/>
        <v>8</v>
      </c>
      <c r="H524" s="11">
        <f ca="1">IF(Table1[[#This Row],[Category]]="Electronics",Table1[[#This Row],[Sales]]*0.6,
IF(Table1[[#This Row],[Category]]="Furniture",Table1[[#This Row],[Sales]]*0.75,
IF(Table1[[#This Row],[Category]]="Clothing",Table1[[#This Row],[Sales]]*0.65,
Table1[[#This Row],[Sales]]*0.7)))</f>
        <v>7436.25</v>
      </c>
      <c r="I524" s="11">
        <f ca="1">Table1[[#This Row],[Sales]]-H524</f>
        <v>2478.75</v>
      </c>
      <c r="J524" s="2">
        <f ca="1">Table1[[#This Row],[Profit]]/Table1[[#This Row],[Sales]]</f>
        <v>0.25</v>
      </c>
      <c r="K524" t="str">
        <f ca="1">TEXT(Table1[[#This Row],[Order_Date]],"mmm")</f>
        <v>Jun</v>
      </c>
      <c r="L524">
        <f ca="1">YEAR(Table1[[#This Row],[Order_Date]])</f>
        <v>2023</v>
      </c>
    </row>
    <row r="525" spans="1:12" x14ac:dyDescent="0.3">
      <c r="A525">
        <f t="shared" si="32"/>
        <v>524</v>
      </c>
      <c r="B525" s="1">
        <f t="shared" ca="1" si="33"/>
        <v>44963</v>
      </c>
      <c r="C525" t="s">
        <v>10</v>
      </c>
      <c r="D525" t="str">
        <f t="shared" ca="1" si="34"/>
        <v>Office Supplies</v>
      </c>
      <c r="E525" t="s">
        <v>72</v>
      </c>
      <c r="F525" s="11">
        <v>19552</v>
      </c>
      <c r="G525">
        <f t="shared" ca="1" si="35"/>
        <v>1</v>
      </c>
      <c r="H525" s="11">
        <f ca="1">IF(Table1[[#This Row],[Category]]="Electronics",Table1[[#This Row],[Sales]]*0.6,
IF(Table1[[#This Row],[Category]]="Furniture",Table1[[#This Row],[Sales]]*0.75,
IF(Table1[[#This Row],[Category]]="Clothing",Table1[[#This Row],[Sales]]*0.65,
Table1[[#This Row],[Sales]]*0.7)))</f>
        <v>13686.4</v>
      </c>
      <c r="I525" s="11">
        <f ca="1">Table1[[#This Row],[Sales]]-H525</f>
        <v>5865.6</v>
      </c>
      <c r="J525" s="2">
        <f ca="1">Table1[[#This Row],[Profit]]/Table1[[#This Row],[Sales]]</f>
        <v>0.30000000000000004</v>
      </c>
      <c r="K525" t="str">
        <f ca="1">TEXT(Table1[[#This Row],[Order_Date]],"mmm")</f>
        <v>Feb</v>
      </c>
      <c r="L525">
        <f ca="1">YEAR(Table1[[#This Row],[Order_Date]])</f>
        <v>2023</v>
      </c>
    </row>
    <row r="526" spans="1:12" x14ac:dyDescent="0.3">
      <c r="A526">
        <f t="shared" si="32"/>
        <v>525</v>
      </c>
      <c r="B526" s="1">
        <f t="shared" ca="1" si="33"/>
        <v>45252</v>
      </c>
      <c r="C526" t="s">
        <v>7</v>
      </c>
      <c r="D526" t="str">
        <f t="shared" ca="1" si="34"/>
        <v>Clothing</v>
      </c>
      <c r="E526" t="s">
        <v>37</v>
      </c>
      <c r="F526" s="11">
        <v>1026</v>
      </c>
      <c r="G526">
        <f t="shared" ca="1" si="35"/>
        <v>2</v>
      </c>
      <c r="H526" s="11">
        <f ca="1">IF(Table1[[#This Row],[Category]]="Electronics",Table1[[#This Row],[Sales]]*0.6,
IF(Table1[[#This Row],[Category]]="Furniture",Table1[[#This Row],[Sales]]*0.75,
IF(Table1[[#This Row],[Category]]="Clothing",Table1[[#This Row],[Sales]]*0.65,
Table1[[#This Row],[Sales]]*0.7)))</f>
        <v>666.9</v>
      </c>
      <c r="I526" s="11">
        <f ca="1">Table1[[#This Row],[Sales]]-H526</f>
        <v>359.1</v>
      </c>
      <c r="J526" s="2">
        <f ca="1">Table1[[#This Row],[Profit]]/Table1[[#This Row],[Sales]]</f>
        <v>0.35000000000000003</v>
      </c>
      <c r="K526" t="str">
        <f ca="1">TEXT(Table1[[#This Row],[Order_Date]],"mmm")</f>
        <v>Nov</v>
      </c>
      <c r="L526">
        <f ca="1">YEAR(Table1[[#This Row],[Order_Date]])</f>
        <v>2023</v>
      </c>
    </row>
    <row r="527" spans="1:12" x14ac:dyDescent="0.3">
      <c r="A527">
        <f t="shared" si="32"/>
        <v>526</v>
      </c>
      <c r="B527" s="1">
        <f t="shared" ca="1" si="33"/>
        <v>45209</v>
      </c>
      <c r="C527" t="s">
        <v>8</v>
      </c>
      <c r="D527" t="str">
        <f t="shared" ca="1" si="34"/>
        <v>Clothing</v>
      </c>
      <c r="E527" t="s">
        <v>42</v>
      </c>
      <c r="F527" s="11">
        <v>13076</v>
      </c>
      <c r="G527">
        <f t="shared" ca="1" si="35"/>
        <v>10</v>
      </c>
      <c r="H527" s="11">
        <f ca="1">IF(Table1[[#This Row],[Category]]="Electronics",Table1[[#This Row],[Sales]]*0.6,
IF(Table1[[#This Row],[Category]]="Furniture",Table1[[#This Row],[Sales]]*0.75,
IF(Table1[[#This Row],[Category]]="Clothing",Table1[[#This Row],[Sales]]*0.65,
Table1[[#This Row],[Sales]]*0.7)))</f>
        <v>8499.4</v>
      </c>
      <c r="I527" s="11">
        <f ca="1">Table1[[#This Row],[Sales]]-H527</f>
        <v>4576.6000000000004</v>
      </c>
      <c r="J527" s="2">
        <f ca="1">Table1[[#This Row],[Profit]]/Table1[[#This Row],[Sales]]</f>
        <v>0.35000000000000003</v>
      </c>
      <c r="K527" t="str">
        <f ca="1">TEXT(Table1[[#This Row],[Order_Date]],"mmm")</f>
        <v>Oct</v>
      </c>
      <c r="L527">
        <f ca="1">YEAR(Table1[[#This Row],[Order_Date]])</f>
        <v>2023</v>
      </c>
    </row>
    <row r="528" spans="1:12" x14ac:dyDescent="0.3">
      <c r="A528">
        <f t="shared" si="32"/>
        <v>527</v>
      </c>
      <c r="B528" s="1">
        <f t="shared" ca="1" si="33"/>
        <v>45184</v>
      </c>
      <c r="C528" t="s">
        <v>9</v>
      </c>
      <c r="D528" t="str">
        <f t="shared" ca="1" si="34"/>
        <v>Clothing</v>
      </c>
      <c r="E528" t="s">
        <v>58</v>
      </c>
      <c r="F528" s="11">
        <v>19683</v>
      </c>
      <c r="G528">
        <f t="shared" ca="1" si="35"/>
        <v>5</v>
      </c>
      <c r="H528" s="11">
        <f ca="1">IF(Table1[[#This Row],[Category]]="Electronics",Table1[[#This Row],[Sales]]*0.6,
IF(Table1[[#This Row],[Category]]="Furniture",Table1[[#This Row],[Sales]]*0.75,
IF(Table1[[#This Row],[Category]]="Clothing",Table1[[#This Row],[Sales]]*0.65,
Table1[[#This Row],[Sales]]*0.7)))</f>
        <v>12793.95</v>
      </c>
      <c r="I528" s="11">
        <f ca="1">Table1[[#This Row],[Sales]]-H528</f>
        <v>6889.0499999999993</v>
      </c>
      <c r="J528" s="2">
        <f ca="1">Table1[[#This Row],[Profit]]/Table1[[#This Row],[Sales]]</f>
        <v>0.35</v>
      </c>
      <c r="K528" t="str">
        <f ca="1">TEXT(Table1[[#This Row],[Order_Date]],"mmm")</f>
        <v>Sep</v>
      </c>
      <c r="L528">
        <f ca="1">YEAR(Table1[[#This Row],[Order_Date]])</f>
        <v>2023</v>
      </c>
    </row>
    <row r="529" spans="1:12" x14ac:dyDescent="0.3">
      <c r="A529">
        <f t="shared" si="32"/>
        <v>528</v>
      </c>
      <c r="B529" s="1">
        <f t="shared" ca="1" si="33"/>
        <v>45025</v>
      </c>
      <c r="C529" t="s">
        <v>10</v>
      </c>
      <c r="D529" t="str">
        <f t="shared" ca="1" si="34"/>
        <v>Furniture</v>
      </c>
      <c r="E529" t="s">
        <v>38</v>
      </c>
      <c r="F529" s="11">
        <v>6944</v>
      </c>
      <c r="G529">
        <f t="shared" ca="1" si="35"/>
        <v>7</v>
      </c>
      <c r="H529" s="11">
        <f ca="1">IF(Table1[[#This Row],[Category]]="Electronics",Table1[[#This Row],[Sales]]*0.6,
IF(Table1[[#This Row],[Category]]="Furniture",Table1[[#This Row],[Sales]]*0.75,
IF(Table1[[#This Row],[Category]]="Clothing",Table1[[#This Row],[Sales]]*0.65,
Table1[[#This Row],[Sales]]*0.7)))</f>
        <v>5208</v>
      </c>
      <c r="I529" s="11">
        <f ca="1">Table1[[#This Row],[Sales]]-H529</f>
        <v>1736</v>
      </c>
      <c r="J529" s="2">
        <f ca="1">Table1[[#This Row],[Profit]]/Table1[[#This Row],[Sales]]</f>
        <v>0.25</v>
      </c>
      <c r="K529" t="str">
        <f ca="1">TEXT(Table1[[#This Row],[Order_Date]],"mmm")</f>
        <v>Apr</v>
      </c>
      <c r="L529">
        <f ca="1">YEAR(Table1[[#This Row],[Order_Date]])</f>
        <v>2023</v>
      </c>
    </row>
    <row r="530" spans="1:12" x14ac:dyDescent="0.3">
      <c r="A530">
        <f t="shared" si="32"/>
        <v>529</v>
      </c>
      <c r="B530" s="1">
        <f t="shared" ca="1" si="33"/>
        <v>44951</v>
      </c>
      <c r="C530" t="s">
        <v>7</v>
      </c>
      <c r="D530" t="str">
        <f t="shared" ca="1" si="34"/>
        <v>Clothing</v>
      </c>
      <c r="E530" t="s">
        <v>69</v>
      </c>
      <c r="F530" s="11">
        <v>15750</v>
      </c>
      <c r="G530">
        <f t="shared" ca="1" si="35"/>
        <v>6</v>
      </c>
      <c r="H530" s="11">
        <f ca="1">IF(Table1[[#This Row],[Category]]="Electronics",Table1[[#This Row],[Sales]]*0.6,
IF(Table1[[#This Row],[Category]]="Furniture",Table1[[#This Row],[Sales]]*0.75,
IF(Table1[[#This Row],[Category]]="Clothing",Table1[[#This Row],[Sales]]*0.65,
Table1[[#This Row],[Sales]]*0.7)))</f>
        <v>10237.5</v>
      </c>
      <c r="I530" s="11">
        <f ca="1">Table1[[#This Row],[Sales]]-H530</f>
        <v>5512.5</v>
      </c>
      <c r="J530" s="2">
        <f ca="1">Table1[[#This Row],[Profit]]/Table1[[#This Row],[Sales]]</f>
        <v>0.35</v>
      </c>
      <c r="K530" t="str">
        <f ca="1">TEXT(Table1[[#This Row],[Order_Date]],"mmm")</f>
        <v>Jan</v>
      </c>
      <c r="L530">
        <f ca="1">YEAR(Table1[[#This Row],[Order_Date]])</f>
        <v>2023</v>
      </c>
    </row>
    <row r="531" spans="1:12" x14ac:dyDescent="0.3">
      <c r="A531">
        <f t="shared" si="32"/>
        <v>530</v>
      </c>
      <c r="B531" s="1">
        <f t="shared" ca="1" si="33"/>
        <v>44943</v>
      </c>
      <c r="C531" t="s">
        <v>8</v>
      </c>
      <c r="D531" t="str">
        <f t="shared" ca="1" si="34"/>
        <v>Clothing</v>
      </c>
      <c r="E531" t="s">
        <v>81</v>
      </c>
      <c r="F531" s="11">
        <v>19562</v>
      </c>
      <c r="G531">
        <f t="shared" ca="1" si="35"/>
        <v>6</v>
      </c>
      <c r="H531" s="11">
        <f ca="1">IF(Table1[[#This Row],[Category]]="Electronics",Table1[[#This Row],[Sales]]*0.6,
IF(Table1[[#This Row],[Category]]="Furniture",Table1[[#This Row],[Sales]]*0.75,
IF(Table1[[#This Row],[Category]]="Clothing",Table1[[#This Row],[Sales]]*0.65,
Table1[[#This Row],[Sales]]*0.7)))</f>
        <v>12715.300000000001</v>
      </c>
      <c r="I531" s="11">
        <f ca="1">Table1[[#This Row],[Sales]]-H531</f>
        <v>6846.6999999999989</v>
      </c>
      <c r="J531" s="2">
        <f ca="1">Table1[[#This Row],[Profit]]/Table1[[#This Row],[Sales]]</f>
        <v>0.34999999999999992</v>
      </c>
      <c r="K531" t="str">
        <f ca="1">TEXT(Table1[[#This Row],[Order_Date]],"mmm")</f>
        <v>Jan</v>
      </c>
      <c r="L531">
        <f ca="1">YEAR(Table1[[#This Row],[Order_Date]])</f>
        <v>2023</v>
      </c>
    </row>
    <row r="532" spans="1:12" x14ac:dyDescent="0.3">
      <c r="A532">
        <f t="shared" si="32"/>
        <v>531</v>
      </c>
      <c r="B532" s="1">
        <f t="shared" ca="1" si="33"/>
        <v>45008</v>
      </c>
      <c r="C532" t="s">
        <v>9</v>
      </c>
      <c r="D532" t="str">
        <f t="shared" ca="1" si="34"/>
        <v>Electronics</v>
      </c>
      <c r="E532" t="s">
        <v>42</v>
      </c>
      <c r="F532" s="11">
        <v>18055</v>
      </c>
      <c r="G532">
        <f t="shared" ca="1" si="35"/>
        <v>7</v>
      </c>
      <c r="H532" s="11">
        <f ca="1">IF(Table1[[#This Row],[Category]]="Electronics",Table1[[#This Row],[Sales]]*0.6,
IF(Table1[[#This Row],[Category]]="Furniture",Table1[[#This Row],[Sales]]*0.75,
IF(Table1[[#This Row],[Category]]="Clothing",Table1[[#This Row],[Sales]]*0.65,
Table1[[#This Row],[Sales]]*0.7)))</f>
        <v>10833</v>
      </c>
      <c r="I532" s="11">
        <f ca="1">Table1[[#This Row],[Sales]]-H532</f>
        <v>7222</v>
      </c>
      <c r="J532" s="2">
        <f ca="1">Table1[[#This Row],[Profit]]/Table1[[#This Row],[Sales]]</f>
        <v>0.4</v>
      </c>
      <c r="K532" t="str">
        <f ca="1">TEXT(Table1[[#This Row],[Order_Date]],"mmm")</f>
        <v>Mar</v>
      </c>
      <c r="L532">
        <f ca="1">YEAR(Table1[[#This Row],[Order_Date]])</f>
        <v>2023</v>
      </c>
    </row>
    <row r="533" spans="1:12" x14ac:dyDescent="0.3">
      <c r="A533">
        <f t="shared" si="32"/>
        <v>532</v>
      </c>
      <c r="B533" s="1">
        <f t="shared" ca="1" si="33"/>
        <v>45287</v>
      </c>
      <c r="C533" t="s">
        <v>10</v>
      </c>
      <c r="D533" t="str">
        <f t="shared" ca="1" si="34"/>
        <v>Office Supplies</v>
      </c>
      <c r="E533" t="s">
        <v>47</v>
      </c>
      <c r="F533" s="11">
        <v>1464</v>
      </c>
      <c r="G533">
        <f t="shared" ca="1" si="35"/>
        <v>7</v>
      </c>
      <c r="H533" s="11">
        <f ca="1">IF(Table1[[#This Row],[Category]]="Electronics",Table1[[#This Row],[Sales]]*0.6,
IF(Table1[[#This Row],[Category]]="Furniture",Table1[[#This Row],[Sales]]*0.75,
IF(Table1[[#This Row],[Category]]="Clothing",Table1[[#This Row],[Sales]]*0.65,
Table1[[#This Row],[Sales]]*0.7)))</f>
        <v>1024.8</v>
      </c>
      <c r="I533" s="11">
        <f ca="1">Table1[[#This Row],[Sales]]-H533</f>
        <v>439.20000000000005</v>
      </c>
      <c r="J533" s="2">
        <f ca="1">Table1[[#This Row],[Profit]]/Table1[[#This Row],[Sales]]</f>
        <v>0.30000000000000004</v>
      </c>
      <c r="K533" t="str">
        <f ca="1">TEXT(Table1[[#This Row],[Order_Date]],"mmm")</f>
        <v>Dec</v>
      </c>
      <c r="L533">
        <f ca="1">YEAR(Table1[[#This Row],[Order_Date]])</f>
        <v>2023</v>
      </c>
    </row>
    <row r="534" spans="1:12" x14ac:dyDescent="0.3">
      <c r="A534">
        <f t="shared" si="32"/>
        <v>533</v>
      </c>
      <c r="B534" s="1">
        <f t="shared" ca="1" si="33"/>
        <v>45218</v>
      </c>
      <c r="C534" t="s">
        <v>7</v>
      </c>
      <c r="D534" t="str">
        <f t="shared" ca="1" si="34"/>
        <v>Office Supplies</v>
      </c>
      <c r="E534" t="s">
        <v>53</v>
      </c>
      <c r="F534" s="11">
        <v>19766</v>
      </c>
      <c r="G534">
        <f t="shared" ca="1" si="35"/>
        <v>7</v>
      </c>
      <c r="H534" s="11">
        <f ca="1">IF(Table1[[#This Row],[Category]]="Electronics",Table1[[#This Row],[Sales]]*0.6,
IF(Table1[[#This Row],[Category]]="Furniture",Table1[[#This Row],[Sales]]*0.75,
IF(Table1[[#This Row],[Category]]="Clothing",Table1[[#This Row],[Sales]]*0.65,
Table1[[#This Row],[Sales]]*0.7)))</f>
        <v>13836.199999999999</v>
      </c>
      <c r="I534" s="11">
        <f ca="1">Table1[[#This Row],[Sales]]-H534</f>
        <v>5929.8000000000011</v>
      </c>
      <c r="J534" s="2">
        <f ca="1">Table1[[#This Row],[Profit]]/Table1[[#This Row],[Sales]]</f>
        <v>0.30000000000000004</v>
      </c>
      <c r="K534" t="str">
        <f ca="1">TEXT(Table1[[#This Row],[Order_Date]],"mmm")</f>
        <v>Oct</v>
      </c>
      <c r="L534">
        <f ca="1">YEAR(Table1[[#This Row],[Order_Date]])</f>
        <v>2023</v>
      </c>
    </row>
    <row r="535" spans="1:12" x14ac:dyDescent="0.3">
      <c r="A535">
        <f t="shared" si="32"/>
        <v>534</v>
      </c>
      <c r="B535" s="1">
        <f t="shared" ca="1" si="33"/>
        <v>45081</v>
      </c>
      <c r="C535" t="s">
        <v>8</v>
      </c>
      <c r="D535" t="str">
        <f t="shared" ca="1" si="34"/>
        <v>Clothing</v>
      </c>
      <c r="E535" t="s">
        <v>37</v>
      </c>
      <c r="F535" s="11">
        <v>7105</v>
      </c>
      <c r="G535">
        <f t="shared" ca="1" si="35"/>
        <v>6</v>
      </c>
      <c r="H535" s="11">
        <f ca="1">IF(Table1[[#This Row],[Category]]="Electronics",Table1[[#This Row],[Sales]]*0.6,
IF(Table1[[#This Row],[Category]]="Furniture",Table1[[#This Row],[Sales]]*0.75,
IF(Table1[[#This Row],[Category]]="Clothing",Table1[[#This Row],[Sales]]*0.65,
Table1[[#This Row],[Sales]]*0.7)))</f>
        <v>4618.25</v>
      </c>
      <c r="I535" s="11">
        <f ca="1">Table1[[#This Row],[Sales]]-H535</f>
        <v>2486.75</v>
      </c>
      <c r="J535" s="2">
        <f ca="1">Table1[[#This Row],[Profit]]/Table1[[#This Row],[Sales]]</f>
        <v>0.35</v>
      </c>
      <c r="K535" t="str">
        <f ca="1">TEXT(Table1[[#This Row],[Order_Date]],"mmm")</f>
        <v>Jun</v>
      </c>
      <c r="L535">
        <f ca="1">YEAR(Table1[[#This Row],[Order_Date]])</f>
        <v>2023</v>
      </c>
    </row>
    <row r="536" spans="1:12" x14ac:dyDescent="0.3">
      <c r="A536">
        <f t="shared" si="32"/>
        <v>535</v>
      </c>
      <c r="B536" s="1">
        <f t="shared" ca="1" si="33"/>
        <v>45009</v>
      </c>
      <c r="C536" t="s">
        <v>9</v>
      </c>
      <c r="D536" t="str">
        <f t="shared" ca="1" si="34"/>
        <v>Clothing</v>
      </c>
      <c r="E536" t="s">
        <v>70</v>
      </c>
      <c r="F536" s="11">
        <v>12929</v>
      </c>
      <c r="G536">
        <f t="shared" ca="1" si="35"/>
        <v>8</v>
      </c>
      <c r="H536" s="11">
        <f ca="1">IF(Table1[[#This Row],[Category]]="Electronics",Table1[[#This Row],[Sales]]*0.6,
IF(Table1[[#This Row],[Category]]="Furniture",Table1[[#This Row],[Sales]]*0.75,
IF(Table1[[#This Row],[Category]]="Clothing",Table1[[#This Row],[Sales]]*0.65,
Table1[[#This Row],[Sales]]*0.7)))</f>
        <v>8403.85</v>
      </c>
      <c r="I536" s="11">
        <f ca="1">Table1[[#This Row],[Sales]]-H536</f>
        <v>4525.1499999999996</v>
      </c>
      <c r="J536" s="2">
        <f ca="1">Table1[[#This Row],[Profit]]/Table1[[#This Row],[Sales]]</f>
        <v>0.35</v>
      </c>
      <c r="K536" t="str">
        <f ca="1">TEXT(Table1[[#This Row],[Order_Date]],"mmm")</f>
        <v>Mar</v>
      </c>
      <c r="L536">
        <f ca="1">YEAR(Table1[[#This Row],[Order_Date]])</f>
        <v>2023</v>
      </c>
    </row>
    <row r="537" spans="1:12" x14ac:dyDescent="0.3">
      <c r="A537">
        <f t="shared" si="32"/>
        <v>536</v>
      </c>
      <c r="B537" s="1">
        <f t="shared" ca="1" si="33"/>
        <v>45020</v>
      </c>
      <c r="C537" t="s">
        <v>10</v>
      </c>
      <c r="D537" t="str">
        <f t="shared" ca="1" si="34"/>
        <v>Electronics</v>
      </c>
      <c r="E537" t="s">
        <v>75</v>
      </c>
      <c r="F537" s="11">
        <v>5754</v>
      </c>
      <c r="G537">
        <f t="shared" ca="1" si="35"/>
        <v>3</v>
      </c>
      <c r="H537" s="11">
        <f ca="1">IF(Table1[[#This Row],[Category]]="Electronics",Table1[[#This Row],[Sales]]*0.6,
IF(Table1[[#This Row],[Category]]="Furniture",Table1[[#This Row],[Sales]]*0.75,
IF(Table1[[#This Row],[Category]]="Clothing",Table1[[#This Row],[Sales]]*0.65,
Table1[[#This Row],[Sales]]*0.7)))</f>
        <v>3452.4</v>
      </c>
      <c r="I537" s="11">
        <f ca="1">Table1[[#This Row],[Sales]]-H537</f>
        <v>2301.6</v>
      </c>
      <c r="J537" s="2">
        <f ca="1">Table1[[#This Row],[Profit]]/Table1[[#This Row],[Sales]]</f>
        <v>0.39999999999999997</v>
      </c>
      <c r="K537" t="str">
        <f ca="1">TEXT(Table1[[#This Row],[Order_Date]],"mmm")</f>
        <v>Apr</v>
      </c>
      <c r="L537">
        <f ca="1">YEAR(Table1[[#This Row],[Order_Date]])</f>
        <v>2023</v>
      </c>
    </row>
    <row r="538" spans="1:12" x14ac:dyDescent="0.3">
      <c r="A538">
        <f t="shared" si="32"/>
        <v>537</v>
      </c>
      <c r="B538" s="1">
        <f t="shared" ca="1" si="33"/>
        <v>45263</v>
      </c>
      <c r="C538" t="s">
        <v>7</v>
      </c>
      <c r="D538" t="str">
        <f t="shared" ca="1" si="34"/>
        <v>Electronics</v>
      </c>
      <c r="E538" t="s">
        <v>54</v>
      </c>
      <c r="F538" s="11">
        <v>12641</v>
      </c>
      <c r="G538">
        <f t="shared" ca="1" si="35"/>
        <v>2</v>
      </c>
      <c r="H538" s="11">
        <f ca="1">IF(Table1[[#This Row],[Category]]="Electronics",Table1[[#This Row],[Sales]]*0.6,
IF(Table1[[#This Row],[Category]]="Furniture",Table1[[#This Row],[Sales]]*0.75,
IF(Table1[[#This Row],[Category]]="Clothing",Table1[[#This Row],[Sales]]*0.65,
Table1[[#This Row],[Sales]]*0.7)))</f>
        <v>7584.5999999999995</v>
      </c>
      <c r="I538" s="11">
        <f ca="1">Table1[[#This Row],[Sales]]-H538</f>
        <v>5056.4000000000005</v>
      </c>
      <c r="J538" s="2">
        <f ca="1">Table1[[#This Row],[Profit]]/Table1[[#This Row],[Sales]]</f>
        <v>0.4</v>
      </c>
      <c r="K538" t="str">
        <f ca="1">TEXT(Table1[[#This Row],[Order_Date]],"mmm")</f>
        <v>Dec</v>
      </c>
      <c r="L538">
        <f ca="1">YEAR(Table1[[#This Row],[Order_Date]])</f>
        <v>2023</v>
      </c>
    </row>
    <row r="539" spans="1:12" x14ac:dyDescent="0.3">
      <c r="A539">
        <f t="shared" si="32"/>
        <v>538</v>
      </c>
      <c r="B539" s="1">
        <f t="shared" ca="1" si="33"/>
        <v>44991</v>
      </c>
      <c r="C539" t="s">
        <v>8</v>
      </c>
      <c r="D539" t="str">
        <f t="shared" ca="1" si="34"/>
        <v>Office Supplies</v>
      </c>
      <c r="E539" t="s">
        <v>83</v>
      </c>
      <c r="F539" s="11">
        <v>6452</v>
      </c>
      <c r="G539">
        <f t="shared" ca="1" si="35"/>
        <v>5</v>
      </c>
      <c r="H539" s="11">
        <f ca="1">IF(Table1[[#This Row],[Category]]="Electronics",Table1[[#This Row],[Sales]]*0.6,
IF(Table1[[#This Row],[Category]]="Furniture",Table1[[#This Row],[Sales]]*0.75,
IF(Table1[[#This Row],[Category]]="Clothing",Table1[[#This Row],[Sales]]*0.65,
Table1[[#This Row],[Sales]]*0.7)))</f>
        <v>4516.3999999999996</v>
      </c>
      <c r="I539" s="11">
        <f ca="1">Table1[[#This Row],[Sales]]-H539</f>
        <v>1935.6000000000004</v>
      </c>
      <c r="J539" s="2">
        <f ca="1">Table1[[#This Row],[Profit]]/Table1[[#This Row],[Sales]]</f>
        <v>0.30000000000000004</v>
      </c>
      <c r="K539" t="str">
        <f ca="1">TEXT(Table1[[#This Row],[Order_Date]],"mmm")</f>
        <v>Mar</v>
      </c>
      <c r="L539">
        <f ca="1">YEAR(Table1[[#This Row],[Order_Date]])</f>
        <v>2023</v>
      </c>
    </row>
    <row r="540" spans="1:12" x14ac:dyDescent="0.3">
      <c r="A540">
        <f t="shared" si="32"/>
        <v>539</v>
      </c>
      <c r="B540" s="1">
        <f t="shared" ca="1" si="33"/>
        <v>45284</v>
      </c>
      <c r="C540" t="s">
        <v>9</v>
      </c>
      <c r="D540" t="str">
        <f t="shared" ca="1" si="34"/>
        <v>Clothing</v>
      </c>
      <c r="E540" t="s">
        <v>57</v>
      </c>
      <c r="F540" s="11">
        <v>11881</v>
      </c>
      <c r="G540">
        <f t="shared" ca="1" si="35"/>
        <v>9</v>
      </c>
      <c r="H540" s="11">
        <f ca="1">IF(Table1[[#This Row],[Category]]="Electronics",Table1[[#This Row],[Sales]]*0.6,
IF(Table1[[#This Row],[Category]]="Furniture",Table1[[#This Row],[Sales]]*0.75,
IF(Table1[[#This Row],[Category]]="Clothing",Table1[[#This Row],[Sales]]*0.65,
Table1[[#This Row],[Sales]]*0.7)))</f>
        <v>7722.6500000000005</v>
      </c>
      <c r="I540" s="11">
        <f ca="1">Table1[[#This Row],[Sales]]-H540</f>
        <v>4158.3499999999995</v>
      </c>
      <c r="J540" s="2">
        <f ca="1">Table1[[#This Row],[Profit]]/Table1[[#This Row],[Sales]]</f>
        <v>0.35</v>
      </c>
      <c r="K540" t="str">
        <f ca="1">TEXT(Table1[[#This Row],[Order_Date]],"mmm")</f>
        <v>Dec</v>
      </c>
      <c r="L540">
        <f ca="1">YEAR(Table1[[#This Row],[Order_Date]])</f>
        <v>2023</v>
      </c>
    </row>
    <row r="541" spans="1:12" x14ac:dyDescent="0.3">
      <c r="A541">
        <f t="shared" si="32"/>
        <v>540</v>
      </c>
      <c r="B541" s="1">
        <f t="shared" ca="1" si="33"/>
        <v>45042</v>
      </c>
      <c r="C541" t="s">
        <v>10</v>
      </c>
      <c r="D541" t="str">
        <f t="shared" ca="1" si="34"/>
        <v>Clothing</v>
      </c>
      <c r="E541" t="s">
        <v>52</v>
      </c>
      <c r="F541" s="11">
        <v>19990</v>
      </c>
      <c r="G541">
        <f t="shared" ca="1" si="35"/>
        <v>4</v>
      </c>
      <c r="H541" s="11">
        <f ca="1">IF(Table1[[#This Row],[Category]]="Electronics",Table1[[#This Row],[Sales]]*0.6,
IF(Table1[[#This Row],[Category]]="Furniture",Table1[[#This Row],[Sales]]*0.75,
IF(Table1[[#This Row],[Category]]="Clothing",Table1[[#This Row],[Sales]]*0.65,
Table1[[#This Row],[Sales]]*0.7)))</f>
        <v>12993.5</v>
      </c>
      <c r="I541" s="11">
        <f ca="1">Table1[[#This Row],[Sales]]-H541</f>
        <v>6996.5</v>
      </c>
      <c r="J541" s="2">
        <f ca="1">Table1[[#This Row],[Profit]]/Table1[[#This Row],[Sales]]</f>
        <v>0.35</v>
      </c>
      <c r="K541" t="str">
        <f ca="1">TEXT(Table1[[#This Row],[Order_Date]],"mmm")</f>
        <v>Apr</v>
      </c>
      <c r="L541">
        <f ca="1">YEAR(Table1[[#This Row],[Order_Date]])</f>
        <v>2023</v>
      </c>
    </row>
    <row r="542" spans="1:12" x14ac:dyDescent="0.3">
      <c r="A542">
        <f t="shared" si="32"/>
        <v>541</v>
      </c>
      <c r="B542" s="1">
        <f t="shared" ca="1" si="33"/>
        <v>45025</v>
      </c>
      <c r="C542" t="s">
        <v>7</v>
      </c>
      <c r="D542" t="str">
        <f t="shared" ca="1" si="34"/>
        <v>Clothing</v>
      </c>
      <c r="E542" t="s">
        <v>77</v>
      </c>
      <c r="F542" s="11">
        <v>19052</v>
      </c>
      <c r="G542">
        <f t="shared" ca="1" si="35"/>
        <v>10</v>
      </c>
      <c r="H542" s="11">
        <f ca="1">IF(Table1[[#This Row],[Category]]="Electronics",Table1[[#This Row],[Sales]]*0.6,
IF(Table1[[#This Row],[Category]]="Furniture",Table1[[#This Row],[Sales]]*0.75,
IF(Table1[[#This Row],[Category]]="Clothing",Table1[[#This Row],[Sales]]*0.65,
Table1[[#This Row],[Sales]]*0.7)))</f>
        <v>12383.800000000001</v>
      </c>
      <c r="I542" s="11">
        <f ca="1">Table1[[#This Row],[Sales]]-H542</f>
        <v>6668.1999999999989</v>
      </c>
      <c r="J542" s="2">
        <f ca="1">Table1[[#This Row],[Profit]]/Table1[[#This Row],[Sales]]</f>
        <v>0.34999999999999992</v>
      </c>
      <c r="K542" t="str">
        <f ca="1">TEXT(Table1[[#This Row],[Order_Date]],"mmm")</f>
        <v>Apr</v>
      </c>
      <c r="L542">
        <f ca="1">YEAR(Table1[[#This Row],[Order_Date]])</f>
        <v>2023</v>
      </c>
    </row>
    <row r="543" spans="1:12" x14ac:dyDescent="0.3">
      <c r="A543">
        <f t="shared" si="32"/>
        <v>542</v>
      </c>
      <c r="B543" s="1">
        <f t="shared" ca="1" si="33"/>
        <v>45195</v>
      </c>
      <c r="C543" t="s">
        <v>8</v>
      </c>
      <c r="D543" t="str">
        <f t="shared" ca="1" si="34"/>
        <v>Furniture</v>
      </c>
      <c r="E543" t="s">
        <v>66</v>
      </c>
      <c r="F543" s="11">
        <v>757</v>
      </c>
      <c r="G543">
        <f t="shared" ca="1" si="35"/>
        <v>8</v>
      </c>
      <c r="H543" s="11">
        <f ca="1">IF(Table1[[#This Row],[Category]]="Electronics",Table1[[#This Row],[Sales]]*0.6,
IF(Table1[[#This Row],[Category]]="Furniture",Table1[[#This Row],[Sales]]*0.75,
IF(Table1[[#This Row],[Category]]="Clothing",Table1[[#This Row],[Sales]]*0.65,
Table1[[#This Row],[Sales]]*0.7)))</f>
        <v>567.75</v>
      </c>
      <c r="I543" s="11">
        <f ca="1">Table1[[#This Row],[Sales]]-H543</f>
        <v>189.25</v>
      </c>
      <c r="J543" s="2">
        <f ca="1">Table1[[#This Row],[Profit]]/Table1[[#This Row],[Sales]]</f>
        <v>0.25</v>
      </c>
      <c r="K543" t="str">
        <f ca="1">TEXT(Table1[[#This Row],[Order_Date]],"mmm")</f>
        <v>Sep</v>
      </c>
      <c r="L543">
        <f ca="1">YEAR(Table1[[#This Row],[Order_Date]])</f>
        <v>2023</v>
      </c>
    </row>
    <row r="544" spans="1:12" x14ac:dyDescent="0.3">
      <c r="A544">
        <f t="shared" si="32"/>
        <v>543</v>
      </c>
      <c r="B544" s="1">
        <f t="shared" ca="1" si="33"/>
        <v>45057</v>
      </c>
      <c r="C544" t="s">
        <v>9</v>
      </c>
      <c r="D544" t="str">
        <f t="shared" ca="1" si="34"/>
        <v>Electronics</v>
      </c>
      <c r="E544" t="s">
        <v>64</v>
      </c>
      <c r="F544" s="11">
        <v>15048</v>
      </c>
      <c r="G544">
        <f t="shared" ca="1" si="35"/>
        <v>9</v>
      </c>
      <c r="H544" s="11">
        <f ca="1">IF(Table1[[#This Row],[Category]]="Electronics",Table1[[#This Row],[Sales]]*0.6,
IF(Table1[[#This Row],[Category]]="Furniture",Table1[[#This Row],[Sales]]*0.75,
IF(Table1[[#This Row],[Category]]="Clothing",Table1[[#This Row],[Sales]]*0.65,
Table1[[#This Row],[Sales]]*0.7)))</f>
        <v>9028.7999999999993</v>
      </c>
      <c r="I544" s="11">
        <f ca="1">Table1[[#This Row],[Sales]]-H544</f>
        <v>6019.2000000000007</v>
      </c>
      <c r="J544" s="2">
        <f ca="1">Table1[[#This Row],[Profit]]/Table1[[#This Row],[Sales]]</f>
        <v>0.4</v>
      </c>
      <c r="K544" t="str">
        <f ca="1">TEXT(Table1[[#This Row],[Order_Date]],"mmm")</f>
        <v>May</v>
      </c>
      <c r="L544">
        <f ca="1">YEAR(Table1[[#This Row],[Order_Date]])</f>
        <v>2023</v>
      </c>
    </row>
    <row r="545" spans="1:12" x14ac:dyDescent="0.3">
      <c r="A545">
        <f t="shared" si="32"/>
        <v>544</v>
      </c>
      <c r="B545" s="1">
        <f t="shared" ca="1" si="33"/>
        <v>45120</v>
      </c>
      <c r="C545" t="s">
        <v>10</v>
      </c>
      <c r="D545" t="str">
        <f t="shared" ca="1" si="34"/>
        <v>Office Supplies</v>
      </c>
      <c r="E545" t="s">
        <v>55</v>
      </c>
      <c r="F545" s="11">
        <v>10599</v>
      </c>
      <c r="G545">
        <f t="shared" ca="1" si="35"/>
        <v>10</v>
      </c>
      <c r="H545" s="11">
        <f ca="1">IF(Table1[[#This Row],[Category]]="Electronics",Table1[[#This Row],[Sales]]*0.6,
IF(Table1[[#This Row],[Category]]="Furniture",Table1[[#This Row],[Sales]]*0.75,
IF(Table1[[#This Row],[Category]]="Clothing",Table1[[#This Row],[Sales]]*0.65,
Table1[[#This Row],[Sales]]*0.7)))</f>
        <v>7419.2999999999993</v>
      </c>
      <c r="I545" s="11">
        <f ca="1">Table1[[#This Row],[Sales]]-H545</f>
        <v>3179.7000000000007</v>
      </c>
      <c r="J545" s="2">
        <f ca="1">Table1[[#This Row],[Profit]]/Table1[[#This Row],[Sales]]</f>
        <v>0.30000000000000004</v>
      </c>
      <c r="K545" t="str">
        <f ca="1">TEXT(Table1[[#This Row],[Order_Date]],"mmm")</f>
        <v>Jul</v>
      </c>
      <c r="L545">
        <f ca="1">YEAR(Table1[[#This Row],[Order_Date]])</f>
        <v>2023</v>
      </c>
    </row>
    <row r="546" spans="1:12" x14ac:dyDescent="0.3">
      <c r="A546">
        <f t="shared" si="32"/>
        <v>545</v>
      </c>
      <c r="B546" s="1">
        <f t="shared" ca="1" si="33"/>
        <v>45022</v>
      </c>
      <c r="C546" t="s">
        <v>7</v>
      </c>
      <c r="D546" t="str">
        <f t="shared" ca="1" si="34"/>
        <v>Office Supplies</v>
      </c>
      <c r="E546" t="s">
        <v>75</v>
      </c>
      <c r="F546" s="11">
        <v>1513</v>
      </c>
      <c r="G546">
        <f t="shared" ca="1" si="35"/>
        <v>3</v>
      </c>
      <c r="H546" s="11">
        <f ca="1">IF(Table1[[#This Row],[Category]]="Electronics",Table1[[#This Row],[Sales]]*0.6,
IF(Table1[[#This Row],[Category]]="Furniture",Table1[[#This Row],[Sales]]*0.75,
IF(Table1[[#This Row],[Category]]="Clothing",Table1[[#This Row],[Sales]]*0.65,
Table1[[#This Row],[Sales]]*0.7)))</f>
        <v>1059.0999999999999</v>
      </c>
      <c r="I546" s="11">
        <f ca="1">Table1[[#This Row],[Sales]]-H546</f>
        <v>453.90000000000009</v>
      </c>
      <c r="J546" s="2">
        <f ca="1">Table1[[#This Row],[Profit]]/Table1[[#This Row],[Sales]]</f>
        <v>0.30000000000000004</v>
      </c>
      <c r="K546" t="str">
        <f ca="1">TEXT(Table1[[#This Row],[Order_Date]],"mmm")</f>
        <v>Apr</v>
      </c>
      <c r="L546">
        <f ca="1">YEAR(Table1[[#This Row],[Order_Date]])</f>
        <v>2023</v>
      </c>
    </row>
    <row r="547" spans="1:12" x14ac:dyDescent="0.3">
      <c r="A547">
        <f t="shared" si="32"/>
        <v>546</v>
      </c>
      <c r="B547" s="1">
        <f t="shared" ca="1" si="33"/>
        <v>44970</v>
      </c>
      <c r="C547" t="s">
        <v>8</v>
      </c>
      <c r="D547" t="str">
        <f t="shared" ca="1" si="34"/>
        <v>Office Supplies</v>
      </c>
      <c r="E547" t="s">
        <v>78</v>
      </c>
      <c r="F547" s="11">
        <v>5439</v>
      </c>
      <c r="G547">
        <f t="shared" ca="1" si="35"/>
        <v>4</v>
      </c>
      <c r="H547" s="11">
        <f ca="1">IF(Table1[[#This Row],[Category]]="Electronics",Table1[[#This Row],[Sales]]*0.6,
IF(Table1[[#This Row],[Category]]="Furniture",Table1[[#This Row],[Sales]]*0.75,
IF(Table1[[#This Row],[Category]]="Clothing",Table1[[#This Row],[Sales]]*0.65,
Table1[[#This Row],[Sales]]*0.7)))</f>
        <v>3807.2999999999997</v>
      </c>
      <c r="I547" s="11">
        <f ca="1">Table1[[#This Row],[Sales]]-H547</f>
        <v>1631.7000000000003</v>
      </c>
      <c r="J547" s="2">
        <f ca="1">Table1[[#This Row],[Profit]]/Table1[[#This Row],[Sales]]</f>
        <v>0.30000000000000004</v>
      </c>
      <c r="K547" t="str">
        <f ca="1">TEXT(Table1[[#This Row],[Order_Date]],"mmm")</f>
        <v>Feb</v>
      </c>
      <c r="L547">
        <f ca="1">YEAR(Table1[[#This Row],[Order_Date]])</f>
        <v>2023</v>
      </c>
    </row>
    <row r="548" spans="1:12" x14ac:dyDescent="0.3">
      <c r="A548">
        <f t="shared" si="32"/>
        <v>547</v>
      </c>
      <c r="B548" s="1">
        <f t="shared" ca="1" si="33"/>
        <v>45061</v>
      </c>
      <c r="C548" t="s">
        <v>9</v>
      </c>
      <c r="D548" t="str">
        <f t="shared" ca="1" si="34"/>
        <v>Electronics</v>
      </c>
      <c r="E548" t="s">
        <v>58</v>
      </c>
      <c r="F548" s="11">
        <v>1197</v>
      </c>
      <c r="G548">
        <f t="shared" ca="1" si="35"/>
        <v>4</v>
      </c>
      <c r="H548" s="11">
        <f ca="1">IF(Table1[[#This Row],[Category]]="Electronics",Table1[[#This Row],[Sales]]*0.6,
IF(Table1[[#This Row],[Category]]="Furniture",Table1[[#This Row],[Sales]]*0.75,
IF(Table1[[#This Row],[Category]]="Clothing",Table1[[#This Row],[Sales]]*0.65,
Table1[[#This Row],[Sales]]*0.7)))</f>
        <v>718.19999999999993</v>
      </c>
      <c r="I548" s="11">
        <f ca="1">Table1[[#This Row],[Sales]]-H548</f>
        <v>478.80000000000007</v>
      </c>
      <c r="J548" s="2">
        <f ca="1">Table1[[#This Row],[Profit]]/Table1[[#This Row],[Sales]]</f>
        <v>0.40000000000000008</v>
      </c>
      <c r="K548" t="str">
        <f ca="1">TEXT(Table1[[#This Row],[Order_Date]],"mmm")</f>
        <v>May</v>
      </c>
      <c r="L548">
        <f ca="1">YEAR(Table1[[#This Row],[Order_Date]])</f>
        <v>2023</v>
      </c>
    </row>
    <row r="549" spans="1:12" x14ac:dyDescent="0.3">
      <c r="A549">
        <f t="shared" si="32"/>
        <v>548</v>
      </c>
      <c r="B549" s="1">
        <f t="shared" ca="1" si="33"/>
        <v>45237</v>
      </c>
      <c r="C549" t="s">
        <v>10</v>
      </c>
      <c r="D549" t="str">
        <f t="shared" ca="1" si="34"/>
        <v>Clothing</v>
      </c>
      <c r="E549" t="s">
        <v>59</v>
      </c>
      <c r="F549" s="11">
        <v>8242</v>
      </c>
      <c r="G549">
        <f t="shared" ca="1" si="35"/>
        <v>3</v>
      </c>
      <c r="H549" s="11">
        <f ca="1">IF(Table1[[#This Row],[Category]]="Electronics",Table1[[#This Row],[Sales]]*0.6,
IF(Table1[[#This Row],[Category]]="Furniture",Table1[[#This Row],[Sales]]*0.75,
IF(Table1[[#This Row],[Category]]="Clothing",Table1[[#This Row],[Sales]]*0.65,
Table1[[#This Row],[Sales]]*0.7)))</f>
        <v>5357.3</v>
      </c>
      <c r="I549" s="11">
        <f ca="1">Table1[[#This Row],[Sales]]-H549</f>
        <v>2884.7</v>
      </c>
      <c r="J549" s="2">
        <f ca="1">Table1[[#This Row],[Profit]]/Table1[[#This Row],[Sales]]</f>
        <v>0.35</v>
      </c>
      <c r="K549" t="str">
        <f ca="1">TEXT(Table1[[#This Row],[Order_Date]],"mmm")</f>
        <v>Nov</v>
      </c>
      <c r="L549">
        <f ca="1">YEAR(Table1[[#This Row],[Order_Date]])</f>
        <v>2023</v>
      </c>
    </row>
    <row r="550" spans="1:12" x14ac:dyDescent="0.3">
      <c r="A550">
        <f t="shared" si="32"/>
        <v>549</v>
      </c>
      <c r="B550" s="1">
        <f t="shared" ca="1" si="33"/>
        <v>45243</v>
      </c>
      <c r="C550" t="s">
        <v>7</v>
      </c>
      <c r="D550" t="str">
        <f t="shared" ca="1" si="34"/>
        <v>Office Supplies</v>
      </c>
      <c r="E550" t="s">
        <v>48</v>
      </c>
      <c r="F550" s="11">
        <v>14258</v>
      </c>
      <c r="G550">
        <f t="shared" ca="1" si="35"/>
        <v>10</v>
      </c>
      <c r="H550" s="11">
        <f ca="1">IF(Table1[[#This Row],[Category]]="Electronics",Table1[[#This Row],[Sales]]*0.6,
IF(Table1[[#This Row],[Category]]="Furniture",Table1[[#This Row],[Sales]]*0.75,
IF(Table1[[#This Row],[Category]]="Clothing",Table1[[#This Row],[Sales]]*0.65,
Table1[[#This Row],[Sales]]*0.7)))</f>
        <v>9980.5999999999985</v>
      </c>
      <c r="I550" s="11">
        <f ca="1">Table1[[#This Row],[Sales]]-H550</f>
        <v>4277.4000000000015</v>
      </c>
      <c r="J550" s="2">
        <f ca="1">Table1[[#This Row],[Profit]]/Table1[[#This Row],[Sales]]</f>
        <v>0.3000000000000001</v>
      </c>
      <c r="K550" t="str">
        <f ca="1">TEXT(Table1[[#This Row],[Order_Date]],"mmm")</f>
        <v>Nov</v>
      </c>
      <c r="L550">
        <f ca="1">YEAR(Table1[[#This Row],[Order_Date]])</f>
        <v>2023</v>
      </c>
    </row>
    <row r="551" spans="1:12" x14ac:dyDescent="0.3">
      <c r="A551">
        <f t="shared" si="32"/>
        <v>550</v>
      </c>
      <c r="B551" s="1">
        <f t="shared" ca="1" si="33"/>
        <v>44964</v>
      </c>
      <c r="C551" t="s">
        <v>8</v>
      </c>
      <c r="D551" t="str">
        <f t="shared" ca="1" si="34"/>
        <v>Furniture</v>
      </c>
      <c r="E551" t="s">
        <v>51</v>
      </c>
      <c r="F551" s="11">
        <v>5015</v>
      </c>
      <c r="G551">
        <f t="shared" ca="1" si="35"/>
        <v>5</v>
      </c>
      <c r="H551" s="11">
        <f ca="1">IF(Table1[[#This Row],[Category]]="Electronics",Table1[[#This Row],[Sales]]*0.6,
IF(Table1[[#This Row],[Category]]="Furniture",Table1[[#This Row],[Sales]]*0.75,
IF(Table1[[#This Row],[Category]]="Clothing",Table1[[#This Row],[Sales]]*0.65,
Table1[[#This Row],[Sales]]*0.7)))</f>
        <v>3761.25</v>
      </c>
      <c r="I551" s="11">
        <f ca="1">Table1[[#This Row],[Sales]]-H551</f>
        <v>1253.75</v>
      </c>
      <c r="J551" s="2">
        <f ca="1">Table1[[#This Row],[Profit]]/Table1[[#This Row],[Sales]]</f>
        <v>0.25</v>
      </c>
      <c r="K551" t="str">
        <f ca="1">TEXT(Table1[[#This Row],[Order_Date]],"mmm")</f>
        <v>Feb</v>
      </c>
      <c r="L551">
        <f ca="1">YEAR(Table1[[#This Row],[Order_Date]])</f>
        <v>2023</v>
      </c>
    </row>
    <row r="552" spans="1:12" x14ac:dyDescent="0.3">
      <c r="A552">
        <f t="shared" si="32"/>
        <v>551</v>
      </c>
      <c r="B552" s="1">
        <f t="shared" ca="1" si="33"/>
        <v>44978</v>
      </c>
      <c r="C552" t="s">
        <v>9</v>
      </c>
      <c r="D552" t="str">
        <f t="shared" ca="1" si="34"/>
        <v>Office Supplies</v>
      </c>
      <c r="E552" t="s">
        <v>58</v>
      </c>
      <c r="F552" s="11">
        <v>3834</v>
      </c>
      <c r="G552">
        <f t="shared" ca="1" si="35"/>
        <v>5</v>
      </c>
      <c r="H552" s="11">
        <f ca="1">IF(Table1[[#This Row],[Category]]="Electronics",Table1[[#This Row],[Sales]]*0.6,
IF(Table1[[#This Row],[Category]]="Furniture",Table1[[#This Row],[Sales]]*0.75,
IF(Table1[[#This Row],[Category]]="Clothing",Table1[[#This Row],[Sales]]*0.65,
Table1[[#This Row],[Sales]]*0.7)))</f>
        <v>2683.7999999999997</v>
      </c>
      <c r="I552" s="11">
        <f ca="1">Table1[[#This Row],[Sales]]-H552</f>
        <v>1150.2000000000003</v>
      </c>
      <c r="J552" s="2">
        <f ca="1">Table1[[#This Row],[Profit]]/Table1[[#This Row],[Sales]]</f>
        <v>0.30000000000000004</v>
      </c>
      <c r="K552" t="str">
        <f ca="1">TEXT(Table1[[#This Row],[Order_Date]],"mmm")</f>
        <v>Feb</v>
      </c>
      <c r="L552">
        <f ca="1">YEAR(Table1[[#This Row],[Order_Date]])</f>
        <v>2023</v>
      </c>
    </row>
    <row r="553" spans="1:12" x14ac:dyDescent="0.3">
      <c r="A553">
        <f t="shared" si="32"/>
        <v>552</v>
      </c>
      <c r="B553" s="1">
        <f t="shared" ca="1" si="33"/>
        <v>44962</v>
      </c>
      <c r="C553" t="s">
        <v>10</v>
      </c>
      <c r="D553" t="str">
        <f t="shared" ca="1" si="34"/>
        <v>Office Supplies</v>
      </c>
      <c r="E553" t="s">
        <v>55</v>
      </c>
      <c r="F553" s="11">
        <v>581</v>
      </c>
      <c r="G553">
        <f t="shared" ca="1" si="35"/>
        <v>2</v>
      </c>
      <c r="H553" s="11">
        <f ca="1">IF(Table1[[#This Row],[Category]]="Electronics",Table1[[#This Row],[Sales]]*0.6,
IF(Table1[[#This Row],[Category]]="Furniture",Table1[[#This Row],[Sales]]*0.75,
IF(Table1[[#This Row],[Category]]="Clothing",Table1[[#This Row],[Sales]]*0.65,
Table1[[#This Row],[Sales]]*0.7)))</f>
        <v>406.7</v>
      </c>
      <c r="I553" s="11">
        <f ca="1">Table1[[#This Row],[Sales]]-H553</f>
        <v>174.3</v>
      </c>
      <c r="J553" s="2">
        <f ca="1">Table1[[#This Row],[Profit]]/Table1[[#This Row],[Sales]]</f>
        <v>0.30000000000000004</v>
      </c>
      <c r="K553" t="str">
        <f ca="1">TEXT(Table1[[#This Row],[Order_Date]],"mmm")</f>
        <v>Feb</v>
      </c>
      <c r="L553">
        <f ca="1">YEAR(Table1[[#This Row],[Order_Date]])</f>
        <v>2023</v>
      </c>
    </row>
    <row r="554" spans="1:12" x14ac:dyDescent="0.3">
      <c r="A554">
        <f t="shared" si="32"/>
        <v>553</v>
      </c>
      <c r="B554" s="1">
        <f t="shared" ca="1" si="33"/>
        <v>45268</v>
      </c>
      <c r="C554" t="s">
        <v>7</v>
      </c>
      <c r="D554" t="str">
        <f t="shared" ca="1" si="34"/>
        <v>Clothing</v>
      </c>
      <c r="E554" t="s">
        <v>45</v>
      </c>
      <c r="F554" s="11">
        <v>13765</v>
      </c>
      <c r="G554">
        <f t="shared" ca="1" si="35"/>
        <v>3</v>
      </c>
      <c r="H554" s="11">
        <f ca="1">IF(Table1[[#This Row],[Category]]="Electronics",Table1[[#This Row],[Sales]]*0.6,
IF(Table1[[#This Row],[Category]]="Furniture",Table1[[#This Row],[Sales]]*0.75,
IF(Table1[[#This Row],[Category]]="Clothing",Table1[[#This Row],[Sales]]*0.65,
Table1[[#This Row],[Sales]]*0.7)))</f>
        <v>8947.25</v>
      </c>
      <c r="I554" s="11">
        <f ca="1">Table1[[#This Row],[Sales]]-H554</f>
        <v>4817.75</v>
      </c>
      <c r="J554" s="2">
        <f ca="1">Table1[[#This Row],[Profit]]/Table1[[#This Row],[Sales]]</f>
        <v>0.35</v>
      </c>
      <c r="K554" t="str">
        <f ca="1">TEXT(Table1[[#This Row],[Order_Date]],"mmm")</f>
        <v>Dec</v>
      </c>
      <c r="L554">
        <f ca="1">YEAR(Table1[[#This Row],[Order_Date]])</f>
        <v>2023</v>
      </c>
    </row>
    <row r="555" spans="1:12" x14ac:dyDescent="0.3">
      <c r="A555">
        <f t="shared" si="32"/>
        <v>554</v>
      </c>
      <c r="B555" s="1">
        <f t="shared" ca="1" si="33"/>
        <v>44995</v>
      </c>
      <c r="C555" t="s">
        <v>8</v>
      </c>
      <c r="D555" t="str">
        <f t="shared" ca="1" si="34"/>
        <v>Electronics</v>
      </c>
      <c r="E555" t="s">
        <v>36</v>
      </c>
      <c r="F555" s="11">
        <v>3477</v>
      </c>
      <c r="G555">
        <f t="shared" ca="1" si="35"/>
        <v>1</v>
      </c>
      <c r="H555" s="11">
        <f ca="1">IF(Table1[[#This Row],[Category]]="Electronics",Table1[[#This Row],[Sales]]*0.6,
IF(Table1[[#This Row],[Category]]="Furniture",Table1[[#This Row],[Sales]]*0.75,
IF(Table1[[#This Row],[Category]]="Clothing",Table1[[#This Row],[Sales]]*0.65,
Table1[[#This Row],[Sales]]*0.7)))</f>
        <v>2086.1999999999998</v>
      </c>
      <c r="I555" s="11">
        <f ca="1">Table1[[#This Row],[Sales]]-H555</f>
        <v>1390.8000000000002</v>
      </c>
      <c r="J555" s="2">
        <f ca="1">Table1[[#This Row],[Profit]]/Table1[[#This Row],[Sales]]</f>
        <v>0.40000000000000008</v>
      </c>
      <c r="K555" t="str">
        <f ca="1">TEXT(Table1[[#This Row],[Order_Date]],"mmm")</f>
        <v>Mar</v>
      </c>
      <c r="L555">
        <f ca="1">YEAR(Table1[[#This Row],[Order_Date]])</f>
        <v>2023</v>
      </c>
    </row>
    <row r="556" spans="1:12" x14ac:dyDescent="0.3">
      <c r="A556">
        <f t="shared" si="32"/>
        <v>555</v>
      </c>
      <c r="B556" s="1">
        <f t="shared" ca="1" si="33"/>
        <v>45013</v>
      </c>
      <c r="C556" t="s">
        <v>9</v>
      </c>
      <c r="D556" t="str">
        <f t="shared" ca="1" si="34"/>
        <v>Office Supplies</v>
      </c>
      <c r="E556" t="s">
        <v>85</v>
      </c>
      <c r="F556" s="11">
        <v>5954</v>
      </c>
      <c r="G556">
        <f t="shared" ca="1" si="35"/>
        <v>6</v>
      </c>
      <c r="H556" s="11">
        <f ca="1">IF(Table1[[#This Row],[Category]]="Electronics",Table1[[#This Row],[Sales]]*0.6,
IF(Table1[[#This Row],[Category]]="Furniture",Table1[[#This Row],[Sales]]*0.75,
IF(Table1[[#This Row],[Category]]="Clothing",Table1[[#This Row],[Sales]]*0.65,
Table1[[#This Row],[Sales]]*0.7)))</f>
        <v>4167.8</v>
      </c>
      <c r="I556" s="11">
        <f ca="1">Table1[[#This Row],[Sales]]-H556</f>
        <v>1786.1999999999998</v>
      </c>
      <c r="J556" s="2">
        <f ca="1">Table1[[#This Row],[Profit]]/Table1[[#This Row],[Sales]]</f>
        <v>0.3</v>
      </c>
      <c r="K556" t="str">
        <f ca="1">TEXT(Table1[[#This Row],[Order_Date]],"mmm")</f>
        <v>Mar</v>
      </c>
      <c r="L556">
        <f ca="1">YEAR(Table1[[#This Row],[Order_Date]])</f>
        <v>2023</v>
      </c>
    </row>
    <row r="557" spans="1:12" x14ac:dyDescent="0.3">
      <c r="A557">
        <f t="shared" si="32"/>
        <v>556</v>
      </c>
      <c r="B557" s="1">
        <f t="shared" ca="1" si="33"/>
        <v>45236</v>
      </c>
      <c r="C557" t="s">
        <v>10</v>
      </c>
      <c r="D557" t="str">
        <f t="shared" ca="1" si="34"/>
        <v>Furniture</v>
      </c>
      <c r="E557" t="s">
        <v>41</v>
      </c>
      <c r="F557" s="11">
        <v>6467</v>
      </c>
      <c r="G557">
        <f t="shared" ca="1" si="35"/>
        <v>9</v>
      </c>
      <c r="H557" s="11">
        <f ca="1">IF(Table1[[#This Row],[Category]]="Electronics",Table1[[#This Row],[Sales]]*0.6,
IF(Table1[[#This Row],[Category]]="Furniture",Table1[[#This Row],[Sales]]*0.75,
IF(Table1[[#This Row],[Category]]="Clothing",Table1[[#This Row],[Sales]]*0.65,
Table1[[#This Row],[Sales]]*0.7)))</f>
        <v>4850.25</v>
      </c>
      <c r="I557" s="11">
        <f ca="1">Table1[[#This Row],[Sales]]-H557</f>
        <v>1616.75</v>
      </c>
      <c r="J557" s="2">
        <f ca="1">Table1[[#This Row],[Profit]]/Table1[[#This Row],[Sales]]</f>
        <v>0.25</v>
      </c>
      <c r="K557" t="str">
        <f ca="1">TEXT(Table1[[#This Row],[Order_Date]],"mmm")</f>
        <v>Nov</v>
      </c>
      <c r="L557">
        <f ca="1">YEAR(Table1[[#This Row],[Order_Date]])</f>
        <v>2023</v>
      </c>
    </row>
    <row r="558" spans="1:12" x14ac:dyDescent="0.3">
      <c r="A558">
        <f t="shared" si="32"/>
        <v>557</v>
      </c>
      <c r="B558" s="1">
        <f t="shared" ca="1" si="33"/>
        <v>45101</v>
      </c>
      <c r="C558" t="s">
        <v>7</v>
      </c>
      <c r="D558" t="str">
        <f t="shared" ca="1" si="34"/>
        <v>Furniture</v>
      </c>
      <c r="E558" t="s">
        <v>50</v>
      </c>
      <c r="F558" s="11">
        <v>855</v>
      </c>
      <c r="G558">
        <f t="shared" ca="1" si="35"/>
        <v>9</v>
      </c>
      <c r="H558" s="11">
        <f ca="1">IF(Table1[[#This Row],[Category]]="Electronics",Table1[[#This Row],[Sales]]*0.6,
IF(Table1[[#This Row],[Category]]="Furniture",Table1[[#This Row],[Sales]]*0.75,
IF(Table1[[#This Row],[Category]]="Clothing",Table1[[#This Row],[Sales]]*0.65,
Table1[[#This Row],[Sales]]*0.7)))</f>
        <v>641.25</v>
      </c>
      <c r="I558" s="11">
        <f ca="1">Table1[[#This Row],[Sales]]-H558</f>
        <v>213.75</v>
      </c>
      <c r="J558" s="2">
        <f ca="1">Table1[[#This Row],[Profit]]/Table1[[#This Row],[Sales]]</f>
        <v>0.25</v>
      </c>
      <c r="K558" t="str">
        <f ca="1">TEXT(Table1[[#This Row],[Order_Date]],"mmm")</f>
        <v>Jun</v>
      </c>
      <c r="L558">
        <f ca="1">YEAR(Table1[[#This Row],[Order_Date]])</f>
        <v>2023</v>
      </c>
    </row>
    <row r="559" spans="1:12" x14ac:dyDescent="0.3">
      <c r="A559">
        <f t="shared" si="32"/>
        <v>558</v>
      </c>
      <c r="B559" s="1">
        <f t="shared" ca="1" si="33"/>
        <v>45161</v>
      </c>
      <c r="C559" t="s">
        <v>8</v>
      </c>
      <c r="D559" t="str">
        <f t="shared" ca="1" si="34"/>
        <v>Office Supplies</v>
      </c>
      <c r="E559" t="s">
        <v>51</v>
      </c>
      <c r="F559" s="11">
        <v>911</v>
      </c>
      <c r="G559">
        <f t="shared" ca="1" si="35"/>
        <v>9</v>
      </c>
      <c r="H559" s="11">
        <f ca="1">IF(Table1[[#This Row],[Category]]="Electronics",Table1[[#This Row],[Sales]]*0.6,
IF(Table1[[#This Row],[Category]]="Furniture",Table1[[#This Row],[Sales]]*0.75,
IF(Table1[[#This Row],[Category]]="Clothing",Table1[[#This Row],[Sales]]*0.65,
Table1[[#This Row],[Sales]]*0.7)))</f>
        <v>637.69999999999993</v>
      </c>
      <c r="I559" s="11">
        <f ca="1">Table1[[#This Row],[Sales]]-H559</f>
        <v>273.30000000000007</v>
      </c>
      <c r="J559" s="2">
        <f ca="1">Table1[[#This Row],[Profit]]/Table1[[#This Row],[Sales]]</f>
        <v>0.3000000000000001</v>
      </c>
      <c r="K559" t="str">
        <f ca="1">TEXT(Table1[[#This Row],[Order_Date]],"mmm")</f>
        <v>Aug</v>
      </c>
      <c r="L559">
        <f ca="1">YEAR(Table1[[#This Row],[Order_Date]])</f>
        <v>2023</v>
      </c>
    </row>
    <row r="560" spans="1:12" x14ac:dyDescent="0.3">
      <c r="A560">
        <f t="shared" si="32"/>
        <v>559</v>
      </c>
      <c r="B560" s="1">
        <f t="shared" ca="1" si="33"/>
        <v>45121</v>
      </c>
      <c r="C560" t="s">
        <v>9</v>
      </c>
      <c r="D560" t="str">
        <f t="shared" ca="1" si="34"/>
        <v>Electronics</v>
      </c>
      <c r="E560" t="s">
        <v>66</v>
      </c>
      <c r="F560" s="11">
        <v>3940</v>
      </c>
      <c r="G560">
        <f t="shared" ca="1" si="35"/>
        <v>10</v>
      </c>
      <c r="H560" s="11">
        <f ca="1">IF(Table1[[#This Row],[Category]]="Electronics",Table1[[#This Row],[Sales]]*0.6,
IF(Table1[[#This Row],[Category]]="Furniture",Table1[[#This Row],[Sales]]*0.75,
IF(Table1[[#This Row],[Category]]="Clothing",Table1[[#This Row],[Sales]]*0.65,
Table1[[#This Row],[Sales]]*0.7)))</f>
        <v>2364</v>
      </c>
      <c r="I560" s="11">
        <f ca="1">Table1[[#This Row],[Sales]]-H560</f>
        <v>1576</v>
      </c>
      <c r="J560" s="2">
        <f ca="1">Table1[[#This Row],[Profit]]/Table1[[#This Row],[Sales]]</f>
        <v>0.4</v>
      </c>
      <c r="K560" t="str">
        <f ca="1">TEXT(Table1[[#This Row],[Order_Date]],"mmm")</f>
        <v>Jul</v>
      </c>
      <c r="L560">
        <f ca="1">YEAR(Table1[[#This Row],[Order_Date]])</f>
        <v>2023</v>
      </c>
    </row>
    <row r="561" spans="1:12" x14ac:dyDescent="0.3">
      <c r="A561">
        <f t="shared" si="32"/>
        <v>560</v>
      </c>
      <c r="B561" s="1">
        <f t="shared" ca="1" si="33"/>
        <v>44986</v>
      </c>
      <c r="C561" t="s">
        <v>10</v>
      </c>
      <c r="D561" t="str">
        <f t="shared" ca="1" si="34"/>
        <v>Office Supplies</v>
      </c>
      <c r="E561" t="s">
        <v>62</v>
      </c>
      <c r="F561" s="11">
        <v>19359</v>
      </c>
      <c r="G561">
        <f t="shared" ca="1" si="35"/>
        <v>5</v>
      </c>
      <c r="H561" s="11">
        <f ca="1">IF(Table1[[#This Row],[Category]]="Electronics",Table1[[#This Row],[Sales]]*0.6,
IF(Table1[[#This Row],[Category]]="Furniture",Table1[[#This Row],[Sales]]*0.75,
IF(Table1[[#This Row],[Category]]="Clothing",Table1[[#This Row],[Sales]]*0.65,
Table1[[#This Row],[Sales]]*0.7)))</f>
        <v>13551.3</v>
      </c>
      <c r="I561" s="11">
        <f ca="1">Table1[[#This Row],[Sales]]-H561</f>
        <v>5807.7000000000007</v>
      </c>
      <c r="J561" s="2">
        <f ca="1">Table1[[#This Row],[Profit]]/Table1[[#This Row],[Sales]]</f>
        <v>0.30000000000000004</v>
      </c>
      <c r="K561" t="str">
        <f ca="1">TEXT(Table1[[#This Row],[Order_Date]],"mmm")</f>
        <v>Mar</v>
      </c>
      <c r="L561">
        <f ca="1">YEAR(Table1[[#This Row],[Order_Date]])</f>
        <v>2023</v>
      </c>
    </row>
    <row r="562" spans="1:12" x14ac:dyDescent="0.3">
      <c r="A562">
        <f t="shared" si="32"/>
        <v>561</v>
      </c>
      <c r="B562" s="1">
        <f t="shared" ca="1" si="33"/>
        <v>45221</v>
      </c>
      <c r="C562" t="s">
        <v>7</v>
      </c>
      <c r="D562" t="str">
        <f t="shared" ca="1" si="34"/>
        <v>Office Supplies</v>
      </c>
      <c r="E562" t="s">
        <v>69</v>
      </c>
      <c r="F562" s="11">
        <v>17665</v>
      </c>
      <c r="G562">
        <f t="shared" ca="1" si="35"/>
        <v>6</v>
      </c>
      <c r="H562" s="11">
        <f ca="1">IF(Table1[[#This Row],[Category]]="Electronics",Table1[[#This Row],[Sales]]*0.6,
IF(Table1[[#This Row],[Category]]="Furniture",Table1[[#This Row],[Sales]]*0.75,
IF(Table1[[#This Row],[Category]]="Clothing",Table1[[#This Row],[Sales]]*0.65,
Table1[[#This Row],[Sales]]*0.7)))</f>
        <v>12365.5</v>
      </c>
      <c r="I562" s="11">
        <f ca="1">Table1[[#This Row],[Sales]]-H562</f>
        <v>5299.5</v>
      </c>
      <c r="J562" s="2">
        <f ca="1">Table1[[#This Row],[Profit]]/Table1[[#This Row],[Sales]]</f>
        <v>0.3</v>
      </c>
      <c r="K562" t="str">
        <f ca="1">TEXT(Table1[[#This Row],[Order_Date]],"mmm")</f>
        <v>Oct</v>
      </c>
      <c r="L562">
        <f ca="1">YEAR(Table1[[#This Row],[Order_Date]])</f>
        <v>2023</v>
      </c>
    </row>
    <row r="563" spans="1:12" x14ac:dyDescent="0.3">
      <c r="A563">
        <f t="shared" si="32"/>
        <v>562</v>
      </c>
      <c r="B563" s="1">
        <f t="shared" ca="1" si="33"/>
        <v>45053</v>
      </c>
      <c r="C563" t="s">
        <v>8</v>
      </c>
      <c r="D563" t="str">
        <f t="shared" ca="1" si="34"/>
        <v>Electronics</v>
      </c>
      <c r="E563" t="s">
        <v>58</v>
      </c>
      <c r="F563" s="11">
        <v>17474</v>
      </c>
      <c r="G563">
        <f t="shared" ca="1" si="35"/>
        <v>2</v>
      </c>
      <c r="H563" s="11">
        <f ca="1">IF(Table1[[#This Row],[Category]]="Electronics",Table1[[#This Row],[Sales]]*0.6,
IF(Table1[[#This Row],[Category]]="Furniture",Table1[[#This Row],[Sales]]*0.75,
IF(Table1[[#This Row],[Category]]="Clothing",Table1[[#This Row],[Sales]]*0.65,
Table1[[#This Row],[Sales]]*0.7)))</f>
        <v>10484.4</v>
      </c>
      <c r="I563" s="11">
        <f ca="1">Table1[[#This Row],[Sales]]-H563</f>
        <v>6989.6</v>
      </c>
      <c r="J563" s="2">
        <f ca="1">Table1[[#This Row],[Profit]]/Table1[[#This Row],[Sales]]</f>
        <v>0.4</v>
      </c>
      <c r="K563" t="str">
        <f ca="1">TEXT(Table1[[#This Row],[Order_Date]],"mmm")</f>
        <v>May</v>
      </c>
      <c r="L563">
        <f ca="1">YEAR(Table1[[#This Row],[Order_Date]])</f>
        <v>2023</v>
      </c>
    </row>
    <row r="564" spans="1:12" x14ac:dyDescent="0.3">
      <c r="A564">
        <f t="shared" si="32"/>
        <v>563</v>
      </c>
      <c r="B564" s="1">
        <f t="shared" ca="1" si="33"/>
        <v>44938</v>
      </c>
      <c r="C564" t="s">
        <v>9</v>
      </c>
      <c r="D564" t="str">
        <f t="shared" ca="1" si="34"/>
        <v>Clothing</v>
      </c>
      <c r="E564" t="s">
        <v>51</v>
      </c>
      <c r="F564" s="11">
        <v>14809</v>
      </c>
      <c r="G564">
        <f t="shared" ca="1" si="35"/>
        <v>4</v>
      </c>
      <c r="H564" s="11">
        <f ca="1">IF(Table1[[#This Row],[Category]]="Electronics",Table1[[#This Row],[Sales]]*0.6,
IF(Table1[[#This Row],[Category]]="Furniture",Table1[[#This Row],[Sales]]*0.75,
IF(Table1[[#This Row],[Category]]="Clothing",Table1[[#This Row],[Sales]]*0.65,
Table1[[#This Row],[Sales]]*0.7)))</f>
        <v>9625.85</v>
      </c>
      <c r="I564" s="11">
        <f ca="1">Table1[[#This Row],[Sales]]-H564</f>
        <v>5183.1499999999996</v>
      </c>
      <c r="J564" s="2">
        <f ca="1">Table1[[#This Row],[Profit]]/Table1[[#This Row],[Sales]]</f>
        <v>0.35</v>
      </c>
      <c r="K564" t="str">
        <f ca="1">TEXT(Table1[[#This Row],[Order_Date]],"mmm")</f>
        <v>Jan</v>
      </c>
      <c r="L564">
        <f ca="1">YEAR(Table1[[#This Row],[Order_Date]])</f>
        <v>2023</v>
      </c>
    </row>
    <row r="565" spans="1:12" x14ac:dyDescent="0.3">
      <c r="A565">
        <f t="shared" si="32"/>
        <v>564</v>
      </c>
      <c r="B565" s="1">
        <f t="shared" ca="1" si="33"/>
        <v>44995</v>
      </c>
      <c r="C565" t="s">
        <v>10</v>
      </c>
      <c r="D565" t="str">
        <f t="shared" ca="1" si="34"/>
        <v>Furniture</v>
      </c>
      <c r="E565" t="s">
        <v>61</v>
      </c>
      <c r="F565" s="11">
        <v>17473</v>
      </c>
      <c r="G565">
        <f t="shared" ca="1" si="35"/>
        <v>3</v>
      </c>
      <c r="H565" s="11">
        <f ca="1">IF(Table1[[#This Row],[Category]]="Electronics",Table1[[#This Row],[Sales]]*0.6,
IF(Table1[[#This Row],[Category]]="Furniture",Table1[[#This Row],[Sales]]*0.75,
IF(Table1[[#This Row],[Category]]="Clothing",Table1[[#This Row],[Sales]]*0.65,
Table1[[#This Row],[Sales]]*0.7)))</f>
        <v>13104.75</v>
      </c>
      <c r="I565" s="11">
        <f ca="1">Table1[[#This Row],[Sales]]-H565</f>
        <v>4368.25</v>
      </c>
      <c r="J565" s="2">
        <f ca="1">Table1[[#This Row],[Profit]]/Table1[[#This Row],[Sales]]</f>
        <v>0.25</v>
      </c>
      <c r="K565" t="str">
        <f ca="1">TEXT(Table1[[#This Row],[Order_Date]],"mmm")</f>
        <v>Mar</v>
      </c>
      <c r="L565">
        <f ca="1">YEAR(Table1[[#This Row],[Order_Date]])</f>
        <v>2023</v>
      </c>
    </row>
    <row r="566" spans="1:12" x14ac:dyDescent="0.3">
      <c r="A566">
        <f t="shared" si="32"/>
        <v>565</v>
      </c>
      <c r="B566" s="1">
        <f t="shared" ca="1" si="33"/>
        <v>45065</v>
      </c>
      <c r="C566" t="s">
        <v>7</v>
      </c>
      <c r="D566" t="str">
        <f t="shared" ca="1" si="34"/>
        <v>Electronics</v>
      </c>
      <c r="E566" t="s">
        <v>47</v>
      </c>
      <c r="F566" s="11">
        <v>6883</v>
      </c>
      <c r="G566">
        <f t="shared" ca="1" si="35"/>
        <v>4</v>
      </c>
      <c r="H566" s="11">
        <f ca="1">IF(Table1[[#This Row],[Category]]="Electronics",Table1[[#This Row],[Sales]]*0.6,
IF(Table1[[#This Row],[Category]]="Furniture",Table1[[#This Row],[Sales]]*0.75,
IF(Table1[[#This Row],[Category]]="Clothing",Table1[[#This Row],[Sales]]*0.65,
Table1[[#This Row],[Sales]]*0.7)))</f>
        <v>4129.8</v>
      </c>
      <c r="I566" s="11">
        <f ca="1">Table1[[#This Row],[Sales]]-H566</f>
        <v>2753.2</v>
      </c>
      <c r="J566" s="2">
        <f ca="1">Table1[[#This Row],[Profit]]/Table1[[#This Row],[Sales]]</f>
        <v>0.39999999999999997</v>
      </c>
      <c r="K566" t="str">
        <f ca="1">TEXT(Table1[[#This Row],[Order_Date]],"mmm")</f>
        <v>May</v>
      </c>
      <c r="L566">
        <f ca="1">YEAR(Table1[[#This Row],[Order_Date]])</f>
        <v>2023</v>
      </c>
    </row>
    <row r="567" spans="1:12" x14ac:dyDescent="0.3">
      <c r="A567">
        <f t="shared" si="32"/>
        <v>566</v>
      </c>
      <c r="B567" s="1">
        <f t="shared" ca="1" si="33"/>
        <v>44978</v>
      </c>
      <c r="C567" t="s">
        <v>8</v>
      </c>
      <c r="D567" t="str">
        <f t="shared" ca="1" si="34"/>
        <v>Furniture</v>
      </c>
      <c r="E567" t="s">
        <v>71</v>
      </c>
      <c r="F567" s="11">
        <v>19759</v>
      </c>
      <c r="G567">
        <f t="shared" ca="1" si="35"/>
        <v>4</v>
      </c>
      <c r="H567" s="11">
        <f ca="1">IF(Table1[[#This Row],[Category]]="Electronics",Table1[[#This Row],[Sales]]*0.6,
IF(Table1[[#This Row],[Category]]="Furniture",Table1[[#This Row],[Sales]]*0.75,
IF(Table1[[#This Row],[Category]]="Clothing",Table1[[#This Row],[Sales]]*0.65,
Table1[[#This Row],[Sales]]*0.7)))</f>
        <v>14819.25</v>
      </c>
      <c r="I567" s="11">
        <f ca="1">Table1[[#This Row],[Sales]]-H567</f>
        <v>4939.75</v>
      </c>
      <c r="J567" s="2">
        <f ca="1">Table1[[#This Row],[Profit]]/Table1[[#This Row],[Sales]]</f>
        <v>0.25</v>
      </c>
      <c r="K567" t="str">
        <f ca="1">TEXT(Table1[[#This Row],[Order_Date]],"mmm")</f>
        <v>Feb</v>
      </c>
      <c r="L567">
        <f ca="1">YEAR(Table1[[#This Row],[Order_Date]])</f>
        <v>2023</v>
      </c>
    </row>
    <row r="568" spans="1:12" x14ac:dyDescent="0.3">
      <c r="A568">
        <f t="shared" si="32"/>
        <v>567</v>
      </c>
      <c r="B568" s="1">
        <f t="shared" ca="1" si="33"/>
        <v>45233</v>
      </c>
      <c r="C568" t="s">
        <v>9</v>
      </c>
      <c r="D568" t="str">
        <f t="shared" ca="1" si="34"/>
        <v>Office Supplies</v>
      </c>
      <c r="E568" t="s">
        <v>69</v>
      </c>
      <c r="F568" s="11">
        <v>15972</v>
      </c>
      <c r="G568">
        <f t="shared" ca="1" si="35"/>
        <v>9</v>
      </c>
      <c r="H568" s="11">
        <f ca="1">IF(Table1[[#This Row],[Category]]="Electronics",Table1[[#This Row],[Sales]]*0.6,
IF(Table1[[#This Row],[Category]]="Furniture",Table1[[#This Row],[Sales]]*0.75,
IF(Table1[[#This Row],[Category]]="Clothing",Table1[[#This Row],[Sales]]*0.65,
Table1[[#This Row],[Sales]]*0.7)))</f>
        <v>11180.4</v>
      </c>
      <c r="I568" s="11">
        <f ca="1">Table1[[#This Row],[Sales]]-H568</f>
        <v>4791.6000000000004</v>
      </c>
      <c r="J568" s="2">
        <f ca="1">Table1[[#This Row],[Profit]]/Table1[[#This Row],[Sales]]</f>
        <v>0.30000000000000004</v>
      </c>
      <c r="K568" t="str">
        <f ca="1">TEXT(Table1[[#This Row],[Order_Date]],"mmm")</f>
        <v>Nov</v>
      </c>
      <c r="L568">
        <f ca="1">YEAR(Table1[[#This Row],[Order_Date]])</f>
        <v>2023</v>
      </c>
    </row>
    <row r="569" spans="1:12" x14ac:dyDescent="0.3">
      <c r="A569">
        <f t="shared" si="32"/>
        <v>568</v>
      </c>
      <c r="B569" s="1">
        <f t="shared" ca="1" si="33"/>
        <v>45252</v>
      </c>
      <c r="C569" t="s">
        <v>10</v>
      </c>
      <c r="D569" t="str">
        <f t="shared" ca="1" si="34"/>
        <v>Clothing</v>
      </c>
      <c r="E569" t="s">
        <v>57</v>
      </c>
      <c r="F569" s="11">
        <v>12863</v>
      </c>
      <c r="G569">
        <f t="shared" ca="1" si="35"/>
        <v>5</v>
      </c>
      <c r="H569" s="11">
        <f ca="1">IF(Table1[[#This Row],[Category]]="Electronics",Table1[[#This Row],[Sales]]*0.6,
IF(Table1[[#This Row],[Category]]="Furniture",Table1[[#This Row],[Sales]]*0.75,
IF(Table1[[#This Row],[Category]]="Clothing",Table1[[#This Row],[Sales]]*0.65,
Table1[[#This Row],[Sales]]*0.7)))</f>
        <v>8360.9500000000007</v>
      </c>
      <c r="I569" s="11">
        <f ca="1">Table1[[#This Row],[Sales]]-H569</f>
        <v>4502.0499999999993</v>
      </c>
      <c r="J569" s="2">
        <f ca="1">Table1[[#This Row],[Profit]]/Table1[[#This Row],[Sales]]</f>
        <v>0.34999999999999992</v>
      </c>
      <c r="K569" t="str">
        <f ca="1">TEXT(Table1[[#This Row],[Order_Date]],"mmm")</f>
        <v>Nov</v>
      </c>
      <c r="L569">
        <f ca="1">YEAR(Table1[[#This Row],[Order_Date]])</f>
        <v>2023</v>
      </c>
    </row>
    <row r="570" spans="1:12" x14ac:dyDescent="0.3">
      <c r="A570">
        <f t="shared" si="32"/>
        <v>569</v>
      </c>
      <c r="B570" s="1">
        <f t="shared" ca="1" si="33"/>
        <v>44988</v>
      </c>
      <c r="C570" t="s">
        <v>7</v>
      </c>
      <c r="D570" t="str">
        <f t="shared" ca="1" si="34"/>
        <v>Office Supplies</v>
      </c>
      <c r="E570" t="s">
        <v>68</v>
      </c>
      <c r="F570" s="11">
        <v>13188</v>
      </c>
      <c r="G570">
        <f t="shared" ca="1" si="35"/>
        <v>9</v>
      </c>
      <c r="H570" s="11">
        <f ca="1">IF(Table1[[#This Row],[Category]]="Electronics",Table1[[#This Row],[Sales]]*0.6,
IF(Table1[[#This Row],[Category]]="Furniture",Table1[[#This Row],[Sales]]*0.75,
IF(Table1[[#This Row],[Category]]="Clothing",Table1[[#This Row],[Sales]]*0.65,
Table1[[#This Row],[Sales]]*0.7)))</f>
        <v>9231.5999999999985</v>
      </c>
      <c r="I570" s="11">
        <f ca="1">Table1[[#This Row],[Sales]]-H570</f>
        <v>3956.4000000000015</v>
      </c>
      <c r="J570" s="2">
        <f ca="1">Table1[[#This Row],[Profit]]/Table1[[#This Row],[Sales]]</f>
        <v>0.3000000000000001</v>
      </c>
      <c r="K570" t="str">
        <f ca="1">TEXT(Table1[[#This Row],[Order_Date]],"mmm")</f>
        <v>Mar</v>
      </c>
      <c r="L570">
        <f ca="1">YEAR(Table1[[#This Row],[Order_Date]])</f>
        <v>2023</v>
      </c>
    </row>
    <row r="571" spans="1:12" x14ac:dyDescent="0.3">
      <c r="A571">
        <f t="shared" si="32"/>
        <v>570</v>
      </c>
      <c r="B571" s="1">
        <f t="shared" ca="1" si="33"/>
        <v>44946</v>
      </c>
      <c r="C571" t="s">
        <v>8</v>
      </c>
      <c r="D571" t="str">
        <f t="shared" ca="1" si="34"/>
        <v>Electronics</v>
      </c>
      <c r="E571" t="s">
        <v>65</v>
      </c>
      <c r="F571" s="11">
        <v>8143</v>
      </c>
      <c r="G571">
        <f t="shared" ca="1" si="35"/>
        <v>10</v>
      </c>
      <c r="H571" s="11">
        <f ca="1">IF(Table1[[#This Row],[Category]]="Electronics",Table1[[#This Row],[Sales]]*0.6,
IF(Table1[[#This Row],[Category]]="Furniture",Table1[[#This Row],[Sales]]*0.75,
IF(Table1[[#This Row],[Category]]="Clothing",Table1[[#This Row],[Sales]]*0.65,
Table1[[#This Row],[Sales]]*0.7)))</f>
        <v>4885.8</v>
      </c>
      <c r="I571" s="11">
        <f ca="1">Table1[[#This Row],[Sales]]-H571</f>
        <v>3257.2</v>
      </c>
      <c r="J571" s="2">
        <f ca="1">Table1[[#This Row],[Profit]]/Table1[[#This Row],[Sales]]</f>
        <v>0.39999999999999997</v>
      </c>
      <c r="K571" t="str">
        <f ca="1">TEXT(Table1[[#This Row],[Order_Date]],"mmm")</f>
        <v>Jan</v>
      </c>
      <c r="L571">
        <f ca="1">YEAR(Table1[[#This Row],[Order_Date]])</f>
        <v>2023</v>
      </c>
    </row>
    <row r="572" spans="1:12" x14ac:dyDescent="0.3">
      <c r="A572">
        <f t="shared" si="32"/>
        <v>571</v>
      </c>
      <c r="B572" s="1">
        <f t="shared" ca="1" si="33"/>
        <v>45150</v>
      </c>
      <c r="C572" t="s">
        <v>9</v>
      </c>
      <c r="D572" t="str">
        <f t="shared" ca="1" si="34"/>
        <v>Clothing</v>
      </c>
      <c r="E572" t="s">
        <v>80</v>
      </c>
      <c r="F572" s="11">
        <v>12756</v>
      </c>
      <c r="G572">
        <f t="shared" ca="1" si="35"/>
        <v>9</v>
      </c>
      <c r="H572" s="11">
        <f ca="1">IF(Table1[[#This Row],[Category]]="Electronics",Table1[[#This Row],[Sales]]*0.6,
IF(Table1[[#This Row],[Category]]="Furniture",Table1[[#This Row],[Sales]]*0.75,
IF(Table1[[#This Row],[Category]]="Clothing",Table1[[#This Row],[Sales]]*0.65,
Table1[[#This Row],[Sales]]*0.7)))</f>
        <v>8291.4</v>
      </c>
      <c r="I572" s="11">
        <f ca="1">Table1[[#This Row],[Sales]]-H572</f>
        <v>4464.6000000000004</v>
      </c>
      <c r="J572" s="2">
        <f ca="1">Table1[[#This Row],[Profit]]/Table1[[#This Row],[Sales]]</f>
        <v>0.35000000000000003</v>
      </c>
      <c r="K572" t="str">
        <f ca="1">TEXT(Table1[[#This Row],[Order_Date]],"mmm")</f>
        <v>Aug</v>
      </c>
      <c r="L572">
        <f ca="1">YEAR(Table1[[#This Row],[Order_Date]])</f>
        <v>2023</v>
      </c>
    </row>
    <row r="573" spans="1:12" x14ac:dyDescent="0.3">
      <c r="A573">
        <f t="shared" si="32"/>
        <v>572</v>
      </c>
      <c r="B573" s="1">
        <f t="shared" ca="1" si="33"/>
        <v>45188</v>
      </c>
      <c r="C573" t="s">
        <v>10</v>
      </c>
      <c r="D573" t="str">
        <f t="shared" ca="1" si="34"/>
        <v>Office Supplies</v>
      </c>
      <c r="E573" t="s">
        <v>71</v>
      </c>
      <c r="F573" s="11">
        <v>7327</v>
      </c>
      <c r="G573">
        <f t="shared" ca="1" si="35"/>
        <v>8</v>
      </c>
      <c r="H573" s="11">
        <f ca="1">IF(Table1[[#This Row],[Category]]="Electronics",Table1[[#This Row],[Sales]]*0.6,
IF(Table1[[#This Row],[Category]]="Furniture",Table1[[#This Row],[Sales]]*0.75,
IF(Table1[[#This Row],[Category]]="Clothing",Table1[[#This Row],[Sales]]*0.65,
Table1[[#This Row],[Sales]]*0.7)))</f>
        <v>5128.8999999999996</v>
      </c>
      <c r="I573" s="11">
        <f ca="1">Table1[[#This Row],[Sales]]-H573</f>
        <v>2198.1000000000004</v>
      </c>
      <c r="J573" s="2">
        <f ca="1">Table1[[#This Row],[Profit]]/Table1[[#This Row],[Sales]]</f>
        <v>0.30000000000000004</v>
      </c>
      <c r="K573" t="str">
        <f ca="1">TEXT(Table1[[#This Row],[Order_Date]],"mmm")</f>
        <v>Sep</v>
      </c>
      <c r="L573">
        <f ca="1">YEAR(Table1[[#This Row],[Order_Date]])</f>
        <v>2023</v>
      </c>
    </row>
    <row r="574" spans="1:12" x14ac:dyDescent="0.3">
      <c r="A574">
        <f t="shared" si="32"/>
        <v>573</v>
      </c>
      <c r="B574" s="1">
        <f t="shared" ca="1" si="33"/>
        <v>45126</v>
      </c>
      <c r="C574" t="s">
        <v>7</v>
      </c>
      <c r="D574" t="str">
        <f t="shared" ca="1" si="34"/>
        <v>Furniture</v>
      </c>
      <c r="E574" t="s">
        <v>62</v>
      </c>
      <c r="F574" s="11">
        <v>12956</v>
      </c>
      <c r="G574">
        <f t="shared" ca="1" si="35"/>
        <v>5</v>
      </c>
      <c r="H574" s="11">
        <f ca="1">IF(Table1[[#This Row],[Category]]="Electronics",Table1[[#This Row],[Sales]]*0.6,
IF(Table1[[#This Row],[Category]]="Furniture",Table1[[#This Row],[Sales]]*0.75,
IF(Table1[[#This Row],[Category]]="Clothing",Table1[[#This Row],[Sales]]*0.65,
Table1[[#This Row],[Sales]]*0.7)))</f>
        <v>9717</v>
      </c>
      <c r="I574" s="11">
        <f ca="1">Table1[[#This Row],[Sales]]-H574</f>
        <v>3239</v>
      </c>
      <c r="J574" s="2">
        <f ca="1">Table1[[#This Row],[Profit]]/Table1[[#This Row],[Sales]]</f>
        <v>0.25</v>
      </c>
      <c r="K574" t="str">
        <f ca="1">TEXT(Table1[[#This Row],[Order_Date]],"mmm")</f>
        <v>Jul</v>
      </c>
      <c r="L574">
        <f ca="1">YEAR(Table1[[#This Row],[Order_Date]])</f>
        <v>2023</v>
      </c>
    </row>
    <row r="575" spans="1:12" x14ac:dyDescent="0.3">
      <c r="A575">
        <f t="shared" si="32"/>
        <v>574</v>
      </c>
      <c r="B575" s="1">
        <f t="shared" ca="1" si="33"/>
        <v>45216</v>
      </c>
      <c r="C575" t="s">
        <v>8</v>
      </c>
      <c r="D575" t="str">
        <f t="shared" ca="1" si="34"/>
        <v>Office Supplies</v>
      </c>
      <c r="E575" t="s">
        <v>85</v>
      </c>
      <c r="F575" s="11">
        <v>9405</v>
      </c>
      <c r="G575">
        <f t="shared" ca="1" si="35"/>
        <v>3</v>
      </c>
      <c r="H575" s="11">
        <f ca="1">IF(Table1[[#This Row],[Category]]="Electronics",Table1[[#This Row],[Sales]]*0.6,
IF(Table1[[#This Row],[Category]]="Furniture",Table1[[#This Row],[Sales]]*0.75,
IF(Table1[[#This Row],[Category]]="Clothing",Table1[[#This Row],[Sales]]*0.65,
Table1[[#This Row],[Sales]]*0.7)))</f>
        <v>6583.5</v>
      </c>
      <c r="I575" s="11">
        <f ca="1">Table1[[#This Row],[Sales]]-H575</f>
        <v>2821.5</v>
      </c>
      <c r="J575" s="2">
        <f ca="1">Table1[[#This Row],[Profit]]/Table1[[#This Row],[Sales]]</f>
        <v>0.3</v>
      </c>
      <c r="K575" t="str">
        <f ca="1">TEXT(Table1[[#This Row],[Order_Date]],"mmm")</f>
        <v>Oct</v>
      </c>
      <c r="L575">
        <f ca="1">YEAR(Table1[[#This Row],[Order_Date]])</f>
        <v>2023</v>
      </c>
    </row>
    <row r="576" spans="1:12" x14ac:dyDescent="0.3">
      <c r="A576">
        <f t="shared" si="32"/>
        <v>575</v>
      </c>
      <c r="B576" s="1">
        <f t="shared" ca="1" si="33"/>
        <v>45116</v>
      </c>
      <c r="C576" t="s">
        <v>9</v>
      </c>
      <c r="D576" t="str">
        <f t="shared" ca="1" si="34"/>
        <v>Clothing</v>
      </c>
      <c r="E576" t="s">
        <v>56</v>
      </c>
      <c r="F576" s="11">
        <v>11359</v>
      </c>
      <c r="G576">
        <f t="shared" ca="1" si="35"/>
        <v>6</v>
      </c>
      <c r="H576" s="11">
        <f ca="1">IF(Table1[[#This Row],[Category]]="Electronics",Table1[[#This Row],[Sales]]*0.6,
IF(Table1[[#This Row],[Category]]="Furniture",Table1[[#This Row],[Sales]]*0.75,
IF(Table1[[#This Row],[Category]]="Clothing",Table1[[#This Row],[Sales]]*0.65,
Table1[[#This Row],[Sales]]*0.7)))</f>
        <v>7383.35</v>
      </c>
      <c r="I576" s="11">
        <f ca="1">Table1[[#This Row],[Sales]]-H576</f>
        <v>3975.6499999999996</v>
      </c>
      <c r="J576" s="2">
        <f ca="1">Table1[[#This Row],[Profit]]/Table1[[#This Row],[Sales]]</f>
        <v>0.35</v>
      </c>
      <c r="K576" t="str">
        <f ca="1">TEXT(Table1[[#This Row],[Order_Date]],"mmm")</f>
        <v>Jul</v>
      </c>
      <c r="L576">
        <f ca="1">YEAR(Table1[[#This Row],[Order_Date]])</f>
        <v>2023</v>
      </c>
    </row>
    <row r="577" spans="1:12" x14ac:dyDescent="0.3">
      <c r="A577">
        <f t="shared" si="32"/>
        <v>576</v>
      </c>
      <c r="B577" s="1">
        <f t="shared" ca="1" si="33"/>
        <v>45283</v>
      </c>
      <c r="C577" t="s">
        <v>10</v>
      </c>
      <c r="D577" t="str">
        <f t="shared" ca="1" si="34"/>
        <v>Furniture</v>
      </c>
      <c r="E577" t="s">
        <v>79</v>
      </c>
      <c r="F577" s="11">
        <v>12622</v>
      </c>
      <c r="G577">
        <f t="shared" ca="1" si="35"/>
        <v>8</v>
      </c>
      <c r="H577" s="11">
        <f ca="1">IF(Table1[[#This Row],[Category]]="Electronics",Table1[[#This Row],[Sales]]*0.6,
IF(Table1[[#This Row],[Category]]="Furniture",Table1[[#This Row],[Sales]]*0.75,
IF(Table1[[#This Row],[Category]]="Clothing",Table1[[#This Row],[Sales]]*0.65,
Table1[[#This Row],[Sales]]*0.7)))</f>
        <v>9466.5</v>
      </c>
      <c r="I577" s="11">
        <f ca="1">Table1[[#This Row],[Sales]]-H577</f>
        <v>3155.5</v>
      </c>
      <c r="J577" s="2">
        <f ca="1">Table1[[#This Row],[Profit]]/Table1[[#This Row],[Sales]]</f>
        <v>0.25</v>
      </c>
      <c r="K577" t="str">
        <f ca="1">TEXT(Table1[[#This Row],[Order_Date]],"mmm")</f>
        <v>Dec</v>
      </c>
      <c r="L577">
        <f ca="1">YEAR(Table1[[#This Row],[Order_Date]])</f>
        <v>2023</v>
      </c>
    </row>
    <row r="578" spans="1:12" x14ac:dyDescent="0.3">
      <c r="A578">
        <f t="shared" si="32"/>
        <v>577</v>
      </c>
      <c r="B578" s="1">
        <f t="shared" ca="1" si="33"/>
        <v>44953</v>
      </c>
      <c r="C578" t="s">
        <v>7</v>
      </c>
      <c r="D578" t="str">
        <f t="shared" ca="1" si="34"/>
        <v>Clothing</v>
      </c>
      <c r="E578" t="s">
        <v>38</v>
      </c>
      <c r="F578" s="11">
        <v>10943</v>
      </c>
      <c r="G578">
        <f t="shared" ca="1" si="35"/>
        <v>3</v>
      </c>
      <c r="H578" s="11">
        <f ca="1">IF(Table1[[#This Row],[Category]]="Electronics",Table1[[#This Row],[Sales]]*0.6,
IF(Table1[[#This Row],[Category]]="Furniture",Table1[[#This Row],[Sales]]*0.75,
IF(Table1[[#This Row],[Category]]="Clothing",Table1[[#This Row],[Sales]]*0.65,
Table1[[#This Row],[Sales]]*0.7)))</f>
        <v>7112.95</v>
      </c>
      <c r="I578" s="11">
        <f ca="1">Table1[[#This Row],[Sales]]-H578</f>
        <v>3830.05</v>
      </c>
      <c r="J578" s="2">
        <f ca="1">Table1[[#This Row],[Profit]]/Table1[[#This Row],[Sales]]</f>
        <v>0.35000000000000003</v>
      </c>
      <c r="K578" t="str">
        <f ca="1">TEXT(Table1[[#This Row],[Order_Date]],"mmm")</f>
        <v>Jan</v>
      </c>
      <c r="L578">
        <f ca="1">YEAR(Table1[[#This Row],[Order_Date]])</f>
        <v>2023</v>
      </c>
    </row>
    <row r="579" spans="1:12" x14ac:dyDescent="0.3">
      <c r="A579">
        <f t="shared" ref="A579:A642" si="36">ROW()-1</f>
        <v>578</v>
      </c>
      <c r="B579" s="1">
        <f t="shared" ref="B579:B642" ca="1" si="37">DATE(2023, RANDBETWEEN(1,12), RANDBETWEEN(1,28))</f>
        <v>45000</v>
      </c>
      <c r="C579" t="s">
        <v>8</v>
      </c>
      <c r="D579" t="str">
        <f t="shared" ref="D579:D642" ca="1" si="38">CHOOSE(RANDBETWEEN(1,4),"Electronics","Furniture","Clothing","Office Supplies")</f>
        <v>Office Supplies</v>
      </c>
      <c r="E579" t="s">
        <v>54</v>
      </c>
      <c r="F579" s="11">
        <v>16467</v>
      </c>
      <c r="G579">
        <f t="shared" ref="G579:G642" ca="1" si="39">RANDBETWEEN(1,10)</f>
        <v>5</v>
      </c>
      <c r="H579" s="11">
        <f ca="1">IF(Table1[[#This Row],[Category]]="Electronics",Table1[[#This Row],[Sales]]*0.6,
IF(Table1[[#This Row],[Category]]="Furniture",Table1[[#This Row],[Sales]]*0.75,
IF(Table1[[#This Row],[Category]]="Clothing",Table1[[#This Row],[Sales]]*0.65,
Table1[[#This Row],[Sales]]*0.7)))</f>
        <v>11526.9</v>
      </c>
      <c r="I579" s="11">
        <f ca="1">Table1[[#This Row],[Sales]]-H579</f>
        <v>4940.1000000000004</v>
      </c>
      <c r="J579" s="2">
        <f ca="1">Table1[[#This Row],[Profit]]/Table1[[#This Row],[Sales]]</f>
        <v>0.30000000000000004</v>
      </c>
      <c r="K579" t="str">
        <f ca="1">TEXT(Table1[[#This Row],[Order_Date]],"mmm")</f>
        <v>Mar</v>
      </c>
      <c r="L579">
        <f ca="1">YEAR(Table1[[#This Row],[Order_Date]])</f>
        <v>2023</v>
      </c>
    </row>
    <row r="580" spans="1:12" x14ac:dyDescent="0.3">
      <c r="A580">
        <f t="shared" si="36"/>
        <v>579</v>
      </c>
      <c r="B580" s="1">
        <f t="shared" ca="1" si="37"/>
        <v>45072</v>
      </c>
      <c r="C580" t="s">
        <v>9</v>
      </c>
      <c r="D580" t="str">
        <f t="shared" ca="1" si="38"/>
        <v>Office Supplies</v>
      </c>
      <c r="E580" t="s">
        <v>39</v>
      </c>
      <c r="F580" s="11">
        <v>5611</v>
      </c>
      <c r="G580">
        <f t="shared" ca="1" si="39"/>
        <v>9</v>
      </c>
      <c r="H580" s="11">
        <f ca="1">IF(Table1[[#This Row],[Category]]="Electronics",Table1[[#This Row],[Sales]]*0.6,
IF(Table1[[#This Row],[Category]]="Furniture",Table1[[#This Row],[Sales]]*0.75,
IF(Table1[[#This Row],[Category]]="Clothing",Table1[[#This Row],[Sales]]*0.65,
Table1[[#This Row],[Sales]]*0.7)))</f>
        <v>3927.7</v>
      </c>
      <c r="I580" s="11">
        <f ca="1">Table1[[#This Row],[Sales]]-H580</f>
        <v>1683.3000000000002</v>
      </c>
      <c r="J580" s="2">
        <f ca="1">Table1[[#This Row],[Profit]]/Table1[[#This Row],[Sales]]</f>
        <v>0.30000000000000004</v>
      </c>
      <c r="K580" t="str">
        <f ca="1">TEXT(Table1[[#This Row],[Order_Date]],"mmm")</f>
        <v>May</v>
      </c>
      <c r="L580">
        <f ca="1">YEAR(Table1[[#This Row],[Order_Date]])</f>
        <v>2023</v>
      </c>
    </row>
    <row r="581" spans="1:12" x14ac:dyDescent="0.3">
      <c r="A581">
        <f t="shared" si="36"/>
        <v>580</v>
      </c>
      <c r="B581" s="1">
        <f t="shared" ca="1" si="37"/>
        <v>44940</v>
      </c>
      <c r="C581" t="s">
        <v>10</v>
      </c>
      <c r="D581" t="str">
        <f t="shared" ca="1" si="38"/>
        <v>Furniture</v>
      </c>
      <c r="E581" t="s">
        <v>81</v>
      </c>
      <c r="F581" s="11">
        <v>16730</v>
      </c>
      <c r="G581">
        <f t="shared" ca="1" si="39"/>
        <v>1</v>
      </c>
      <c r="H581" s="11">
        <f ca="1">IF(Table1[[#This Row],[Category]]="Electronics",Table1[[#This Row],[Sales]]*0.6,
IF(Table1[[#This Row],[Category]]="Furniture",Table1[[#This Row],[Sales]]*0.75,
IF(Table1[[#This Row],[Category]]="Clothing",Table1[[#This Row],[Sales]]*0.65,
Table1[[#This Row],[Sales]]*0.7)))</f>
        <v>12547.5</v>
      </c>
      <c r="I581" s="11">
        <f ca="1">Table1[[#This Row],[Sales]]-H581</f>
        <v>4182.5</v>
      </c>
      <c r="J581" s="2">
        <f ca="1">Table1[[#This Row],[Profit]]/Table1[[#This Row],[Sales]]</f>
        <v>0.25</v>
      </c>
      <c r="K581" t="str">
        <f ca="1">TEXT(Table1[[#This Row],[Order_Date]],"mmm")</f>
        <v>Jan</v>
      </c>
      <c r="L581">
        <f ca="1">YEAR(Table1[[#This Row],[Order_Date]])</f>
        <v>2023</v>
      </c>
    </row>
    <row r="582" spans="1:12" x14ac:dyDescent="0.3">
      <c r="A582">
        <f t="shared" si="36"/>
        <v>581</v>
      </c>
      <c r="B582" s="1">
        <f t="shared" ca="1" si="37"/>
        <v>44943</v>
      </c>
      <c r="C582" t="s">
        <v>7</v>
      </c>
      <c r="D582" t="str">
        <f t="shared" ca="1" si="38"/>
        <v>Electronics</v>
      </c>
      <c r="E582" t="s">
        <v>78</v>
      </c>
      <c r="F582" s="11">
        <v>14146</v>
      </c>
      <c r="G582">
        <f t="shared" ca="1" si="39"/>
        <v>6</v>
      </c>
      <c r="H582" s="11">
        <f ca="1">IF(Table1[[#This Row],[Category]]="Electronics",Table1[[#This Row],[Sales]]*0.6,
IF(Table1[[#This Row],[Category]]="Furniture",Table1[[#This Row],[Sales]]*0.75,
IF(Table1[[#This Row],[Category]]="Clothing",Table1[[#This Row],[Sales]]*0.65,
Table1[[#This Row],[Sales]]*0.7)))</f>
        <v>8487.6</v>
      </c>
      <c r="I582" s="11">
        <f ca="1">Table1[[#This Row],[Sales]]-H582</f>
        <v>5658.4</v>
      </c>
      <c r="J582" s="2">
        <f ca="1">Table1[[#This Row],[Profit]]/Table1[[#This Row],[Sales]]</f>
        <v>0.39999999999999997</v>
      </c>
      <c r="K582" t="str">
        <f ca="1">TEXT(Table1[[#This Row],[Order_Date]],"mmm")</f>
        <v>Jan</v>
      </c>
      <c r="L582">
        <f ca="1">YEAR(Table1[[#This Row],[Order_Date]])</f>
        <v>2023</v>
      </c>
    </row>
    <row r="583" spans="1:12" x14ac:dyDescent="0.3">
      <c r="A583">
        <f t="shared" si="36"/>
        <v>582</v>
      </c>
      <c r="B583" s="1">
        <f t="shared" ca="1" si="37"/>
        <v>45238</v>
      </c>
      <c r="C583" t="s">
        <v>8</v>
      </c>
      <c r="D583" t="str">
        <f t="shared" ca="1" si="38"/>
        <v>Electronics</v>
      </c>
      <c r="E583" t="s">
        <v>55</v>
      </c>
      <c r="F583" s="11">
        <v>18232</v>
      </c>
      <c r="G583">
        <f t="shared" ca="1" si="39"/>
        <v>2</v>
      </c>
      <c r="H583" s="11">
        <f ca="1">IF(Table1[[#This Row],[Category]]="Electronics",Table1[[#This Row],[Sales]]*0.6,
IF(Table1[[#This Row],[Category]]="Furniture",Table1[[#This Row],[Sales]]*0.75,
IF(Table1[[#This Row],[Category]]="Clothing",Table1[[#This Row],[Sales]]*0.65,
Table1[[#This Row],[Sales]]*0.7)))</f>
        <v>10939.199999999999</v>
      </c>
      <c r="I583" s="11">
        <f ca="1">Table1[[#This Row],[Sales]]-H583</f>
        <v>7292.8000000000011</v>
      </c>
      <c r="J583" s="2">
        <f ca="1">Table1[[#This Row],[Profit]]/Table1[[#This Row],[Sales]]</f>
        <v>0.40000000000000008</v>
      </c>
      <c r="K583" t="str">
        <f ca="1">TEXT(Table1[[#This Row],[Order_Date]],"mmm")</f>
        <v>Nov</v>
      </c>
      <c r="L583">
        <f ca="1">YEAR(Table1[[#This Row],[Order_Date]])</f>
        <v>2023</v>
      </c>
    </row>
    <row r="584" spans="1:12" x14ac:dyDescent="0.3">
      <c r="A584">
        <f t="shared" si="36"/>
        <v>583</v>
      </c>
      <c r="B584" s="1">
        <f t="shared" ca="1" si="37"/>
        <v>45257</v>
      </c>
      <c r="C584" t="s">
        <v>9</v>
      </c>
      <c r="D584" t="str">
        <f t="shared" ca="1" si="38"/>
        <v>Furniture</v>
      </c>
      <c r="E584" t="s">
        <v>45</v>
      </c>
      <c r="F584" s="11">
        <v>14543</v>
      </c>
      <c r="G584">
        <f t="shared" ca="1" si="39"/>
        <v>2</v>
      </c>
      <c r="H584" s="11">
        <f ca="1">IF(Table1[[#This Row],[Category]]="Electronics",Table1[[#This Row],[Sales]]*0.6,
IF(Table1[[#This Row],[Category]]="Furniture",Table1[[#This Row],[Sales]]*0.75,
IF(Table1[[#This Row],[Category]]="Clothing",Table1[[#This Row],[Sales]]*0.65,
Table1[[#This Row],[Sales]]*0.7)))</f>
        <v>10907.25</v>
      </c>
      <c r="I584" s="11">
        <f ca="1">Table1[[#This Row],[Sales]]-H584</f>
        <v>3635.75</v>
      </c>
      <c r="J584" s="2">
        <f ca="1">Table1[[#This Row],[Profit]]/Table1[[#This Row],[Sales]]</f>
        <v>0.25</v>
      </c>
      <c r="K584" t="str">
        <f ca="1">TEXT(Table1[[#This Row],[Order_Date]],"mmm")</f>
        <v>Nov</v>
      </c>
      <c r="L584">
        <f ca="1">YEAR(Table1[[#This Row],[Order_Date]])</f>
        <v>2023</v>
      </c>
    </row>
    <row r="585" spans="1:12" x14ac:dyDescent="0.3">
      <c r="A585">
        <f t="shared" si="36"/>
        <v>584</v>
      </c>
      <c r="B585" s="1">
        <f t="shared" ca="1" si="37"/>
        <v>45251</v>
      </c>
      <c r="C585" t="s">
        <v>10</v>
      </c>
      <c r="D585" t="str">
        <f t="shared" ca="1" si="38"/>
        <v>Clothing</v>
      </c>
      <c r="E585" t="s">
        <v>64</v>
      </c>
      <c r="F585" s="11">
        <v>16259</v>
      </c>
      <c r="G585">
        <f t="shared" ca="1" si="39"/>
        <v>4</v>
      </c>
      <c r="H585" s="11">
        <f ca="1">IF(Table1[[#This Row],[Category]]="Electronics",Table1[[#This Row],[Sales]]*0.6,
IF(Table1[[#This Row],[Category]]="Furniture",Table1[[#This Row],[Sales]]*0.75,
IF(Table1[[#This Row],[Category]]="Clothing",Table1[[#This Row],[Sales]]*0.65,
Table1[[#This Row],[Sales]]*0.7)))</f>
        <v>10568.35</v>
      </c>
      <c r="I585" s="11">
        <f ca="1">Table1[[#This Row],[Sales]]-H585</f>
        <v>5690.65</v>
      </c>
      <c r="J585" s="2">
        <f ca="1">Table1[[#This Row],[Profit]]/Table1[[#This Row],[Sales]]</f>
        <v>0.35</v>
      </c>
      <c r="K585" t="str">
        <f ca="1">TEXT(Table1[[#This Row],[Order_Date]],"mmm")</f>
        <v>Nov</v>
      </c>
      <c r="L585">
        <f ca="1">YEAR(Table1[[#This Row],[Order_Date]])</f>
        <v>2023</v>
      </c>
    </row>
    <row r="586" spans="1:12" x14ac:dyDescent="0.3">
      <c r="A586">
        <f t="shared" si="36"/>
        <v>585</v>
      </c>
      <c r="B586" s="1">
        <f t="shared" ca="1" si="37"/>
        <v>45186</v>
      </c>
      <c r="C586" t="s">
        <v>7</v>
      </c>
      <c r="D586" t="str">
        <f t="shared" ca="1" si="38"/>
        <v>Electronics</v>
      </c>
      <c r="E586" t="s">
        <v>45</v>
      </c>
      <c r="F586" s="11">
        <v>16406</v>
      </c>
      <c r="G586">
        <f t="shared" ca="1" si="39"/>
        <v>5</v>
      </c>
      <c r="H586" s="11">
        <f ca="1">IF(Table1[[#This Row],[Category]]="Electronics",Table1[[#This Row],[Sales]]*0.6,
IF(Table1[[#This Row],[Category]]="Furniture",Table1[[#This Row],[Sales]]*0.75,
IF(Table1[[#This Row],[Category]]="Clothing",Table1[[#This Row],[Sales]]*0.65,
Table1[[#This Row],[Sales]]*0.7)))</f>
        <v>9843.6</v>
      </c>
      <c r="I586" s="11">
        <f ca="1">Table1[[#This Row],[Sales]]-H586</f>
        <v>6562.4</v>
      </c>
      <c r="J586" s="2">
        <f ca="1">Table1[[#This Row],[Profit]]/Table1[[#This Row],[Sales]]</f>
        <v>0.39999999999999997</v>
      </c>
      <c r="K586" t="str">
        <f ca="1">TEXT(Table1[[#This Row],[Order_Date]],"mmm")</f>
        <v>Sep</v>
      </c>
      <c r="L586">
        <f ca="1">YEAR(Table1[[#This Row],[Order_Date]])</f>
        <v>2023</v>
      </c>
    </row>
    <row r="587" spans="1:12" x14ac:dyDescent="0.3">
      <c r="A587">
        <f t="shared" si="36"/>
        <v>586</v>
      </c>
      <c r="B587" s="1">
        <f t="shared" ca="1" si="37"/>
        <v>45104</v>
      </c>
      <c r="C587" t="s">
        <v>8</v>
      </c>
      <c r="D587" t="str">
        <f t="shared" ca="1" si="38"/>
        <v>Clothing</v>
      </c>
      <c r="E587" t="s">
        <v>37</v>
      </c>
      <c r="F587" s="11">
        <v>12210</v>
      </c>
      <c r="G587">
        <f t="shared" ca="1" si="39"/>
        <v>5</v>
      </c>
      <c r="H587" s="11">
        <f ca="1">IF(Table1[[#This Row],[Category]]="Electronics",Table1[[#This Row],[Sales]]*0.6,
IF(Table1[[#This Row],[Category]]="Furniture",Table1[[#This Row],[Sales]]*0.75,
IF(Table1[[#This Row],[Category]]="Clothing",Table1[[#This Row],[Sales]]*0.65,
Table1[[#This Row],[Sales]]*0.7)))</f>
        <v>7936.5</v>
      </c>
      <c r="I587" s="11">
        <f ca="1">Table1[[#This Row],[Sales]]-H587</f>
        <v>4273.5</v>
      </c>
      <c r="J587" s="2">
        <f ca="1">Table1[[#This Row],[Profit]]/Table1[[#This Row],[Sales]]</f>
        <v>0.35</v>
      </c>
      <c r="K587" t="str">
        <f ca="1">TEXT(Table1[[#This Row],[Order_Date]],"mmm")</f>
        <v>Jun</v>
      </c>
      <c r="L587">
        <f ca="1">YEAR(Table1[[#This Row],[Order_Date]])</f>
        <v>2023</v>
      </c>
    </row>
    <row r="588" spans="1:12" x14ac:dyDescent="0.3">
      <c r="A588">
        <f t="shared" si="36"/>
        <v>587</v>
      </c>
      <c r="B588" s="1">
        <f t="shared" ca="1" si="37"/>
        <v>45037</v>
      </c>
      <c r="C588" t="s">
        <v>9</v>
      </c>
      <c r="D588" t="str">
        <f t="shared" ca="1" si="38"/>
        <v>Office Supplies</v>
      </c>
      <c r="E588" t="s">
        <v>40</v>
      </c>
      <c r="F588" s="11">
        <v>17505</v>
      </c>
      <c r="G588">
        <f t="shared" ca="1" si="39"/>
        <v>2</v>
      </c>
      <c r="H588" s="11">
        <f ca="1">IF(Table1[[#This Row],[Category]]="Electronics",Table1[[#This Row],[Sales]]*0.6,
IF(Table1[[#This Row],[Category]]="Furniture",Table1[[#This Row],[Sales]]*0.75,
IF(Table1[[#This Row],[Category]]="Clothing",Table1[[#This Row],[Sales]]*0.65,
Table1[[#This Row],[Sales]]*0.7)))</f>
        <v>12253.5</v>
      </c>
      <c r="I588" s="11">
        <f ca="1">Table1[[#This Row],[Sales]]-H588</f>
        <v>5251.5</v>
      </c>
      <c r="J588" s="2">
        <f ca="1">Table1[[#This Row],[Profit]]/Table1[[#This Row],[Sales]]</f>
        <v>0.3</v>
      </c>
      <c r="K588" t="str">
        <f ca="1">TEXT(Table1[[#This Row],[Order_Date]],"mmm")</f>
        <v>Apr</v>
      </c>
      <c r="L588">
        <f ca="1">YEAR(Table1[[#This Row],[Order_Date]])</f>
        <v>2023</v>
      </c>
    </row>
    <row r="589" spans="1:12" x14ac:dyDescent="0.3">
      <c r="A589">
        <f t="shared" si="36"/>
        <v>588</v>
      </c>
      <c r="B589" s="1">
        <f t="shared" ca="1" si="37"/>
        <v>45221</v>
      </c>
      <c r="C589" t="s">
        <v>10</v>
      </c>
      <c r="D589" t="str">
        <f t="shared" ca="1" si="38"/>
        <v>Clothing</v>
      </c>
      <c r="E589" t="s">
        <v>41</v>
      </c>
      <c r="F589" s="11">
        <v>19297</v>
      </c>
      <c r="G589">
        <f t="shared" ca="1" si="39"/>
        <v>1</v>
      </c>
      <c r="H589" s="11">
        <f ca="1">IF(Table1[[#This Row],[Category]]="Electronics",Table1[[#This Row],[Sales]]*0.6,
IF(Table1[[#This Row],[Category]]="Furniture",Table1[[#This Row],[Sales]]*0.75,
IF(Table1[[#This Row],[Category]]="Clothing",Table1[[#This Row],[Sales]]*0.65,
Table1[[#This Row],[Sales]]*0.7)))</f>
        <v>12543.050000000001</v>
      </c>
      <c r="I589" s="11">
        <f ca="1">Table1[[#This Row],[Sales]]-H589</f>
        <v>6753.9499999999989</v>
      </c>
      <c r="J589" s="2">
        <f ca="1">Table1[[#This Row],[Profit]]/Table1[[#This Row],[Sales]]</f>
        <v>0.34999999999999992</v>
      </c>
      <c r="K589" t="str">
        <f ca="1">TEXT(Table1[[#This Row],[Order_Date]],"mmm")</f>
        <v>Oct</v>
      </c>
      <c r="L589">
        <f ca="1">YEAR(Table1[[#This Row],[Order_Date]])</f>
        <v>2023</v>
      </c>
    </row>
    <row r="590" spans="1:12" x14ac:dyDescent="0.3">
      <c r="A590">
        <f t="shared" si="36"/>
        <v>589</v>
      </c>
      <c r="B590" s="1">
        <f t="shared" ca="1" si="37"/>
        <v>44932</v>
      </c>
      <c r="C590" t="s">
        <v>7</v>
      </c>
      <c r="D590" t="str">
        <f t="shared" ca="1" si="38"/>
        <v>Furniture</v>
      </c>
      <c r="E590" t="s">
        <v>39</v>
      </c>
      <c r="F590" s="11">
        <v>19229</v>
      </c>
      <c r="G590">
        <f t="shared" ca="1" si="39"/>
        <v>2</v>
      </c>
      <c r="H590" s="11">
        <f ca="1">IF(Table1[[#This Row],[Category]]="Electronics",Table1[[#This Row],[Sales]]*0.6,
IF(Table1[[#This Row],[Category]]="Furniture",Table1[[#This Row],[Sales]]*0.75,
IF(Table1[[#This Row],[Category]]="Clothing",Table1[[#This Row],[Sales]]*0.65,
Table1[[#This Row],[Sales]]*0.7)))</f>
        <v>14421.75</v>
      </c>
      <c r="I590" s="11">
        <f ca="1">Table1[[#This Row],[Sales]]-H590</f>
        <v>4807.25</v>
      </c>
      <c r="J590" s="2">
        <f ca="1">Table1[[#This Row],[Profit]]/Table1[[#This Row],[Sales]]</f>
        <v>0.25</v>
      </c>
      <c r="K590" t="str">
        <f ca="1">TEXT(Table1[[#This Row],[Order_Date]],"mmm")</f>
        <v>Jan</v>
      </c>
      <c r="L590">
        <f ca="1">YEAR(Table1[[#This Row],[Order_Date]])</f>
        <v>2023</v>
      </c>
    </row>
    <row r="591" spans="1:12" x14ac:dyDescent="0.3">
      <c r="A591">
        <f t="shared" si="36"/>
        <v>590</v>
      </c>
      <c r="B591" s="1">
        <f t="shared" ca="1" si="37"/>
        <v>45130</v>
      </c>
      <c r="C591" t="s">
        <v>8</v>
      </c>
      <c r="D591" t="str">
        <f t="shared" ca="1" si="38"/>
        <v>Office Supplies</v>
      </c>
      <c r="E591" t="s">
        <v>81</v>
      </c>
      <c r="F591" s="11">
        <v>2068</v>
      </c>
      <c r="G591">
        <f t="shared" ca="1" si="39"/>
        <v>8</v>
      </c>
      <c r="H591" s="11">
        <f ca="1">IF(Table1[[#This Row],[Category]]="Electronics",Table1[[#This Row],[Sales]]*0.6,
IF(Table1[[#This Row],[Category]]="Furniture",Table1[[#This Row],[Sales]]*0.75,
IF(Table1[[#This Row],[Category]]="Clothing",Table1[[#This Row],[Sales]]*0.65,
Table1[[#This Row],[Sales]]*0.7)))</f>
        <v>1447.6</v>
      </c>
      <c r="I591" s="11">
        <f ca="1">Table1[[#This Row],[Sales]]-H591</f>
        <v>620.40000000000009</v>
      </c>
      <c r="J591" s="2">
        <f ca="1">Table1[[#This Row],[Profit]]/Table1[[#This Row],[Sales]]</f>
        <v>0.30000000000000004</v>
      </c>
      <c r="K591" t="str">
        <f ca="1">TEXT(Table1[[#This Row],[Order_Date]],"mmm")</f>
        <v>Jul</v>
      </c>
      <c r="L591">
        <f ca="1">YEAR(Table1[[#This Row],[Order_Date]])</f>
        <v>2023</v>
      </c>
    </row>
    <row r="592" spans="1:12" x14ac:dyDescent="0.3">
      <c r="A592">
        <f t="shared" si="36"/>
        <v>591</v>
      </c>
      <c r="B592" s="1">
        <f t="shared" ca="1" si="37"/>
        <v>44979</v>
      </c>
      <c r="C592" t="s">
        <v>9</v>
      </c>
      <c r="D592" t="str">
        <f t="shared" ca="1" si="38"/>
        <v>Electronics</v>
      </c>
      <c r="E592" t="s">
        <v>62</v>
      </c>
      <c r="F592" s="11">
        <v>10579</v>
      </c>
      <c r="G592">
        <f t="shared" ca="1" si="39"/>
        <v>4</v>
      </c>
      <c r="H592" s="11">
        <f ca="1">IF(Table1[[#This Row],[Category]]="Electronics",Table1[[#This Row],[Sales]]*0.6,
IF(Table1[[#This Row],[Category]]="Furniture",Table1[[#This Row],[Sales]]*0.75,
IF(Table1[[#This Row],[Category]]="Clothing",Table1[[#This Row],[Sales]]*0.65,
Table1[[#This Row],[Sales]]*0.7)))</f>
        <v>6347.4</v>
      </c>
      <c r="I592" s="11">
        <f ca="1">Table1[[#This Row],[Sales]]-H592</f>
        <v>4231.6000000000004</v>
      </c>
      <c r="J592" s="2">
        <f ca="1">Table1[[#This Row],[Profit]]/Table1[[#This Row],[Sales]]</f>
        <v>0.4</v>
      </c>
      <c r="K592" t="str">
        <f ca="1">TEXT(Table1[[#This Row],[Order_Date]],"mmm")</f>
        <v>Feb</v>
      </c>
      <c r="L592">
        <f ca="1">YEAR(Table1[[#This Row],[Order_Date]])</f>
        <v>2023</v>
      </c>
    </row>
    <row r="593" spans="1:12" x14ac:dyDescent="0.3">
      <c r="A593">
        <f t="shared" si="36"/>
        <v>592</v>
      </c>
      <c r="B593" s="1">
        <f t="shared" ca="1" si="37"/>
        <v>44963</v>
      </c>
      <c r="C593" t="s">
        <v>10</v>
      </c>
      <c r="D593" t="str">
        <f t="shared" ca="1" si="38"/>
        <v>Office Supplies</v>
      </c>
      <c r="E593" t="s">
        <v>74</v>
      </c>
      <c r="F593" s="11">
        <v>17515</v>
      </c>
      <c r="G593">
        <f t="shared" ca="1" si="39"/>
        <v>10</v>
      </c>
      <c r="H593" s="11">
        <f ca="1">IF(Table1[[#This Row],[Category]]="Electronics",Table1[[#This Row],[Sales]]*0.6,
IF(Table1[[#This Row],[Category]]="Furniture",Table1[[#This Row],[Sales]]*0.75,
IF(Table1[[#This Row],[Category]]="Clothing",Table1[[#This Row],[Sales]]*0.65,
Table1[[#This Row],[Sales]]*0.7)))</f>
        <v>12260.5</v>
      </c>
      <c r="I593" s="11">
        <f ca="1">Table1[[#This Row],[Sales]]-H593</f>
        <v>5254.5</v>
      </c>
      <c r="J593" s="2">
        <f ca="1">Table1[[#This Row],[Profit]]/Table1[[#This Row],[Sales]]</f>
        <v>0.3</v>
      </c>
      <c r="K593" t="str">
        <f ca="1">TEXT(Table1[[#This Row],[Order_Date]],"mmm")</f>
        <v>Feb</v>
      </c>
      <c r="L593">
        <f ca="1">YEAR(Table1[[#This Row],[Order_Date]])</f>
        <v>2023</v>
      </c>
    </row>
    <row r="594" spans="1:12" x14ac:dyDescent="0.3">
      <c r="A594">
        <f t="shared" si="36"/>
        <v>593</v>
      </c>
      <c r="B594" s="1">
        <f t="shared" ca="1" si="37"/>
        <v>45160</v>
      </c>
      <c r="C594" t="s">
        <v>7</v>
      </c>
      <c r="D594" t="str">
        <f t="shared" ca="1" si="38"/>
        <v>Office Supplies</v>
      </c>
      <c r="E594" t="s">
        <v>79</v>
      </c>
      <c r="F594" s="11">
        <v>13419</v>
      </c>
      <c r="G594">
        <f t="shared" ca="1" si="39"/>
        <v>4</v>
      </c>
      <c r="H594" s="11">
        <f ca="1">IF(Table1[[#This Row],[Category]]="Electronics",Table1[[#This Row],[Sales]]*0.6,
IF(Table1[[#This Row],[Category]]="Furniture",Table1[[#This Row],[Sales]]*0.75,
IF(Table1[[#This Row],[Category]]="Clothing",Table1[[#This Row],[Sales]]*0.65,
Table1[[#This Row],[Sales]]*0.7)))</f>
        <v>9393.2999999999993</v>
      </c>
      <c r="I594" s="11">
        <f ca="1">Table1[[#This Row],[Sales]]-H594</f>
        <v>4025.7000000000007</v>
      </c>
      <c r="J594" s="2">
        <f ca="1">Table1[[#This Row],[Profit]]/Table1[[#This Row],[Sales]]</f>
        <v>0.30000000000000004</v>
      </c>
      <c r="K594" t="str">
        <f ca="1">TEXT(Table1[[#This Row],[Order_Date]],"mmm")</f>
        <v>Aug</v>
      </c>
      <c r="L594">
        <f ca="1">YEAR(Table1[[#This Row],[Order_Date]])</f>
        <v>2023</v>
      </c>
    </row>
    <row r="595" spans="1:12" x14ac:dyDescent="0.3">
      <c r="A595">
        <f t="shared" si="36"/>
        <v>594</v>
      </c>
      <c r="B595" s="1">
        <f t="shared" ca="1" si="37"/>
        <v>45051</v>
      </c>
      <c r="C595" t="s">
        <v>8</v>
      </c>
      <c r="D595" t="str">
        <f t="shared" ca="1" si="38"/>
        <v>Clothing</v>
      </c>
      <c r="E595" t="s">
        <v>73</v>
      </c>
      <c r="F595" s="11">
        <v>11405</v>
      </c>
      <c r="G595">
        <f t="shared" ca="1" si="39"/>
        <v>3</v>
      </c>
      <c r="H595" s="11">
        <f ca="1">IF(Table1[[#This Row],[Category]]="Electronics",Table1[[#This Row],[Sales]]*0.6,
IF(Table1[[#This Row],[Category]]="Furniture",Table1[[#This Row],[Sales]]*0.75,
IF(Table1[[#This Row],[Category]]="Clothing",Table1[[#This Row],[Sales]]*0.65,
Table1[[#This Row],[Sales]]*0.7)))</f>
        <v>7413.25</v>
      </c>
      <c r="I595" s="11">
        <f ca="1">Table1[[#This Row],[Sales]]-H595</f>
        <v>3991.75</v>
      </c>
      <c r="J595" s="2">
        <f ca="1">Table1[[#This Row],[Profit]]/Table1[[#This Row],[Sales]]</f>
        <v>0.35</v>
      </c>
      <c r="K595" t="str">
        <f ca="1">TEXT(Table1[[#This Row],[Order_Date]],"mmm")</f>
        <v>May</v>
      </c>
      <c r="L595">
        <f ca="1">YEAR(Table1[[#This Row],[Order_Date]])</f>
        <v>2023</v>
      </c>
    </row>
    <row r="596" spans="1:12" x14ac:dyDescent="0.3">
      <c r="A596">
        <f t="shared" si="36"/>
        <v>595</v>
      </c>
      <c r="B596" s="1">
        <f t="shared" ca="1" si="37"/>
        <v>44985</v>
      </c>
      <c r="C596" t="s">
        <v>9</v>
      </c>
      <c r="D596" t="str">
        <f t="shared" ca="1" si="38"/>
        <v>Electronics</v>
      </c>
      <c r="E596" t="s">
        <v>59</v>
      </c>
      <c r="F596" s="11">
        <v>16710</v>
      </c>
      <c r="G596">
        <f t="shared" ca="1" si="39"/>
        <v>5</v>
      </c>
      <c r="H596" s="11">
        <f ca="1">IF(Table1[[#This Row],[Category]]="Electronics",Table1[[#This Row],[Sales]]*0.6,
IF(Table1[[#This Row],[Category]]="Furniture",Table1[[#This Row],[Sales]]*0.75,
IF(Table1[[#This Row],[Category]]="Clothing",Table1[[#This Row],[Sales]]*0.65,
Table1[[#This Row],[Sales]]*0.7)))</f>
        <v>10026</v>
      </c>
      <c r="I596" s="11">
        <f ca="1">Table1[[#This Row],[Sales]]-H596</f>
        <v>6684</v>
      </c>
      <c r="J596" s="2">
        <f ca="1">Table1[[#This Row],[Profit]]/Table1[[#This Row],[Sales]]</f>
        <v>0.4</v>
      </c>
      <c r="K596" t="str">
        <f ca="1">TEXT(Table1[[#This Row],[Order_Date]],"mmm")</f>
        <v>Feb</v>
      </c>
      <c r="L596">
        <f ca="1">YEAR(Table1[[#This Row],[Order_Date]])</f>
        <v>2023</v>
      </c>
    </row>
    <row r="597" spans="1:12" x14ac:dyDescent="0.3">
      <c r="A597">
        <f t="shared" si="36"/>
        <v>596</v>
      </c>
      <c r="B597" s="1">
        <f t="shared" ca="1" si="37"/>
        <v>45110</v>
      </c>
      <c r="C597" t="s">
        <v>10</v>
      </c>
      <c r="D597" t="str">
        <f t="shared" ca="1" si="38"/>
        <v>Furniture</v>
      </c>
      <c r="E597" t="s">
        <v>44</v>
      </c>
      <c r="F597" s="11">
        <v>11027</v>
      </c>
      <c r="G597">
        <f t="shared" ca="1" si="39"/>
        <v>8</v>
      </c>
      <c r="H597" s="11">
        <f ca="1">IF(Table1[[#This Row],[Category]]="Electronics",Table1[[#This Row],[Sales]]*0.6,
IF(Table1[[#This Row],[Category]]="Furniture",Table1[[#This Row],[Sales]]*0.75,
IF(Table1[[#This Row],[Category]]="Clothing",Table1[[#This Row],[Sales]]*0.65,
Table1[[#This Row],[Sales]]*0.7)))</f>
        <v>8270.25</v>
      </c>
      <c r="I597" s="11">
        <f ca="1">Table1[[#This Row],[Sales]]-H597</f>
        <v>2756.75</v>
      </c>
      <c r="J597" s="2">
        <f ca="1">Table1[[#This Row],[Profit]]/Table1[[#This Row],[Sales]]</f>
        <v>0.25</v>
      </c>
      <c r="K597" t="str">
        <f ca="1">TEXT(Table1[[#This Row],[Order_Date]],"mmm")</f>
        <v>Jul</v>
      </c>
      <c r="L597">
        <f ca="1">YEAR(Table1[[#This Row],[Order_Date]])</f>
        <v>2023</v>
      </c>
    </row>
    <row r="598" spans="1:12" x14ac:dyDescent="0.3">
      <c r="A598">
        <f t="shared" si="36"/>
        <v>597</v>
      </c>
      <c r="B598" s="1">
        <f t="shared" ca="1" si="37"/>
        <v>45047</v>
      </c>
      <c r="C598" t="s">
        <v>7</v>
      </c>
      <c r="D598" t="str">
        <f t="shared" ca="1" si="38"/>
        <v>Clothing</v>
      </c>
      <c r="E598" t="s">
        <v>36</v>
      </c>
      <c r="F598" s="11">
        <v>10070</v>
      </c>
      <c r="G598">
        <f t="shared" ca="1" si="39"/>
        <v>9</v>
      </c>
      <c r="H598" s="11">
        <f ca="1">IF(Table1[[#This Row],[Category]]="Electronics",Table1[[#This Row],[Sales]]*0.6,
IF(Table1[[#This Row],[Category]]="Furniture",Table1[[#This Row],[Sales]]*0.75,
IF(Table1[[#This Row],[Category]]="Clothing",Table1[[#This Row],[Sales]]*0.65,
Table1[[#This Row],[Sales]]*0.7)))</f>
        <v>6545.5</v>
      </c>
      <c r="I598" s="11">
        <f ca="1">Table1[[#This Row],[Sales]]-H598</f>
        <v>3524.5</v>
      </c>
      <c r="J598" s="2">
        <f ca="1">Table1[[#This Row],[Profit]]/Table1[[#This Row],[Sales]]</f>
        <v>0.35</v>
      </c>
      <c r="K598" t="str">
        <f ca="1">TEXT(Table1[[#This Row],[Order_Date]],"mmm")</f>
        <v>May</v>
      </c>
      <c r="L598">
        <f ca="1">YEAR(Table1[[#This Row],[Order_Date]])</f>
        <v>2023</v>
      </c>
    </row>
    <row r="599" spans="1:12" x14ac:dyDescent="0.3">
      <c r="A599">
        <f t="shared" si="36"/>
        <v>598</v>
      </c>
      <c r="B599" s="1">
        <f t="shared" ca="1" si="37"/>
        <v>44976</v>
      </c>
      <c r="C599" t="s">
        <v>8</v>
      </c>
      <c r="D599" t="str">
        <f t="shared" ca="1" si="38"/>
        <v>Electronics</v>
      </c>
      <c r="E599" t="s">
        <v>46</v>
      </c>
      <c r="F599" s="11">
        <v>16476</v>
      </c>
      <c r="G599">
        <f t="shared" ca="1" si="39"/>
        <v>8</v>
      </c>
      <c r="H599" s="11">
        <f ca="1">IF(Table1[[#This Row],[Category]]="Electronics",Table1[[#This Row],[Sales]]*0.6,
IF(Table1[[#This Row],[Category]]="Furniture",Table1[[#This Row],[Sales]]*0.75,
IF(Table1[[#This Row],[Category]]="Clothing",Table1[[#This Row],[Sales]]*0.65,
Table1[[#This Row],[Sales]]*0.7)))</f>
        <v>9885.6</v>
      </c>
      <c r="I599" s="11">
        <f ca="1">Table1[[#This Row],[Sales]]-H599</f>
        <v>6590.4</v>
      </c>
      <c r="J599" s="2">
        <f ca="1">Table1[[#This Row],[Profit]]/Table1[[#This Row],[Sales]]</f>
        <v>0.39999999999999997</v>
      </c>
      <c r="K599" t="str">
        <f ca="1">TEXT(Table1[[#This Row],[Order_Date]],"mmm")</f>
        <v>Feb</v>
      </c>
      <c r="L599">
        <f ca="1">YEAR(Table1[[#This Row],[Order_Date]])</f>
        <v>2023</v>
      </c>
    </row>
    <row r="600" spans="1:12" x14ac:dyDescent="0.3">
      <c r="A600">
        <f t="shared" si="36"/>
        <v>599</v>
      </c>
      <c r="B600" s="1">
        <f t="shared" ca="1" si="37"/>
        <v>45134</v>
      </c>
      <c r="C600" t="s">
        <v>9</v>
      </c>
      <c r="D600" t="str">
        <f t="shared" ca="1" si="38"/>
        <v>Furniture</v>
      </c>
      <c r="E600" t="s">
        <v>50</v>
      </c>
      <c r="F600" s="11">
        <v>4149</v>
      </c>
      <c r="G600">
        <f t="shared" ca="1" si="39"/>
        <v>8</v>
      </c>
      <c r="H600" s="11">
        <f ca="1">IF(Table1[[#This Row],[Category]]="Electronics",Table1[[#This Row],[Sales]]*0.6,
IF(Table1[[#This Row],[Category]]="Furniture",Table1[[#This Row],[Sales]]*0.75,
IF(Table1[[#This Row],[Category]]="Clothing",Table1[[#This Row],[Sales]]*0.65,
Table1[[#This Row],[Sales]]*0.7)))</f>
        <v>3111.75</v>
      </c>
      <c r="I600" s="11">
        <f ca="1">Table1[[#This Row],[Sales]]-H600</f>
        <v>1037.25</v>
      </c>
      <c r="J600" s="2">
        <f ca="1">Table1[[#This Row],[Profit]]/Table1[[#This Row],[Sales]]</f>
        <v>0.25</v>
      </c>
      <c r="K600" t="str">
        <f ca="1">TEXT(Table1[[#This Row],[Order_Date]],"mmm")</f>
        <v>Jul</v>
      </c>
      <c r="L600">
        <f ca="1">YEAR(Table1[[#This Row],[Order_Date]])</f>
        <v>2023</v>
      </c>
    </row>
    <row r="601" spans="1:12" x14ac:dyDescent="0.3">
      <c r="A601">
        <f t="shared" si="36"/>
        <v>600</v>
      </c>
      <c r="B601" s="1">
        <f t="shared" ca="1" si="37"/>
        <v>45196</v>
      </c>
      <c r="C601" t="s">
        <v>10</v>
      </c>
      <c r="D601" t="str">
        <f t="shared" ca="1" si="38"/>
        <v>Office Supplies</v>
      </c>
      <c r="E601" t="s">
        <v>45</v>
      </c>
      <c r="F601" s="11">
        <v>6573</v>
      </c>
      <c r="G601">
        <f t="shared" ca="1" si="39"/>
        <v>10</v>
      </c>
      <c r="H601" s="11">
        <f ca="1">IF(Table1[[#This Row],[Category]]="Electronics",Table1[[#This Row],[Sales]]*0.6,
IF(Table1[[#This Row],[Category]]="Furniture",Table1[[#This Row],[Sales]]*0.75,
IF(Table1[[#This Row],[Category]]="Clothing",Table1[[#This Row],[Sales]]*0.65,
Table1[[#This Row],[Sales]]*0.7)))</f>
        <v>4601.0999999999995</v>
      </c>
      <c r="I601" s="11">
        <f ca="1">Table1[[#This Row],[Sales]]-H601</f>
        <v>1971.9000000000005</v>
      </c>
      <c r="J601" s="2">
        <f ca="1">Table1[[#This Row],[Profit]]/Table1[[#This Row],[Sales]]</f>
        <v>0.3000000000000001</v>
      </c>
      <c r="K601" t="str">
        <f ca="1">TEXT(Table1[[#This Row],[Order_Date]],"mmm")</f>
        <v>Sep</v>
      </c>
      <c r="L601">
        <f ca="1">YEAR(Table1[[#This Row],[Order_Date]])</f>
        <v>2023</v>
      </c>
    </row>
    <row r="602" spans="1:12" x14ac:dyDescent="0.3">
      <c r="A602">
        <f t="shared" si="36"/>
        <v>601</v>
      </c>
      <c r="B602" s="1">
        <f t="shared" ca="1" si="37"/>
        <v>44952</v>
      </c>
      <c r="C602" t="s">
        <v>7</v>
      </c>
      <c r="D602" t="str">
        <f t="shared" ca="1" si="38"/>
        <v>Electronics</v>
      </c>
      <c r="E602" t="s">
        <v>39</v>
      </c>
      <c r="F602" s="11">
        <v>8089</v>
      </c>
      <c r="G602">
        <f t="shared" ca="1" si="39"/>
        <v>3</v>
      </c>
      <c r="H602" s="11">
        <f ca="1">IF(Table1[[#This Row],[Category]]="Electronics",Table1[[#This Row],[Sales]]*0.6,
IF(Table1[[#This Row],[Category]]="Furniture",Table1[[#This Row],[Sales]]*0.75,
IF(Table1[[#This Row],[Category]]="Clothing",Table1[[#This Row],[Sales]]*0.65,
Table1[[#This Row],[Sales]]*0.7)))</f>
        <v>4853.3999999999996</v>
      </c>
      <c r="I602" s="11">
        <f ca="1">Table1[[#This Row],[Sales]]-H602</f>
        <v>3235.6000000000004</v>
      </c>
      <c r="J602" s="2">
        <f ca="1">Table1[[#This Row],[Profit]]/Table1[[#This Row],[Sales]]</f>
        <v>0.4</v>
      </c>
      <c r="K602" t="str">
        <f ca="1">TEXT(Table1[[#This Row],[Order_Date]],"mmm")</f>
        <v>Jan</v>
      </c>
      <c r="L602">
        <f ca="1">YEAR(Table1[[#This Row],[Order_Date]])</f>
        <v>2023</v>
      </c>
    </row>
    <row r="603" spans="1:12" x14ac:dyDescent="0.3">
      <c r="A603">
        <f t="shared" si="36"/>
        <v>602</v>
      </c>
      <c r="B603" s="1">
        <f t="shared" ca="1" si="37"/>
        <v>45082</v>
      </c>
      <c r="C603" t="s">
        <v>8</v>
      </c>
      <c r="D603" t="str">
        <f t="shared" ca="1" si="38"/>
        <v>Electronics</v>
      </c>
      <c r="E603" t="s">
        <v>55</v>
      </c>
      <c r="F603" s="11">
        <v>17255</v>
      </c>
      <c r="G603">
        <f t="shared" ca="1" si="39"/>
        <v>10</v>
      </c>
      <c r="H603" s="11">
        <f ca="1">IF(Table1[[#This Row],[Category]]="Electronics",Table1[[#This Row],[Sales]]*0.6,
IF(Table1[[#This Row],[Category]]="Furniture",Table1[[#This Row],[Sales]]*0.75,
IF(Table1[[#This Row],[Category]]="Clothing",Table1[[#This Row],[Sales]]*0.65,
Table1[[#This Row],[Sales]]*0.7)))</f>
        <v>10353</v>
      </c>
      <c r="I603" s="11">
        <f ca="1">Table1[[#This Row],[Sales]]-H603</f>
        <v>6902</v>
      </c>
      <c r="J603" s="2">
        <f ca="1">Table1[[#This Row],[Profit]]/Table1[[#This Row],[Sales]]</f>
        <v>0.4</v>
      </c>
      <c r="K603" t="str">
        <f ca="1">TEXT(Table1[[#This Row],[Order_Date]],"mmm")</f>
        <v>Jun</v>
      </c>
      <c r="L603">
        <f ca="1">YEAR(Table1[[#This Row],[Order_Date]])</f>
        <v>2023</v>
      </c>
    </row>
    <row r="604" spans="1:12" x14ac:dyDescent="0.3">
      <c r="A604">
        <f t="shared" si="36"/>
        <v>603</v>
      </c>
      <c r="B604" s="1">
        <f t="shared" ca="1" si="37"/>
        <v>45213</v>
      </c>
      <c r="C604" t="s">
        <v>9</v>
      </c>
      <c r="D604" t="str">
        <f t="shared" ca="1" si="38"/>
        <v>Office Supplies</v>
      </c>
      <c r="E604" t="s">
        <v>50</v>
      </c>
      <c r="F604" s="11">
        <v>9984</v>
      </c>
      <c r="G604">
        <f t="shared" ca="1" si="39"/>
        <v>9</v>
      </c>
      <c r="H604" s="11">
        <f ca="1">IF(Table1[[#This Row],[Category]]="Electronics",Table1[[#This Row],[Sales]]*0.6,
IF(Table1[[#This Row],[Category]]="Furniture",Table1[[#This Row],[Sales]]*0.75,
IF(Table1[[#This Row],[Category]]="Clothing",Table1[[#This Row],[Sales]]*0.65,
Table1[[#This Row],[Sales]]*0.7)))</f>
        <v>6988.7999999999993</v>
      </c>
      <c r="I604" s="11">
        <f ca="1">Table1[[#This Row],[Sales]]-H604</f>
        <v>2995.2000000000007</v>
      </c>
      <c r="J604" s="2">
        <f ca="1">Table1[[#This Row],[Profit]]/Table1[[#This Row],[Sales]]</f>
        <v>0.3000000000000001</v>
      </c>
      <c r="K604" t="str">
        <f ca="1">TEXT(Table1[[#This Row],[Order_Date]],"mmm")</f>
        <v>Oct</v>
      </c>
      <c r="L604">
        <f ca="1">YEAR(Table1[[#This Row],[Order_Date]])</f>
        <v>2023</v>
      </c>
    </row>
    <row r="605" spans="1:12" x14ac:dyDescent="0.3">
      <c r="A605">
        <f t="shared" si="36"/>
        <v>604</v>
      </c>
      <c r="B605" s="1">
        <f t="shared" ca="1" si="37"/>
        <v>45005</v>
      </c>
      <c r="C605" t="s">
        <v>10</v>
      </c>
      <c r="D605" t="str">
        <f t="shared" ca="1" si="38"/>
        <v>Electronics</v>
      </c>
      <c r="E605" t="s">
        <v>40</v>
      </c>
      <c r="F605" s="11">
        <v>9957</v>
      </c>
      <c r="G605">
        <f t="shared" ca="1" si="39"/>
        <v>8</v>
      </c>
      <c r="H605" s="11">
        <f ca="1">IF(Table1[[#This Row],[Category]]="Electronics",Table1[[#This Row],[Sales]]*0.6,
IF(Table1[[#This Row],[Category]]="Furniture",Table1[[#This Row],[Sales]]*0.75,
IF(Table1[[#This Row],[Category]]="Clothing",Table1[[#This Row],[Sales]]*0.65,
Table1[[#This Row],[Sales]]*0.7)))</f>
        <v>5974.2</v>
      </c>
      <c r="I605" s="11">
        <f ca="1">Table1[[#This Row],[Sales]]-H605</f>
        <v>3982.8</v>
      </c>
      <c r="J605" s="2">
        <f ca="1">Table1[[#This Row],[Profit]]/Table1[[#This Row],[Sales]]</f>
        <v>0.4</v>
      </c>
      <c r="K605" t="str">
        <f ca="1">TEXT(Table1[[#This Row],[Order_Date]],"mmm")</f>
        <v>Mar</v>
      </c>
      <c r="L605">
        <f ca="1">YEAR(Table1[[#This Row],[Order_Date]])</f>
        <v>2023</v>
      </c>
    </row>
    <row r="606" spans="1:12" x14ac:dyDescent="0.3">
      <c r="A606">
        <f t="shared" si="36"/>
        <v>605</v>
      </c>
      <c r="B606" s="1">
        <f t="shared" ca="1" si="37"/>
        <v>45021</v>
      </c>
      <c r="C606" t="s">
        <v>7</v>
      </c>
      <c r="D606" t="str">
        <f t="shared" ca="1" si="38"/>
        <v>Clothing</v>
      </c>
      <c r="E606" t="s">
        <v>53</v>
      </c>
      <c r="F606" s="11">
        <v>11889</v>
      </c>
      <c r="G606">
        <f t="shared" ca="1" si="39"/>
        <v>6</v>
      </c>
      <c r="H606" s="11">
        <f ca="1">IF(Table1[[#This Row],[Category]]="Electronics",Table1[[#This Row],[Sales]]*0.6,
IF(Table1[[#This Row],[Category]]="Furniture",Table1[[#This Row],[Sales]]*0.75,
IF(Table1[[#This Row],[Category]]="Clothing",Table1[[#This Row],[Sales]]*0.65,
Table1[[#This Row],[Sales]]*0.7)))</f>
        <v>7727.85</v>
      </c>
      <c r="I606" s="11">
        <f ca="1">Table1[[#This Row],[Sales]]-H606</f>
        <v>4161.1499999999996</v>
      </c>
      <c r="J606" s="2">
        <f ca="1">Table1[[#This Row],[Profit]]/Table1[[#This Row],[Sales]]</f>
        <v>0.35</v>
      </c>
      <c r="K606" t="str">
        <f ca="1">TEXT(Table1[[#This Row],[Order_Date]],"mmm")</f>
        <v>Apr</v>
      </c>
      <c r="L606">
        <f ca="1">YEAR(Table1[[#This Row],[Order_Date]])</f>
        <v>2023</v>
      </c>
    </row>
    <row r="607" spans="1:12" x14ac:dyDescent="0.3">
      <c r="A607">
        <f t="shared" si="36"/>
        <v>606</v>
      </c>
      <c r="B607" s="1">
        <f t="shared" ca="1" si="37"/>
        <v>45235</v>
      </c>
      <c r="C607" t="s">
        <v>8</v>
      </c>
      <c r="D607" t="str">
        <f t="shared" ca="1" si="38"/>
        <v>Furniture</v>
      </c>
      <c r="E607" t="s">
        <v>74</v>
      </c>
      <c r="F607" s="11">
        <v>4795</v>
      </c>
      <c r="G607">
        <f t="shared" ca="1" si="39"/>
        <v>4</v>
      </c>
      <c r="H607" s="11">
        <f ca="1">IF(Table1[[#This Row],[Category]]="Electronics",Table1[[#This Row],[Sales]]*0.6,
IF(Table1[[#This Row],[Category]]="Furniture",Table1[[#This Row],[Sales]]*0.75,
IF(Table1[[#This Row],[Category]]="Clothing",Table1[[#This Row],[Sales]]*0.65,
Table1[[#This Row],[Sales]]*0.7)))</f>
        <v>3596.25</v>
      </c>
      <c r="I607" s="11">
        <f ca="1">Table1[[#This Row],[Sales]]-H607</f>
        <v>1198.75</v>
      </c>
      <c r="J607" s="2">
        <f ca="1">Table1[[#This Row],[Profit]]/Table1[[#This Row],[Sales]]</f>
        <v>0.25</v>
      </c>
      <c r="K607" t="str">
        <f ca="1">TEXT(Table1[[#This Row],[Order_Date]],"mmm")</f>
        <v>Nov</v>
      </c>
      <c r="L607">
        <f ca="1">YEAR(Table1[[#This Row],[Order_Date]])</f>
        <v>2023</v>
      </c>
    </row>
    <row r="608" spans="1:12" x14ac:dyDescent="0.3">
      <c r="A608">
        <f t="shared" si="36"/>
        <v>607</v>
      </c>
      <c r="B608" s="1">
        <f t="shared" ca="1" si="37"/>
        <v>44952</v>
      </c>
      <c r="C608" t="s">
        <v>9</v>
      </c>
      <c r="D608" t="str">
        <f t="shared" ca="1" si="38"/>
        <v>Electronics</v>
      </c>
      <c r="E608" t="s">
        <v>74</v>
      </c>
      <c r="F608" s="11">
        <v>17704</v>
      </c>
      <c r="G608">
        <f t="shared" ca="1" si="39"/>
        <v>10</v>
      </c>
      <c r="H608" s="11">
        <f ca="1">IF(Table1[[#This Row],[Category]]="Electronics",Table1[[#This Row],[Sales]]*0.6,
IF(Table1[[#This Row],[Category]]="Furniture",Table1[[#This Row],[Sales]]*0.75,
IF(Table1[[#This Row],[Category]]="Clothing",Table1[[#This Row],[Sales]]*0.65,
Table1[[#This Row],[Sales]]*0.7)))</f>
        <v>10622.4</v>
      </c>
      <c r="I608" s="11">
        <f ca="1">Table1[[#This Row],[Sales]]-H608</f>
        <v>7081.6</v>
      </c>
      <c r="J608" s="2">
        <f ca="1">Table1[[#This Row],[Profit]]/Table1[[#This Row],[Sales]]</f>
        <v>0.4</v>
      </c>
      <c r="K608" t="str">
        <f ca="1">TEXT(Table1[[#This Row],[Order_Date]],"mmm")</f>
        <v>Jan</v>
      </c>
      <c r="L608">
        <f ca="1">YEAR(Table1[[#This Row],[Order_Date]])</f>
        <v>2023</v>
      </c>
    </row>
    <row r="609" spans="1:12" x14ac:dyDescent="0.3">
      <c r="A609">
        <f t="shared" si="36"/>
        <v>608</v>
      </c>
      <c r="B609" s="1">
        <f t="shared" ca="1" si="37"/>
        <v>45042</v>
      </c>
      <c r="C609" t="s">
        <v>10</v>
      </c>
      <c r="D609" t="str">
        <f t="shared" ca="1" si="38"/>
        <v>Office Supplies</v>
      </c>
      <c r="E609" t="s">
        <v>67</v>
      </c>
      <c r="F609" s="11">
        <v>12695</v>
      </c>
      <c r="G609">
        <f t="shared" ca="1" si="39"/>
        <v>6</v>
      </c>
      <c r="H609" s="11">
        <f ca="1">IF(Table1[[#This Row],[Category]]="Electronics",Table1[[#This Row],[Sales]]*0.6,
IF(Table1[[#This Row],[Category]]="Furniture",Table1[[#This Row],[Sales]]*0.75,
IF(Table1[[#This Row],[Category]]="Clothing",Table1[[#This Row],[Sales]]*0.65,
Table1[[#This Row],[Sales]]*0.7)))</f>
        <v>8886.5</v>
      </c>
      <c r="I609" s="11">
        <f ca="1">Table1[[#This Row],[Sales]]-H609</f>
        <v>3808.5</v>
      </c>
      <c r="J609" s="2">
        <f ca="1">Table1[[#This Row],[Profit]]/Table1[[#This Row],[Sales]]</f>
        <v>0.3</v>
      </c>
      <c r="K609" t="str">
        <f ca="1">TEXT(Table1[[#This Row],[Order_Date]],"mmm")</f>
        <v>Apr</v>
      </c>
      <c r="L609">
        <f ca="1">YEAR(Table1[[#This Row],[Order_Date]])</f>
        <v>2023</v>
      </c>
    </row>
    <row r="610" spans="1:12" x14ac:dyDescent="0.3">
      <c r="A610">
        <f t="shared" si="36"/>
        <v>609</v>
      </c>
      <c r="B610" s="1">
        <f t="shared" ca="1" si="37"/>
        <v>45011</v>
      </c>
      <c r="C610" t="s">
        <v>7</v>
      </c>
      <c r="D610" t="str">
        <f t="shared" ca="1" si="38"/>
        <v>Furniture</v>
      </c>
      <c r="E610" t="s">
        <v>82</v>
      </c>
      <c r="F610" s="11">
        <v>2315</v>
      </c>
      <c r="G610">
        <f t="shared" ca="1" si="39"/>
        <v>4</v>
      </c>
      <c r="H610" s="11">
        <f ca="1">IF(Table1[[#This Row],[Category]]="Electronics",Table1[[#This Row],[Sales]]*0.6,
IF(Table1[[#This Row],[Category]]="Furniture",Table1[[#This Row],[Sales]]*0.75,
IF(Table1[[#This Row],[Category]]="Clothing",Table1[[#This Row],[Sales]]*0.65,
Table1[[#This Row],[Sales]]*0.7)))</f>
        <v>1736.25</v>
      </c>
      <c r="I610" s="11">
        <f ca="1">Table1[[#This Row],[Sales]]-H610</f>
        <v>578.75</v>
      </c>
      <c r="J610" s="2">
        <f ca="1">Table1[[#This Row],[Profit]]/Table1[[#This Row],[Sales]]</f>
        <v>0.25</v>
      </c>
      <c r="K610" t="str">
        <f ca="1">TEXT(Table1[[#This Row],[Order_Date]],"mmm")</f>
        <v>Mar</v>
      </c>
      <c r="L610">
        <f ca="1">YEAR(Table1[[#This Row],[Order_Date]])</f>
        <v>2023</v>
      </c>
    </row>
    <row r="611" spans="1:12" x14ac:dyDescent="0.3">
      <c r="A611">
        <f t="shared" si="36"/>
        <v>610</v>
      </c>
      <c r="B611" s="1">
        <f t="shared" ca="1" si="37"/>
        <v>44984</v>
      </c>
      <c r="C611" t="s">
        <v>8</v>
      </c>
      <c r="D611" t="str">
        <f t="shared" ca="1" si="38"/>
        <v>Furniture</v>
      </c>
      <c r="E611" t="s">
        <v>80</v>
      </c>
      <c r="F611" s="11">
        <v>2642</v>
      </c>
      <c r="G611">
        <f t="shared" ca="1" si="39"/>
        <v>1</v>
      </c>
      <c r="H611" s="11">
        <f ca="1">IF(Table1[[#This Row],[Category]]="Electronics",Table1[[#This Row],[Sales]]*0.6,
IF(Table1[[#This Row],[Category]]="Furniture",Table1[[#This Row],[Sales]]*0.75,
IF(Table1[[#This Row],[Category]]="Clothing",Table1[[#This Row],[Sales]]*0.65,
Table1[[#This Row],[Sales]]*0.7)))</f>
        <v>1981.5</v>
      </c>
      <c r="I611" s="11">
        <f ca="1">Table1[[#This Row],[Sales]]-H611</f>
        <v>660.5</v>
      </c>
      <c r="J611" s="2">
        <f ca="1">Table1[[#This Row],[Profit]]/Table1[[#This Row],[Sales]]</f>
        <v>0.25</v>
      </c>
      <c r="K611" t="str">
        <f ca="1">TEXT(Table1[[#This Row],[Order_Date]],"mmm")</f>
        <v>Feb</v>
      </c>
      <c r="L611">
        <f ca="1">YEAR(Table1[[#This Row],[Order_Date]])</f>
        <v>2023</v>
      </c>
    </row>
    <row r="612" spans="1:12" x14ac:dyDescent="0.3">
      <c r="A612">
        <f t="shared" si="36"/>
        <v>611</v>
      </c>
      <c r="B612" s="1">
        <f t="shared" ca="1" si="37"/>
        <v>45197</v>
      </c>
      <c r="C612" t="s">
        <v>9</v>
      </c>
      <c r="D612" t="str">
        <f t="shared" ca="1" si="38"/>
        <v>Electronics</v>
      </c>
      <c r="E612" t="s">
        <v>64</v>
      </c>
      <c r="F612" s="11">
        <v>6699</v>
      </c>
      <c r="G612">
        <f t="shared" ca="1" si="39"/>
        <v>7</v>
      </c>
      <c r="H612" s="11">
        <f ca="1">IF(Table1[[#This Row],[Category]]="Electronics",Table1[[#This Row],[Sales]]*0.6,
IF(Table1[[#This Row],[Category]]="Furniture",Table1[[#This Row],[Sales]]*0.75,
IF(Table1[[#This Row],[Category]]="Clothing",Table1[[#This Row],[Sales]]*0.65,
Table1[[#This Row],[Sales]]*0.7)))</f>
        <v>4019.3999999999996</v>
      </c>
      <c r="I612" s="11">
        <f ca="1">Table1[[#This Row],[Sales]]-H612</f>
        <v>2679.6000000000004</v>
      </c>
      <c r="J612" s="2">
        <f ca="1">Table1[[#This Row],[Profit]]/Table1[[#This Row],[Sales]]</f>
        <v>0.40000000000000008</v>
      </c>
      <c r="K612" t="str">
        <f ca="1">TEXT(Table1[[#This Row],[Order_Date]],"mmm")</f>
        <v>Sep</v>
      </c>
      <c r="L612">
        <f ca="1">YEAR(Table1[[#This Row],[Order_Date]])</f>
        <v>2023</v>
      </c>
    </row>
    <row r="613" spans="1:12" x14ac:dyDescent="0.3">
      <c r="A613">
        <f t="shared" si="36"/>
        <v>612</v>
      </c>
      <c r="B613" s="1">
        <f t="shared" ca="1" si="37"/>
        <v>45159</v>
      </c>
      <c r="C613" t="s">
        <v>10</v>
      </c>
      <c r="D613" t="str">
        <f t="shared" ca="1" si="38"/>
        <v>Furniture</v>
      </c>
      <c r="E613" t="s">
        <v>64</v>
      </c>
      <c r="F613" s="11">
        <v>12666</v>
      </c>
      <c r="G613">
        <f t="shared" ca="1" si="39"/>
        <v>10</v>
      </c>
      <c r="H613" s="11">
        <f ca="1">IF(Table1[[#This Row],[Category]]="Electronics",Table1[[#This Row],[Sales]]*0.6,
IF(Table1[[#This Row],[Category]]="Furniture",Table1[[#This Row],[Sales]]*0.75,
IF(Table1[[#This Row],[Category]]="Clothing",Table1[[#This Row],[Sales]]*0.65,
Table1[[#This Row],[Sales]]*0.7)))</f>
        <v>9499.5</v>
      </c>
      <c r="I613" s="11">
        <f ca="1">Table1[[#This Row],[Sales]]-H613</f>
        <v>3166.5</v>
      </c>
      <c r="J613" s="2">
        <f ca="1">Table1[[#This Row],[Profit]]/Table1[[#This Row],[Sales]]</f>
        <v>0.25</v>
      </c>
      <c r="K613" t="str">
        <f ca="1">TEXT(Table1[[#This Row],[Order_Date]],"mmm")</f>
        <v>Aug</v>
      </c>
      <c r="L613">
        <f ca="1">YEAR(Table1[[#This Row],[Order_Date]])</f>
        <v>2023</v>
      </c>
    </row>
    <row r="614" spans="1:12" x14ac:dyDescent="0.3">
      <c r="A614">
        <f t="shared" si="36"/>
        <v>613</v>
      </c>
      <c r="B614" s="1">
        <f t="shared" ca="1" si="37"/>
        <v>45276</v>
      </c>
      <c r="C614" t="s">
        <v>7</v>
      </c>
      <c r="D614" t="str">
        <f t="shared" ca="1" si="38"/>
        <v>Electronics</v>
      </c>
      <c r="E614" t="s">
        <v>40</v>
      </c>
      <c r="F614" s="11">
        <v>19323</v>
      </c>
      <c r="G614">
        <f t="shared" ca="1" si="39"/>
        <v>7</v>
      </c>
      <c r="H614" s="11">
        <f ca="1">IF(Table1[[#This Row],[Category]]="Electronics",Table1[[#This Row],[Sales]]*0.6,
IF(Table1[[#This Row],[Category]]="Furniture",Table1[[#This Row],[Sales]]*0.75,
IF(Table1[[#This Row],[Category]]="Clothing",Table1[[#This Row],[Sales]]*0.65,
Table1[[#This Row],[Sales]]*0.7)))</f>
        <v>11593.8</v>
      </c>
      <c r="I614" s="11">
        <f ca="1">Table1[[#This Row],[Sales]]-H614</f>
        <v>7729.2000000000007</v>
      </c>
      <c r="J614" s="2">
        <f ca="1">Table1[[#This Row],[Profit]]/Table1[[#This Row],[Sales]]</f>
        <v>0.4</v>
      </c>
      <c r="K614" t="str">
        <f ca="1">TEXT(Table1[[#This Row],[Order_Date]],"mmm")</f>
        <v>Dec</v>
      </c>
      <c r="L614">
        <f ca="1">YEAR(Table1[[#This Row],[Order_Date]])</f>
        <v>2023</v>
      </c>
    </row>
    <row r="615" spans="1:12" x14ac:dyDescent="0.3">
      <c r="A615">
        <f t="shared" si="36"/>
        <v>614</v>
      </c>
      <c r="B615" s="1">
        <f t="shared" ca="1" si="37"/>
        <v>44993</v>
      </c>
      <c r="C615" t="s">
        <v>8</v>
      </c>
      <c r="D615" t="str">
        <f t="shared" ca="1" si="38"/>
        <v>Furniture</v>
      </c>
      <c r="E615" t="s">
        <v>81</v>
      </c>
      <c r="F615" s="11">
        <v>13355</v>
      </c>
      <c r="G615">
        <f t="shared" ca="1" si="39"/>
        <v>8</v>
      </c>
      <c r="H615" s="11">
        <f ca="1">IF(Table1[[#This Row],[Category]]="Electronics",Table1[[#This Row],[Sales]]*0.6,
IF(Table1[[#This Row],[Category]]="Furniture",Table1[[#This Row],[Sales]]*0.75,
IF(Table1[[#This Row],[Category]]="Clothing",Table1[[#This Row],[Sales]]*0.65,
Table1[[#This Row],[Sales]]*0.7)))</f>
        <v>10016.25</v>
      </c>
      <c r="I615" s="11">
        <f ca="1">Table1[[#This Row],[Sales]]-H615</f>
        <v>3338.75</v>
      </c>
      <c r="J615" s="2">
        <f ca="1">Table1[[#This Row],[Profit]]/Table1[[#This Row],[Sales]]</f>
        <v>0.25</v>
      </c>
      <c r="K615" t="str">
        <f ca="1">TEXT(Table1[[#This Row],[Order_Date]],"mmm")</f>
        <v>Mar</v>
      </c>
      <c r="L615">
        <f ca="1">YEAR(Table1[[#This Row],[Order_Date]])</f>
        <v>2023</v>
      </c>
    </row>
    <row r="616" spans="1:12" x14ac:dyDescent="0.3">
      <c r="A616">
        <f t="shared" si="36"/>
        <v>615</v>
      </c>
      <c r="B616" s="1">
        <f t="shared" ca="1" si="37"/>
        <v>45043</v>
      </c>
      <c r="C616" t="s">
        <v>9</v>
      </c>
      <c r="D616" t="str">
        <f t="shared" ca="1" si="38"/>
        <v>Electronics</v>
      </c>
      <c r="E616" t="s">
        <v>60</v>
      </c>
      <c r="F616" s="11">
        <v>500</v>
      </c>
      <c r="G616">
        <f t="shared" ca="1" si="39"/>
        <v>3</v>
      </c>
      <c r="H616" s="11">
        <f ca="1">IF(Table1[[#This Row],[Category]]="Electronics",Table1[[#This Row],[Sales]]*0.6,
IF(Table1[[#This Row],[Category]]="Furniture",Table1[[#This Row],[Sales]]*0.75,
IF(Table1[[#This Row],[Category]]="Clothing",Table1[[#This Row],[Sales]]*0.65,
Table1[[#This Row],[Sales]]*0.7)))</f>
        <v>300</v>
      </c>
      <c r="I616" s="11">
        <f ca="1">Table1[[#This Row],[Sales]]-H616</f>
        <v>200</v>
      </c>
      <c r="J616" s="2">
        <f ca="1">Table1[[#This Row],[Profit]]/Table1[[#This Row],[Sales]]</f>
        <v>0.4</v>
      </c>
      <c r="K616" t="str">
        <f ca="1">TEXT(Table1[[#This Row],[Order_Date]],"mmm")</f>
        <v>Apr</v>
      </c>
      <c r="L616">
        <f ca="1">YEAR(Table1[[#This Row],[Order_Date]])</f>
        <v>2023</v>
      </c>
    </row>
    <row r="617" spans="1:12" x14ac:dyDescent="0.3">
      <c r="A617">
        <f t="shared" si="36"/>
        <v>616</v>
      </c>
      <c r="B617" s="1">
        <f t="shared" ca="1" si="37"/>
        <v>45110</v>
      </c>
      <c r="C617" t="s">
        <v>10</v>
      </c>
      <c r="D617" t="str">
        <f t="shared" ca="1" si="38"/>
        <v>Electronics</v>
      </c>
      <c r="E617" t="s">
        <v>62</v>
      </c>
      <c r="F617" s="11">
        <v>15646</v>
      </c>
      <c r="G617">
        <f t="shared" ca="1" si="39"/>
        <v>4</v>
      </c>
      <c r="H617" s="11">
        <f ca="1">IF(Table1[[#This Row],[Category]]="Electronics",Table1[[#This Row],[Sales]]*0.6,
IF(Table1[[#This Row],[Category]]="Furniture",Table1[[#This Row],[Sales]]*0.75,
IF(Table1[[#This Row],[Category]]="Clothing",Table1[[#This Row],[Sales]]*0.65,
Table1[[#This Row],[Sales]]*0.7)))</f>
        <v>9387.6</v>
      </c>
      <c r="I617" s="11">
        <f ca="1">Table1[[#This Row],[Sales]]-H617</f>
        <v>6258.4</v>
      </c>
      <c r="J617" s="2">
        <f ca="1">Table1[[#This Row],[Profit]]/Table1[[#This Row],[Sales]]</f>
        <v>0.39999999999999997</v>
      </c>
      <c r="K617" t="str">
        <f ca="1">TEXT(Table1[[#This Row],[Order_Date]],"mmm")</f>
        <v>Jul</v>
      </c>
      <c r="L617">
        <f ca="1">YEAR(Table1[[#This Row],[Order_Date]])</f>
        <v>2023</v>
      </c>
    </row>
    <row r="618" spans="1:12" x14ac:dyDescent="0.3">
      <c r="A618">
        <f t="shared" si="36"/>
        <v>617</v>
      </c>
      <c r="B618" s="1">
        <f t="shared" ca="1" si="37"/>
        <v>44995</v>
      </c>
      <c r="C618" t="s">
        <v>7</v>
      </c>
      <c r="D618" t="str">
        <f t="shared" ca="1" si="38"/>
        <v>Electronics</v>
      </c>
      <c r="E618" t="s">
        <v>48</v>
      </c>
      <c r="F618" s="11">
        <v>10091</v>
      </c>
      <c r="G618">
        <f t="shared" ca="1" si="39"/>
        <v>2</v>
      </c>
      <c r="H618" s="11">
        <f ca="1">IF(Table1[[#This Row],[Category]]="Electronics",Table1[[#This Row],[Sales]]*0.6,
IF(Table1[[#This Row],[Category]]="Furniture",Table1[[#This Row],[Sales]]*0.75,
IF(Table1[[#This Row],[Category]]="Clothing",Table1[[#This Row],[Sales]]*0.65,
Table1[[#This Row],[Sales]]*0.7)))</f>
        <v>6054.5999999999995</v>
      </c>
      <c r="I618" s="11">
        <f ca="1">Table1[[#This Row],[Sales]]-H618</f>
        <v>4036.4000000000005</v>
      </c>
      <c r="J618" s="2">
        <f ca="1">Table1[[#This Row],[Profit]]/Table1[[#This Row],[Sales]]</f>
        <v>0.40000000000000008</v>
      </c>
      <c r="K618" t="str">
        <f ca="1">TEXT(Table1[[#This Row],[Order_Date]],"mmm")</f>
        <v>Mar</v>
      </c>
      <c r="L618">
        <f ca="1">YEAR(Table1[[#This Row],[Order_Date]])</f>
        <v>2023</v>
      </c>
    </row>
    <row r="619" spans="1:12" x14ac:dyDescent="0.3">
      <c r="A619">
        <f t="shared" si="36"/>
        <v>618</v>
      </c>
      <c r="B619" s="1">
        <f t="shared" ca="1" si="37"/>
        <v>45185</v>
      </c>
      <c r="C619" t="s">
        <v>8</v>
      </c>
      <c r="D619" t="str">
        <f t="shared" ca="1" si="38"/>
        <v>Furniture</v>
      </c>
      <c r="E619" t="s">
        <v>47</v>
      </c>
      <c r="F619" s="11">
        <v>9666</v>
      </c>
      <c r="G619">
        <f t="shared" ca="1" si="39"/>
        <v>1</v>
      </c>
      <c r="H619" s="11">
        <f ca="1">IF(Table1[[#This Row],[Category]]="Electronics",Table1[[#This Row],[Sales]]*0.6,
IF(Table1[[#This Row],[Category]]="Furniture",Table1[[#This Row],[Sales]]*0.75,
IF(Table1[[#This Row],[Category]]="Clothing",Table1[[#This Row],[Sales]]*0.65,
Table1[[#This Row],[Sales]]*0.7)))</f>
        <v>7249.5</v>
      </c>
      <c r="I619" s="11">
        <f ca="1">Table1[[#This Row],[Sales]]-H619</f>
        <v>2416.5</v>
      </c>
      <c r="J619" s="2">
        <f ca="1">Table1[[#This Row],[Profit]]/Table1[[#This Row],[Sales]]</f>
        <v>0.25</v>
      </c>
      <c r="K619" t="str">
        <f ca="1">TEXT(Table1[[#This Row],[Order_Date]],"mmm")</f>
        <v>Sep</v>
      </c>
      <c r="L619">
        <f ca="1">YEAR(Table1[[#This Row],[Order_Date]])</f>
        <v>2023</v>
      </c>
    </row>
    <row r="620" spans="1:12" x14ac:dyDescent="0.3">
      <c r="A620">
        <f t="shared" si="36"/>
        <v>619</v>
      </c>
      <c r="B620" s="1">
        <f t="shared" ca="1" si="37"/>
        <v>45241</v>
      </c>
      <c r="C620" t="s">
        <v>9</v>
      </c>
      <c r="D620" t="str">
        <f t="shared" ca="1" si="38"/>
        <v>Office Supplies</v>
      </c>
      <c r="E620" t="s">
        <v>62</v>
      </c>
      <c r="F620" s="11">
        <v>8573</v>
      </c>
      <c r="G620">
        <f t="shared" ca="1" si="39"/>
        <v>2</v>
      </c>
      <c r="H620" s="11">
        <f ca="1">IF(Table1[[#This Row],[Category]]="Electronics",Table1[[#This Row],[Sales]]*0.6,
IF(Table1[[#This Row],[Category]]="Furniture",Table1[[#This Row],[Sales]]*0.75,
IF(Table1[[#This Row],[Category]]="Clothing",Table1[[#This Row],[Sales]]*0.65,
Table1[[#This Row],[Sales]]*0.7)))</f>
        <v>6001.0999999999995</v>
      </c>
      <c r="I620" s="11">
        <f ca="1">Table1[[#This Row],[Sales]]-H620</f>
        <v>2571.9000000000005</v>
      </c>
      <c r="J620" s="2">
        <f ca="1">Table1[[#This Row],[Profit]]/Table1[[#This Row],[Sales]]</f>
        <v>0.30000000000000004</v>
      </c>
      <c r="K620" t="str">
        <f ca="1">TEXT(Table1[[#This Row],[Order_Date]],"mmm")</f>
        <v>Nov</v>
      </c>
      <c r="L620">
        <f ca="1">YEAR(Table1[[#This Row],[Order_Date]])</f>
        <v>2023</v>
      </c>
    </row>
    <row r="621" spans="1:12" x14ac:dyDescent="0.3">
      <c r="A621">
        <f t="shared" si="36"/>
        <v>620</v>
      </c>
      <c r="B621" s="1">
        <f t="shared" ca="1" si="37"/>
        <v>45104</v>
      </c>
      <c r="C621" t="s">
        <v>10</v>
      </c>
      <c r="D621" t="str">
        <f t="shared" ca="1" si="38"/>
        <v>Furniture</v>
      </c>
      <c r="E621" t="s">
        <v>76</v>
      </c>
      <c r="F621" s="11">
        <v>15735</v>
      </c>
      <c r="G621">
        <f t="shared" ca="1" si="39"/>
        <v>3</v>
      </c>
      <c r="H621" s="11">
        <f ca="1">IF(Table1[[#This Row],[Category]]="Electronics",Table1[[#This Row],[Sales]]*0.6,
IF(Table1[[#This Row],[Category]]="Furniture",Table1[[#This Row],[Sales]]*0.75,
IF(Table1[[#This Row],[Category]]="Clothing",Table1[[#This Row],[Sales]]*0.65,
Table1[[#This Row],[Sales]]*0.7)))</f>
        <v>11801.25</v>
      </c>
      <c r="I621" s="11">
        <f ca="1">Table1[[#This Row],[Sales]]-H621</f>
        <v>3933.75</v>
      </c>
      <c r="J621" s="2">
        <f ca="1">Table1[[#This Row],[Profit]]/Table1[[#This Row],[Sales]]</f>
        <v>0.25</v>
      </c>
      <c r="K621" t="str">
        <f ca="1">TEXT(Table1[[#This Row],[Order_Date]],"mmm")</f>
        <v>Jun</v>
      </c>
      <c r="L621">
        <f ca="1">YEAR(Table1[[#This Row],[Order_Date]])</f>
        <v>2023</v>
      </c>
    </row>
    <row r="622" spans="1:12" x14ac:dyDescent="0.3">
      <c r="A622">
        <f t="shared" si="36"/>
        <v>621</v>
      </c>
      <c r="B622" s="1">
        <f t="shared" ca="1" si="37"/>
        <v>45089</v>
      </c>
      <c r="C622" t="s">
        <v>7</v>
      </c>
      <c r="D622" t="str">
        <f t="shared" ca="1" si="38"/>
        <v>Clothing</v>
      </c>
      <c r="E622" t="s">
        <v>74</v>
      </c>
      <c r="F622" s="11">
        <v>6342</v>
      </c>
      <c r="G622">
        <f t="shared" ca="1" si="39"/>
        <v>8</v>
      </c>
      <c r="H622" s="11">
        <f ca="1">IF(Table1[[#This Row],[Category]]="Electronics",Table1[[#This Row],[Sales]]*0.6,
IF(Table1[[#This Row],[Category]]="Furniture",Table1[[#This Row],[Sales]]*0.75,
IF(Table1[[#This Row],[Category]]="Clothing",Table1[[#This Row],[Sales]]*0.65,
Table1[[#This Row],[Sales]]*0.7)))</f>
        <v>4122.3</v>
      </c>
      <c r="I622" s="11">
        <f ca="1">Table1[[#This Row],[Sales]]-H622</f>
        <v>2219.6999999999998</v>
      </c>
      <c r="J622" s="2">
        <f ca="1">Table1[[#This Row],[Profit]]/Table1[[#This Row],[Sales]]</f>
        <v>0.35</v>
      </c>
      <c r="K622" t="str">
        <f ca="1">TEXT(Table1[[#This Row],[Order_Date]],"mmm")</f>
        <v>Jun</v>
      </c>
      <c r="L622">
        <f ca="1">YEAR(Table1[[#This Row],[Order_Date]])</f>
        <v>2023</v>
      </c>
    </row>
    <row r="623" spans="1:12" x14ac:dyDescent="0.3">
      <c r="A623">
        <f t="shared" si="36"/>
        <v>622</v>
      </c>
      <c r="B623" s="1">
        <f t="shared" ca="1" si="37"/>
        <v>45105</v>
      </c>
      <c r="C623" t="s">
        <v>8</v>
      </c>
      <c r="D623" t="str">
        <f t="shared" ca="1" si="38"/>
        <v>Electronics</v>
      </c>
      <c r="E623" t="s">
        <v>48</v>
      </c>
      <c r="F623" s="11">
        <v>12303</v>
      </c>
      <c r="G623">
        <f t="shared" ca="1" si="39"/>
        <v>2</v>
      </c>
      <c r="H623" s="11">
        <f ca="1">IF(Table1[[#This Row],[Category]]="Electronics",Table1[[#This Row],[Sales]]*0.6,
IF(Table1[[#This Row],[Category]]="Furniture",Table1[[#This Row],[Sales]]*0.75,
IF(Table1[[#This Row],[Category]]="Clothing",Table1[[#This Row],[Sales]]*0.65,
Table1[[#This Row],[Sales]]*0.7)))</f>
        <v>7381.7999999999993</v>
      </c>
      <c r="I623" s="11">
        <f ca="1">Table1[[#This Row],[Sales]]-H623</f>
        <v>4921.2000000000007</v>
      </c>
      <c r="J623" s="2">
        <f ca="1">Table1[[#This Row],[Profit]]/Table1[[#This Row],[Sales]]</f>
        <v>0.40000000000000008</v>
      </c>
      <c r="K623" t="str">
        <f ca="1">TEXT(Table1[[#This Row],[Order_Date]],"mmm")</f>
        <v>Jun</v>
      </c>
      <c r="L623">
        <f ca="1">YEAR(Table1[[#This Row],[Order_Date]])</f>
        <v>2023</v>
      </c>
    </row>
    <row r="624" spans="1:12" x14ac:dyDescent="0.3">
      <c r="A624">
        <f t="shared" si="36"/>
        <v>623</v>
      </c>
      <c r="B624" s="1">
        <f t="shared" ca="1" si="37"/>
        <v>45226</v>
      </c>
      <c r="C624" t="s">
        <v>9</v>
      </c>
      <c r="D624" t="str">
        <f t="shared" ca="1" si="38"/>
        <v>Clothing</v>
      </c>
      <c r="E624" t="s">
        <v>52</v>
      </c>
      <c r="F624" s="11">
        <v>5450</v>
      </c>
      <c r="G624">
        <f t="shared" ca="1" si="39"/>
        <v>4</v>
      </c>
      <c r="H624" s="11">
        <f ca="1">IF(Table1[[#This Row],[Category]]="Electronics",Table1[[#This Row],[Sales]]*0.6,
IF(Table1[[#This Row],[Category]]="Furniture",Table1[[#This Row],[Sales]]*0.75,
IF(Table1[[#This Row],[Category]]="Clothing",Table1[[#This Row],[Sales]]*0.65,
Table1[[#This Row],[Sales]]*0.7)))</f>
        <v>3542.5</v>
      </c>
      <c r="I624" s="11">
        <f ca="1">Table1[[#This Row],[Sales]]-H624</f>
        <v>1907.5</v>
      </c>
      <c r="J624" s="2">
        <f ca="1">Table1[[#This Row],[Profit]]/Table1[[#This Row],[Sales]]</f>
        <v>0.35</v>
      </c>
      <c r="K624" t="str">
        <f ca="1">TEXT(Table1[[#This Row],[Order_Date]],"mmm")</f>
        <v>Oct</v>
      </c>
      <c r="L624">
        <f ca="1">YEAR(Table1[[#This Row],[Order_Date]])</f>
        <v>2023</v>
      </c>
    </row>
    <row r="625" spans="1:12" x14ac:dyDescent="0.3">
      <c r="A625">
        <f t="shared" si="36"/>
        <v>624</v>
      </c>
      <c r="B625" s="1">
        <f t="shared" ca="1" si="37"/>
        <v>45191</v>
      </c>
      <c r="C625" t="s">
        <v>10</v>
      </c>
      <c r="D625" t="str">
        <f t="shared" ca="1" si="38"/>
        <v>Electronics</v>
      </c>
      <c r="E625" t="s">
        <v>63</v>
      </c>
      <c r="F625" s="11">
        <v>1019</v>
      </c>
      <c r="G625">
        <f t="shared" ca="1" si="39"/>
        <v>6</v>
      </c>
      <c r="H625" s="11">
        <f ca="1">IF(Table1[[#This Row],[Category]]="Electronics",Table1[[#This Row],[Sales]]*0.6,
IF(Table1[[#This Row],[Category]]="Furniture",Table1[[#This Row],[Sales]]*0.75,
IF(Table1[[#This Row],[Category]]="Clothing",Table1[[#This Row],[Sales]]*0.65,
Table1[[#This Row],[Sales]]*0.7)))</f>
        <v>611.4</v>
      </c>
      <c r="I625" s="11">
        <f ca="1">Table1[[#This Row],[Sales]]-H625</f>
        <v>407.6</v>
      </c>
      <c r="J625" s="2">
        <f ca="1">Table1[[#This Row],[Profit]]/Table1[[#This Row],[Sales]]</f>
        <v>0.4</v>
      </c>
      <c r="K625" t="str">
        <f ca="1">TEXT(Table1[[#This Row],[Order_Date]],"mmm")</f>
        <v>Sep</v>
      </c>
      <c r="L625">
        <f ca="1">YEAR(Table1[[#This Row],[Order_Date]])</f>
        <v>2023</v>
      </c>
    </row>
    <row r="626" spans="1:12" x14ac:dyDescent="0.3">
      <c r="A626">
        <f t="shared" si="36"/>
        <v>625</v>
      </c>
      <c r="B626" s="1">
        <f t="shared" ca="1" si="37"/>
        <v>45221</v>
      </c>
      <c r="C626" t="s">
        <v>7</v>
      </c>
      <c r="D626" t="str">
        <f t="shared" ca="1" si="38"/>
        <v>Clothing</v>
      </c>
      <c r="E626" t="s">
        <v>83</v>
      </c>
      <c r="F626" s="11">
        <v>18741</v>
      </c>
      <c r="G626">
        <f t="shared" ca="1" si="39"/>
        <v>1</v>
      </c>
      <c r="H626" s="11">
        <f ca="1">IF(Table1[[#This Row],[Category]]="Electronics",Table1[[#This Row],[Sales]]*0.6,
IF(Table1[[#This Row],[Category]]="Furniture",Table1[[#This Row],[Sales]]*0.75,
IF(Table1[[#This Row],[Category]]="Clothing",Table1[[#This Row],[Sales]]*0.65,
Table1[[#This Row],[Sales]]*0.7)))</f>
        <v>12181.65</v>
      </c>
      <c r="I626" s="11">
        <f ca="1">Table1[[#This Row],[Sales]]-H626</f>
        <v>6559.35</v>
      </c>
      <c r="J626" s="2">
        <f ca="1">Table1[[#This Row],[Profit]]/Table1[[#This Row],[Sales]]</f>
        <v>0.35000000000000003</v>
      </c>
      <c r="K626" t="str">
        <f ca="1">TEXT(Table1[[#This Row],[Order_Date]],"mmm")</f>
        <v>Oct</v>
      </c>
      <c r="L626">
        <f ca="1">YEAR(Table1[[#This Row],[Order_Date]])</f>
        <v>2023</v>
      </c>
    </row>
    <row r="627" spans="1:12" x14ac:dyDescent="0.3">
      <c r="A627">
        <f t="shared" si="36"/>
        <v>626</v>
      </c>
      <c r="B627" s="1">
        <f t="shared" ca="1" si="37"/>
        <v>45189</v>
      </c>
      <c r="C627" t="s">
        <v>8</v>
      </c>
      <c r="D627" t="str">
        <f t="shared" ca="1" si="38"/>
        <v>Office Supplies</v>
      </c>
      <c r="E627" t="s">
        <v>40</v>
      </c>
      <c r="F627" s="11">
        <v>11450</v>
      </c>
      <c r="G627">
        <f t="shared" ca="1" si="39"/>
        <v>9</v>
      </c>
      <c r="H627" s="11">
        <f ca="1">IF(Table1[[#This Row],[Category]]="Electronics",Table1[[#This Row],[Sales]]*0.6,
IF(Table1[[#This Row],[Category]]="Furniture",Table1[[#This Row],[Sales]]*0.75,
IF(Table1[[#This Row],[Category]]="Clothing",Table1[[#This Row],[Sales]]*0.65,
Table1[[#This Row],[Sales]]*0.7)))</f>
        <v>8014.9999999999991</v>
      </c>
      <c r="I627" s="11">
        <f ca="1">Table1[[#This Row],[Sales]]-H627</f>
        <v>3435.0000000000009</v>
      </c>
      <c r="J627" s="2">
        <f ca="1">Table1[[#This Row],[Profit]]/Table1[[#This Row],[Sales]]</f>
        <v>0.3000000000000001</v>
      </c>
      <c r="K627" t="str">
        <f ca="1">TEXT(Table1[[#This Row],[Order_Date]],"mmm")</f>
        <v>Sep</v>
      </c>
      <c r="L627">
        <f ca="1">YEAR(Table1[[#This Row],[Order_Date]])</f>
        <v>2023</v>
      </c>
    </row>
    <row r="628" spans="1:12" x14ac:dyDescent="0.3">
      <c r="A628">
        <f t="shared" si="36"/>
        <v>627</v>
      </c>
      <c r="B628" s="1">
        <f t="shared" ca="1" si="37"/>
        <v>45280</v>
      </c>
      <c r="C628" t="s">
        <v>9</v>
      </c>
      <c r="D628" t="str">
        <f t="shared" ca="1" si="38"/>
        <v>Clothing</v>
      </c>
      <c r="E628" t="s">
        <v>58</v>
      </c>
      <c r="F628" s="11">
        <v>8286</v>
      </c>
      <c r="G628">
        <f t="shared" ca="1" si="39"/>
        <v>7</v>
      </c>
      <c r="H628" s="11">
        <f ca="1">IF(Table1[[#This Row],[Category]]="Electronics",Table1[[#This Row],[Sales]]*0.6,
IF(Table1[[#This Row],[Category]]="Furniture",Table1[[#This Row],[Sales]]*0.75,
IF(Table1[[#This Row],[Category]]="Clothing",Table1[[#This Row],[Sales]]*0.65,
Table1[[#This Row],[Sales]]*0.7)))</f>
        <v>5385.9000000000005</v>
      </c>
      <c r="I628" s="11">
        <f ca="1">Table1[[#This Row],[Sales]]-H628</f>
        <v>2900.0999999999995</v>
      </c>
      <c r="J628" s="2">
        <f ca="1">Table1[[#This Row],[Profit]]/Table1[[#This Row],[Sales]]</f>
        <v>0.34999999999999992</v>
      </c>
      <c r="K628" t="str">
        <f ca="1">TEXT(Table1[[#This Row],[Order_Date]],"mmm")</f>
        <v>Dec</v>
      </c>
      <c r="L628">
        <f ca="1">YEAR(Table1[[#This Row],[Order_Date]])</f>
        <v>2023</v>
      </c>
    </row>
    <row r="629" spans="1:12" x14ac:dyDescent="0.3">
      <c r="A629">
        <f t="shared" si="36"/>
        <v>628</v>
      </c>
      <c r="B629" s="1">
        <f t="shared" ca="1" si="37"/>
        <v>45247</v>
      </c>
      <c r="C629" t="s">
        <v>10</v>
      </c>
      <c r="D629" t="str">
        <f t="shared" ca="1" si="38"/>
        <v>Electronics</v>
      </c>
      <c r="E629" t="s">
        <v>76</v>
      </c>
      <c r="F629" s="11">
        <v>18851</v>
      </c>
      <c r="G629">
        <f t="shared" ca="1" si="39"/>
        <v>10</v>
      </c>
      <c r="H629" s="11">
        <f ca="1">IF(Table1[[#This Row],[Category]]="Electronics",Table1[[#This Row],[Sales]]*0.6,
IF(Table1[[#This Row],[Category]]="Furniture",Table1[[#This Row],[Sales]]*0.75,
IF(Table1[[#This Row],[Category]]="Clothing",Table1[[#This Row],[Sales]]*0.65,
Table1[[#This Row],[Sales]]*0.7)))</f>
        <v>11310.6</v>
      </c>
      <c r="I629" s="11">
        <f ca="1">Table1[[#This Row],[Sales]]-H629</f>
        <v>7540.4</v>
      </c>
      <c r="J629" s="2">
        <f ca="1">Table1[[#This Row],[Profit]]/Table1[[#This Row],[Sales]]</f>
        <v>0.39999999999999997</v>
      </c>
      <c r="K629" t="str">
        <f ca="1">TEXT(Table1[[#This Row],[Order_Date]],"mmm")</f>
        <v>Nov</v>
      </c>
      <c r="L629">
        <f ca="1">YEAR(Table1[[#This Row],[Order_Date]])</f>
        <v>2023</v>
      </c>
    </row>
    <row r="630" spans="1:12" x14ac:dyDescent="0.3">
      <c r="A630">
        <f t="shared" si="36"/>
        <v>629</v>
      </c>
      <c r="B630" s="1">
        <f t="shared" ca="1" si="37"/>
        <v>45215</v>
      </c>
      <c r="C630" t="s">
        <v>7</v>
      </c>
      <c r="D630" t="str">
        <f t="shared" ca="1" si="38"/>
        <v>Clothing</v>
      </c>
      <c r="E630" t="s">
        <v>43</v>
      </c>
      <c r="F630" s="11">
        <v>10379</v>
      </c>
      <c r="G630">
        <f t="shared" ca="1" si="39"/>
        <v>10</v>
      </c>
      <c r="H630" s="11">
        <f ca="1">IF(Table1[[#This Row],[Category]]="Electronics",Table1[[#This Row],[Sales]]*0.6,
IF(Table1[[#This Row],[Category]]="Furniture",Table1[[#This Row],[Sales]]*0.75,
IF(Table1[[#This Row],[Category]]="Clothing",Table1[[#This Row],[Sales]]*0.65,
Table1[[#This Row],[Sales]]*0.7)))</f>
        <v>6746.35</v>
      </c>
      <c r="I630" s="11">
        <f ca="1">Table1[[#This Row],[Sales]]-H630</f>
        <v>3632.6499999999996</v>
      </c>
      <c r="J630" s="2">
        <f ca="1">Table1[[#This Row],[Profit]]/Table1[[#This Row],[Sales]]</f>
        <v>0.35</v>
      </c>
      <c r="K630" t="str">
        <f ca="1">TEXT(Table1[[#This Row],[Order_Date]],"mmm")</f>
        <v>Oct</v>
      </c>
      <c r="L630">
        <f ca="1">YEAR(Table1[[#This Row],[Order_Date]])</f>
        <v>2023</v>
      </c>
    </row>
    <row r="631" spans="1:12" x14ac:dyDescent="0.3">
      <c r="A631">
        <f t="shared" si="36"/>
        <v>630</v>
      </c>
      <c r="B631" s="1">
        <f t="shared" ca="1" si="37"/>
        <v>45220</v>
      </c>
      <c r="C631" t="s">
        <v>8</v>
      </c>
      <c r="D631" t="str">
        <f t="shared" ca="1" si="38"/>
        <v>Electronics</v>
      </c>
      <c r="E631" t="s">
        <v>53</v>
      </c>
      <c r="F631" s="11">
        <v>19142</v>
      </c>
      <c r="G631">
        <f t="shared" ca="1" si="39"/>
        <v>9</v>
      </c>
      <c r="H631" s="11">
        <f ca="1">IF(Table1[[#This Row],[Category]]="Electronics",Table1[[#This Row],[Sales]]*0.6,
IF(Table1[[#This Row],[Category]]="Furniture",Table1[[#This Row],[Sales]]*0.75,
IF(Table1[[#This Row],[Category]]="Clothing",Table1[[#This Row],[Sales]]*0.65,
Table1[[#This Row],[Sales]]*0.7)))</f>
        <v>11485.199999999999</v>
      </c>
      <c r="I631" s="11">
        <f ca="1">Table1[[#This Row],[Sales]]-H631</f>
        <v>7656.8000000000011</v>
      </c>
      <c r="J631" s="2">
        <f ca="1">Table1[[#This Row],[Profit]]/Table1[[#This Row],[Sales]]</f>
        <v>0.40000000000000008</v>
      </c>
      <c r="K631" t="str">
        <f ca="1">TEXT(Table1[[#This Row],[Order_Date]],"mmm")</f>
        <v>Oct</v>
      </c>
      <c r="L631">
        <f ca="1">YEAR(Table1[[#This Row],[Order_Date]])</f>
        <v>2023</v>
      </c>
    </row>
    <row r="632" spans="1:12" x14ac:dyDescent="0.3">
      <c r="A632">
        <f t="shared" si="36"/>
        <v>631</v>
      </c>
      <c r="B632" s="1">
        <f t="shared" ca="1" si="37"/>
        <v>45248</v>
      </c>
      <c r="C632" t="s">
        <v>9</v>
      </c>
      <c r="D632" t="str">
        <f t="shared" ca="1" si="38"/>
        <v>Furniture</v>
      </c>
      <c r="E632" t="s">
        <v>84</v>
      </c>
      <c r="F632" s="11">
        <v>18752</v>
      </c>
      <c r="G632">
        <f t="shared" ca="1" si="39"/>
        <v>6</v>
      </c>
      <c r="H632" s="11">
        <f ca="1">IF(Table1[[#This Row],[Category]]="Electronics",Table1[[#This Row],[Sales]]*0.6,
IF(Table1[[#This Row],[Category]]="Furniture",Table1[[#This Row],[Sales]]*0.75,
IF(Table1[[#This Row],[Category]]="Clothing",Table1[[#This Row],[Sales]]*0.65,
Table1[[#This Row],[Sales]]*0.7)))</f>
        <v>14064</v>
      </c>
      <c r="I632" s="11">
        <f ca="1">Table1[[#This Row],[Sales]]-H632</f>
        <v>4688</v>
      </c>
      <c r="J632" s="2">
        <f ca="1">Table1[[#This Row],[Profit]]/Table1[[#This Row],[Sales]]</f>
        <v>0.25</v>
      </c>
      <c r="K632" t="str">
        <f ca="1">TEXT(Table1[[#This Row],[Order_Date]],"mmm")</f>
        <v>Nov</v>
      </c>
      <c r="L632">
        <f ca="1">YEAR(Table1[[#This Row],[Order_Date]])</f>
        <v>2023</v>
      </c>
    </row>
    <row r="633" spans="1:12" x14ac:dyDescent="0.3">
      <c r="A633">
        <f t="shared" si="36"/>
        <v>632</v>
      </c>
      <c r="B633" s="1">
        <f t="shared" ca="1" si="37"/>
        <v>44964</v>
      </c>
      <c r="C633" t="s">
        <v>10</v>
      </c>
      <c r="D633" t="str">
        <f t="shared" ca="1" si="38"/>
        <v>Clothing</v>
      </c>
      <c r="E633" t="s">
        <v>71</v>
      </c>
      <c r="F633" s="11">
        <v>15937</v>
      </c>
      <c r="G633">
        <f t="shared" ca="1" si="39"/>
        <v>9</v>
      </c>
      <c r="H633" s="11">
        <f ca="1">IF(Table1[[#This Row],[Category]]="Electronics",Table1[[#This Row],[Sales]]*0.6,
IF(Table1[[#This Row],[Category]]="Furniture",Table1[[#This Row],[Sales]]*0.75,
IF(Table1[[#This Row],[Category]]="Clothing",Table1[[#This Row],[Sales]]*0.65,
Table1[[#This Row],[Sales]]*0.7)))</f>
        <v>10359.050000000001</v>
      </c>
      <c r="I633" s="11">
        <f ca="1">Table1[[#This Row],[Sales]]-H633</f>
        <v>5577.9499999999989</v>
      </c>
      <c r="J633" s="2">
        <f ca="1">Table1[[#This Row],[Profit]]/Table1[[#This Row],[Sales]]</f>
        <v>0.34999999999999992</v>
      </c>
      <c r="K633" t="str">
        <f ca="1">TEXT(Table1[[#This Row],[Order_Date]],"mmm")</f>
        <v>Feb</v>
      </c>
      <c r="L633">
        <f ca="1">YEAR(Table1[[#This Row],[Order_Date]])</f>
        <v>2023</v>
      </c>
    </row>
    <row r="634" spans="1:12" x14ac:dyDescent="0.3">
      <c r="A634">
        <f t="shared" si="36"/>
        <v>633</v>
      </c>
      <c r="B634" s="1">
        <f t="shared" ca="1" si="37"/>
        <v>45013</v>
      </c>
      <c r="C634" t="s">
        <v>7</v>
      </c>
      <c r="D634" t="str">
        <f t="shared" ca="1" si="38"/>
        <v>Office Supplies</v>
      </c>
      <c r="E634" t="s">
        <v>82</v>
      </c>
      <c r="F634" s="11">
        <v>14424</v>
      </c>
      <c r="G634">
        <f t="shared" ca="1" si="39"/>
        <v>6</v>
      </c>
      <c r="H634" s="11">
        <f ca="1">IF(Table1[[#This Row],[Category]]="Electronics",Table1[[#This Row],[Sales]]*0.6,
IF(Table1[[#This Row],[Category]]="Furniture",Table1[[#This Row],[Sales]]*0.75,
IF(Table1[[#This Row],[Category]]="Clothing",Table1[[#This Row],[Sales]]*0.65,
Table1[[#This Row],[Sales]]*0.7)))</f>
        <v>10096.799999999999</v>
      </c>
      <c r="I634" s="11">
        <f ca="1">Table1[[#This Row],[Sales]]-H634</f>
        <v>4327.2000000000007</v>
      </c>
      <c r="J634" s="2">
        <f ca="1">Table1[[#This Row],[Profit]]/Table1[[#This Row],[Sales]]</f>
        <v>0.30000000000000004</v>
      </c>
      <c r="K634" t="str">
        <f ca="1">TEXT(Table1[[#This Row],[Order_Date]],"mmm")</f>
        <v>Mar</v>
      </c>
      <c r="L634">
        <f ca="1">YEAR(Table1[[#This Row],[Order_Date]])</f>
        <v>2023</v>
      </c>
    </row>
    <row r="635" spans="1:12" x14ac:dyDescent="0.3">
      <c r="A635">
        <f t="shared" si="36"/>
        <v>634</v>
      </c>
      <c r="B635" s="1">
        <f t="shared" ca="1" si="37"/>
        <v>45181</v>
      </c>
      <c r="C635" t="s">
        <v>8</v>
      </c>
      <c r="D635" t="str">
        <f t="shared" ca="1" si="38"/>
        <v>Office Supplies</v>
      </c>
      <c r="E635" t="s">
        <v>55</v>
      </c>
      <c r="F635" s="11">
        <v>19302</v>
      </c>
      <c r="G635">
        <f t="shared" ca="1" si="39"/>
        <v>3</v>
      </c>
      <c r="H635" s="11">
        <f ca="1">IF(Table1[[#This Row],[Category]]="Electronics",Table1[[#This Row],[Sales]]*0.6,
IF(Table1[[#This Row],[Category]]="Furniture",Table1[[#This Row],[Sales]]*0.75,
IF(Table1[[#This Row],[Category]]="Clothing",Table1[[#This Row],[Sales]]*0.65,
Table1[[#This Row],[Sales]]*0.7)))</f>
        <v>13511.4</v>
      </c>
      <c r="I635" s="11">
        <f ca="1">Table1[[#This Row],[Sales]]-H635</f>
        <v>5790.6</v>
      </c>
      <c r="J635" s="2">
        <f ca="1">Table1[[#This Row],[Profit]]/Table1[[#This Row],[Sales]]</f>
        <v>0.30000000000000004</v>
      </c>
      <c r="K635" t="str">
        <f ca="1">TEXT(Table1[[#This Row],[Order_Date]],"mmm")</f>
        <v>Sep</v>
      </c>
      <c r="L635">
        <f ca="1">YEAR(Table1[[#This Row],[Order_Date]])</f>
        <v>2023</v>
      </c>
    </row>
    <row r="636" spans="1:12" x14ac:dyDescent="0.3">
      <c r="A636">
        <f t="shared" si="36"/>
        <v>635</v>
      </c>
      <c r="B636" s="1">
        <f t="shared" ca="1" si="37"/>
        <v>44943</v>
      </c>
      <c r="C636" t="s">
        <v>9</v>
      </c>
      <c r="D636" t="str">
        <f t="shared" ca="1" si="38"/>
        <v>Office Supplies</v>
      </c>
      <c r="E636" t="s">
        <v>85</v>
      </c>
      <c r="F636" s="11">
        <v>15256</v>
      </c>
      <c r="G636">
        <f t="shared" ca="1" si="39"/>
        <v>1</v>
      </c>
      <c r="H636" s="11">
        <f ca="1">IF(Table1[[#This Row],[Category]]="Electronics",Table1[[#This Row],[Sales]]*0.6,
IF(Table1[[#This Row],[Category]]="Furniture",Table1[[#This Row],[Sales]]*0.75,
IF(Table1[[#This Row],[Category]]="Clothing",Table1[[#This Row],[Sales]]*0.65,
Table1[[#This Row],[Sales]]*0.7)))</f>
        <v>10679.199999999999</v>
      </c>
      <c r="I636" s="11">
        <f ca="1">Table1[[#This Row],[Sales]]-H636</f>
        <v>4576.8000000000011</v>
      </c>
      <c r="J636" s="2">
        <f ca="1">Table1[[#This Row],[Profit]]/Table1[[#This Row],[Sales]]</f>
        <v>0.30000000000000004</v>
      </c>
      <c r="K636" t="str">
        <f ca="1">TEXT(Table1[[#This Row],[Order_Date]],"mmm")</f>
        <v>Jan</v>
      </c>
      <c r="L636">
        <f ca="1">YEAR(Table1[[#This Row],[Order_Date]])</f>
        <v>2023</v>
      </c>
    </row>
    <row r="637" spans="1:12" x14ac:dyDescent="0.3">
      <c r="A637">
        <f t="shared" si="36"/>
        <v>636</v>
      </c>
      <c r="B637" s="1">
        <f t="shared" ca="1" si="37"/>
        <v>45219</v>
      </c>
      <c r="C637" t="s">
        <v>10</v>
      </c>
      <c r="D637" t="str">
        <f t="shared" ca="1" si="38"/>
        <v>Office Supplies</v>
      </c>
      <c r="E637" t="s">
        <v>63</v>
      </c>
      <c r="F637" s="11">
        <v>10927</v>
      </c>
      <c r="G637">
        <f t="shared" ca="1" si="39"/>
        <v>4</v>
      </c>
      <c r="H637" s="11">
        <f ca="1">IF(Table1[[#This Row],[Category]]="Electronics",Table1[[#This Row],[Sales]]*0.6,
IF(Table1[[#This Row],[Category]]="Furniture",Table1[[#This Row],[Sales]]*0.75,
IF(Table1[[#This Row],[Category]]="Clothing",Table1[[#This Row],[Sales]]*0.65,
Table1[[#This Row],[Sales]]*0.7)))</f>
        <v>7648.9</v>
      </c>
      <c r="I637" s="11">
        <f ca="1">Table1[[#This Row],[Sales]]-H637</f>
        <v>3278.1000000000004</v>
      </c>
      <c r="J637" s="2">
        <f ca="1">Table1[[#This Row],[Profit]]/Table1[[#This Row],[Sales]]</f>
        <v>0.30000000000000004</v>
      </c>
      <c r="K637" t="str">
        <f ca="1">TEXT(Table1[[#This Row],[Order_Date]],"mmm")</f>
        <v>Oct</v>
      </c>
      <c r="L637">
        <f ca="1">YEAR(Table1[[#This Row],[Order_Date]])</f>
        <v>2023</v>
      </c>
    </row>
    <row r="638" spans="1:12" x14ac:dyDescent="0.3">
      <c r="A638">
        <f t="shared" si="36"/>
        <v>637</v>
      </c>
      <c r="B638" s="1">
        <f t="shared" ca="1" si="37"/>
        <v>44980</v>
      </c>
      <c r="C638" t="s">
        <v>7</v>
      </c>
      <c r="D638" t="str">
        <f t="shared" ca="1" si="38"/>
        <v>Electronics</v>
      </c>
      <c r="E638" t="s">
        <v>56</v>
      </c>
      <c r="F638" s="11">
        <v>10274</v>
      </c>
      <c r="G638">
        <f t="shared" ca="1" si="39"/>
        <v>5</v>
      </c>
      <c r="H638" s="11">
        <f ca="1">IF(Table1[[#This Row],[Category]]="Electronics",Table1[[#This Row],[Sales]]*0.6,
IF(Table1[[#This Row],[Category]]="Furniture",Table1[[#This Row],[Sales]]*0.75,
IF(Table1[[#This Row],[Category]]="Clothing",Table1[[#This Row],[Sales]]*0.65,
Table1[[#This Row],[Sales]]*0.7)))</f>
        <v>6164.4</v>
      </c>
      <c r="I638" s="11">
        <f ca="1">Table1[[#This Row],[Sales]]-H638</f>
        <v>4109.6000000000004</v>
      </c>
      <c r="J638" s="2">
        <f ca="1">Table1[[#This Row],[Profit]]/Table1[[#This Row],[Sales]]</f>
        <v>0.4</v>
      </c>
      <c r="K638" t="str">
        <f ca="1">TEXT(Table1[[#This Row],[Order_Date]],"mmm")</f>
        <v>Feb</v>
      </c>
      <c r="L638">
        <f ca="1">YEAR(Table1[[#This Row],[Order_Date]])</f>
        <v>2023</v>
      </c>
    </row>
    <row r="639" spans="1:12" x14ac:dyDescent="0.3">
      <c r="A639">
        <f t="shared" si="36"/>
        <v>638</v>
      </c>
      <c r="B639" s="1">
        <f t="shared" ca="1" si="37"/>
        <v>45073</v>
      </c>
      <c r="C639" t="s">
        <v>8</v>
      </c>
      <c r="D639" t="str">
        <f t="shared" ca="1" si="38"/>
        <v>Furniture</v>
      </c>
      <c r="E639" t="s">
        <v>61</v>
      </c>
      <c r="F639" s="11">
        <v>4882</v>
      </c>
      <c r="G639">
        <f t="shared" ca="1" si="39"/>
        <v>7</v>
      </c>
      <c r="H639" s="11">
        <f ca="1">IF(Table1[[#This Row],[Category]]="Electronics",Table1[[#This Row],[Sales]]*0.6,
IF(Table1[[#This Row],[Category]]="Furniture",Table1[[#This Row],[Sales]]*0.75,
IF(Table1[[#This Row],[Category]]="Clothing",Table1[[#This Row],[Sales]]*0.65,
Table1[[#This Row],[Sales]]*0.7)))</f>
        <v>3661.5</v>
      </c>
      <c r="I639" s="11">
        <f ca="1">Table1[[#This Row],[Sales]]-H639</f>
        <v>1220.5</v>
      </c>
      <c r="J639" s="2">
        <f ca="1">Table1[[#This Row],[Profit]]/Table1[[#This Row],[Sales]]</f>
        <v>0.25</v>
      </c>
      <c r="K639" t="str">
        <f ca="1">TEXT(Table1[[#This Row],[Order_Date]],"mmm")</f>
        <v>May</v>
      </c>
      <c r="L639">
        <f ca="1">YEAR(Table1[[#This Row],[Order_Date]])</f>
        <v>2023</v>
      </c>
    </row>
    <row r="640" spans="1:12" x14ac:dyDescent="0.3">
      <c r="A640">
        <f t="shared" si="36"/>
        <v>639</v>
      </c>
      <c r="B640" s="1">
        <f t="shared" ca="1" si="37"/>
        <v>45156</v>
      </c>
      <c r="C640" t="s">
        <v>9</v>
      </c>
      <c r="D640" t="str">
        <f t="shared" ca="1" si="38"/>
        <v>Furniture</v>
      </c>
      <c r="E640" t="s">
        <v>50</v>
      </c>
      <c r="F640" s="11">
        <v>12517</v>
      </c>
      <c r="G640">
        <f t="shared" ca="1" si="39"/>
        <v>10</v>
      </c>
      <c r="H640" s="11">
        <f ca="1">IF(Table1[[#This Row],[Category]]="Electronics",Table1[[#This Row],[Sales]]*0.6,
IF(Table1[[#This Row],[Category]]="Furniture",Table1[[#This Row],[Sales]]*0.75,
IF(Table1[[#This Row],[Category]]="Clothing",Table1[[#This Row],[Sales]]*0.65,
Table1[[#This Row],[Sales]]*0.7)))</f>
        <v>9387.75</v>
      </c>
      <c r="I640" s="11">
        <f ca="1">Table1[[#This Row],[Sales]]-H640</f>
        <v>3129.25</v>
      </c>
      <c r="J640" s="2">
        <f ca="1">Table1[[#This Row],[Profit]]/Table1[[#This Row],[Sales]]</f>
        <v>0.25</v>
      </c>
      <c r="K640" t="str">
        <f ca="1">TEXT(Table1[[#This Row],[Order_Date]],"mmm")</f>
        <v>Aug</v>
      </c>
      <c r="L640">
        <f ca="1">YEAR(Table1[[#This Row],[Order_Date]])</f>
        <v>2023</v>
      </c>
    </row>
    <row r="641" spans="1:12" x14ac:dyDescent="0.3">
      <c r="A641">
        <f t="shared" si="36"/>
        <v>640</v>
      </c>
      <c r="B641" s="1">
        <f t="shared" ca="1" si="37"/>
        <v>45172</v>
      </c>
      <c r="C641" t="s">
        <v>10</v>
      </c>
      <c r="D641" t="str">
        <f t="shared" ca="1" si="38"/>
        <v>Clothing</v>
      </c>
      <c r="E641" t="s">
        <v>85</v>
      </c>
      <c r="F641" s="11">
        <v>2732</v>
      </c>
      <c r="G641">
        <f t="shared" ca="1" si="39"/>
        <v>7</v>
      </c>
      <c r="H641" s="11">
        <f ca="1">IF(Table1[[#This Row],[Category]]="Electronics",Table1[[#This Row],[Sales]]*0.6,
IF(Table1[[#This Row],[Category]]="Furniture",Table1[[#This Row],[Sales]]*0.75,
IF(Table1[[#This Row],[Category]]="Clothing",Table1[[#This Row],[Sales]]*0.65,
Table1[[#This Row],[Sales]]*0.7)))</f>
        <v>1775.8</v>
      </c>
      <c r="I641" s="11">
        <f ca="1">Table1[[#This Row],[Sales]]-H641</f>
        <v>956.2</v>
      </c>
      <c r="J641" s="2">
        <f ca="1">Table1[[#This Row],[Profit]]/Table1[[#This Row],[Sales]]</f>
        <v>0.35000000000000003</v>
      </c>
      <c r="K641" t="str">
        <f ca="1">TEXT(Table1[[#This Row],[Order_Date]],"mmm")</f>
        <v>Sep</v>
      </c>
      <c r="L641">
        <f ca="1">YEAR(Table1[[#This Row],[Order_Date]])</f>
        <v>2023</v>
      </c>
    </row>
    <row r="642" spans="1:12" x14ac:dyDescent="0.3">
      <c r="A642">
        <f t="shared" si="36"/>
        <v>641</v>
      </c>
      <c r="B642" s="1">
        <f t="shared" ca="1" si="37"/>
        <v>45096</v>
      </c>
      <c r="C642" t="s">
        <v>7</v>
      </c>
      <c r="D642" t="str">
        <f t="shared" ca="1" si="38"/>
        <v>Clothing</v>
      </c>
      <c r="E642" t="s">
        <v>58</v>
      </c>
      <c r="F642" s="11">
        <v>10009</v>
      </c>
      <c r="G642">
        <f t="shared" ca="1" si="39"/>
        <v>7</v>
      </c>
      <c r="H642" s="11">
        <f ca="1">IF(Table1[[#This Row],[Category]]="Electronics",Table1[[#This Row],[Sales]]*0.6,
IF(Table1[[#This Row],[Category]]="Furniture",Table1[[#This Row],[Sales]]*0.75,
IF(Table1[[#This Row],[Category]]="Clothing",Table1[[#This Row],[Sales]]*0.65,
Table1[[#This Row],[Sales]]*0.7)))</f>
        <v>6505.85</v>
      </c>
      <c r="I642" s="11">
        <f ca="1">Table1[[#This Row],[Sales]]-H642</f>
        <v>3503.1499999999996</v>
      </c>
      <c r="J642" s="2">
        <f ca="1">Table1[[#This Row],[Profit]]/Table1[[#This Row],[Sales]]</f>
        <v>0.35</v>
      </c>
      <c r="K642" t="str">
        <f ca="1">TEXT(Table1[[#This Row],[Order_Date]],"mmm")</f>
        <v>Jun</v>
      </c>
      <c r="L642">
        <f ca="1">YEAR(Table1[[#This Row],[Order_Date]])</f>
        <v>2023</v>
      </c>
    </row>
    <row r="643" spans="1:12" x14ac:dyDescent="0.3">
      <c r="A643">
        <f t="shared" ref="A643:A706" si="40">ROW()-1</f>
        <v>642</v>
      </c>
      <c r="B643" s="1">
        <f t="shared" ref="B643:B706" ca="1" si="41">DATE(2023, RANDBETWEEN(1,12), RANDBETWEEN(1,28))</f>
        <v>45170</v>
      </c>
      <c r="C643" t="s">
        <v>8</v>
      </c>
      <c r="D643" t="str">
        <f t="shared" ref="D643:D706" ca="1" si="42">CHOOSE(RANDBETWEEN(1,4),"Electronics","Furniture","Clothing","Office Supplies")</f>
        <v>Office Supplies</v>
      </c>
      <c r="E643" t="s">
        <v>69</v>
      </c>
      <c r="F643" s="11">
        <v>11704</v>
      </c>
      <c r="G643">
        <f t="shared" ref="G643:G706" ca="1" si="43">RANDBETWEEN(1,10)</f>
        <v>2</v>
      </c>
      <c r="H643" s="11">
        <f ca="1">IF(Table1[[#This Row],[Category]]="Electronics",Table1[[#This Row],[Sales]]*0.6,
IF(Table1[[#This Row],[Category]]="Furniture",Table1[[#This Row],[Sales]]*0.75,
IF(Table1[[#This Row],[Category]]="Clothing",Table1[[#This Row],[Sales]]*0.65,
Table1[[#This Row],[Sales]]*0.7)))</f>
        <v>8192.7999999999993</v>
      </c>
      <c r="I643" s="11">
        <f ca="1">Table1[[#This Row],[Sales]]-H643</f>
        <v>3511.2000000000007</v>
      </c>
      <c r="J643" s="2">
        <f ca="1">Table1[[#This Row],[Profit]]/Table1[[#This Row],[Sales]]</f>
        <v>0.30000000000000004</v>
      </c>
      <c r="K643" t="str">
        <f ca="1">TEXT(Table1[[#This Row],[Order_Date]],"mmm")</f>
        <v>Sep</v>
      </c>
      <c r="L643">
        <f ca="1">YEAR(Table1[[#This Row],[Order_Date]])</f>
        <v>2023</v>
      </c>
    </row>
    <row r="644" spans="1:12" x14ac:dyDescent="0.3">
      <c r="A644">
        <f t="shared" si="40"/>
        <v>643</v>
      </c>
      <c r="B644" s="1">
        <f t="shared" ca="1" si="41"/>
        <v>45140</v>
      </c>
      <c r="C644" t="s">
        <v>9</v>
      </c>
      <c r="D644" t="str">
        <f t="shared" ca="1" si="42"/>
        <v>Clothing</v>
      </c>
      <c r="E644" t="s">
        <v>58</v>
      </c>
      <c r="F644" s="11">
        <v>16606</v>
      </c>
      <c r="G644">
        <f t="shared" ca="1" si="43"/>
        <v>3</v>
      </c>
      <c r="H644" s="11">
        <f ca="1">IF(Table1[[#This Row],[Category]]="Electronics",Table1[[#This Row],[Sales]]*0.6,
IF(Table1[[#This Row],[Category]]="Furniture",Table1[[#This Row],[Sales]]*0.75,
IF(Table1[[#This Row],[Category]]="Clothing",Table1[[#This Row],[Sales]]*0.65,
Table1[[#This Row],[Sales]]*0.7)))</f>
        <v>10793.9</v>
      </c>
      <c r="I644" s="11">
        <f ca="1">Table1[[#This Row],[Sales]]-H644</f>
        <v>5812.1</v>
      </c>
      <c r="J644" s="2">
        <f ca="1">Table1[[#This Row],[Profit]]/Table1[[#This Row],[Sales]]</f>
        <v>0.35000000000000003</v>
      </c>
      <c r="K644" t="str">
        <f ca="1">TEXT(Table1[[#This Row],[Order_Date]],"mmm")</f>
        <v>Aug</v>
      </c>
      <c r="L644">
        <f ca="1">YEAR(Table1[[#This Row],[Order_Date]])</f>
        <v>2023</v>
      </c>
    </row>
    <row r="645" spans="1:12" x14ac:dyDescent="0.3">
      <c r="A645">
        <f t="shared" si="40"/>
        <v>644</v>
      </c>
      <c r="B645" s="1">
        <f t="shared" ca="1" si="41"/>
        <v>45220</v>
      </c>
      <c r="C645" t="s">
        <v>10</v>
      </c>
      <c r="D645" t="str">
        <f t="shared" ca="1" si="42"/>
        <v>Clothing</v>
      </c>
      <c r="E645" t="s">
        <v>49</v>
      </c>
      <c r="F645" s="11">
        <v>9948</v>
      </c>
      <c r="G645">
        <f t="shared" ca="1" si="43"/>
        <v>5</v>
      </c>
      <c r="H645" s="11">
        <f ca="1">IF(Table1[[#This Row],[Category]]="Electronics",Table1[[#This Row],[Sales]]*0.6,
IF(Table1[[#This Row],[Category]]="Furniture",Table1[[#This Row],[Sales]]*0.75,
IF(Table1[[#This Row],[Category]]="Clothing",Table1[[#This Row],[Sales]]*0.65,
Table1[[#This Row],[Sales]]*0.7)))</f>
        <v>6466.2</v>
      </c>
      <c r="I645" s="11">
        <f ca="1">Table1[[#This Row],[Sales]]-H645</f>
        <v>3481.8</v>
      </c>
      <c r="J645" s="2">
        <f ca="1">Table1[[#This Row],[Profit]]/Table1[[#This Row],[Sales]]</f>
        <v>0.35000000000000003</v>
      </c>
      <c r="K645" t="str">
        <f ca="1">TEXT(Table1[[#This Row],[Order_Date]],"mmm")</f>
        <v>Oct</v>
      </c>
      <c r="L645">
        <f ca="1">YEAR(Table1[[#This Row],[Order_Date]])</f>
        <v>2023</v>
      </c>
    </row>
    <row r="646" spans="1:12" x14ac:dyDescent="0.3">
      <c r="A646">
        <f t="shared" si="40"/>
        <v>645</v>
      </c>
      <c r="B646" s="1">
        <f t="shared" ca="1" si="41"/>
        <v>45110</v>
      </c>
      <c r="C646" t="s">
        <v>7</v>
      </c>
      <c r="D646" t="str">
        <f t="shared" ca="1" si="42"/>
        <v>Furniture</v>
      </c>
      <c r="E646" t="s">
        <v>47</v>
      </c>
      <c r="F646" s="11">
        <v>13950</v>
      </c>
      <c r="G646">
        <f t="shared" ca="1" si="43"/>
        <v>2</v>
      </c>
      <c r="H646" s="11">
        <f ca="1">IF(Table1[[#This Row],[Category]]="Electronics",Table1[[#This Row],[Sales]]*0.6,
IF(Table1[[#This Row],[Category]]="Furniture",Table1[[#This Row],[Sales]]*0.75,
IF(Table1[[#This Row],[Category]]="Clothing",Table1[[#This Row],[Sales]]*0.65,
Table1[[#This Row],[Sales]]*0.7)))</f>
        <v>10462.5</v>
      </c>
      <c r="I646" s="11">
        <f ca="1">Table1[[#This Row],[Sales]]-H646</f>
        <v>3487.5</v>
      </c>
      <c r="J646" s="2">
        <f ca="1">Table1[[#This Row],[Profit]]/Table1[[#This Row],[Sales]]</f>
        <v>0.25</v>
      </c>
      <c r="K646" t="str">
        <f ca="1">TEXT(Table1[[#This Row],[Order_Date]],"mmm")</f>
        <v>Jul</v>
      </c>
      <c r="L646">
        <f ca="1">YEAR(Table1[[#This Row],[Order_Date]])</f>
        <v>2023</v>
      </c>
    </row>
    <row r="647" spans="1:12" x14ac:dyDescent="0.3">
      <c r="A647">
        <f t="shared" si="40"/>
        <v>646</v>
      </c>
      <c r="B647" s="1">
        <f t="shared" ca="1" si="41"/>
        <v>45143</v>
      </c>
      <c r="C647" t="s">
        <v>8</v>
      </c>
      <c r="D647" t="str">
        <f t="shared" ca="1" si="42"/>
        <v>Office Supplies</v>
      </c>
      <c r="E647" t="s">
        <v>56</v>
      </c>
      <c r="F647" s="11">
        <v>5472</v>
      </c>
      <c r="G647">
        <f t="shared" ca="1" si="43"/>
        <v>3</v>
      </c>
      <c r="H647" s="11">
        <f ca="1">IF(Table1[[#This Row],[Category]]="Electronics",Table1[[#This Row],[Sales]]*0.6,
IF(Table1[[#This Row],[Category]]="Furniture",Table1[[#This Row],[Sales]]*0.75,
IF(Table1[[#This Row],[Category]]="Clothing",Table1[[#This Row],[Sales]]*0.65,
Table1[[#This Row],[Sales]]*0.7)))</f>
        <v>3830.3999999999996</v>
      </c>
      <c r="I647" s="11">
        <f ca="1">Table1[[#This Row],[Sales]]-H647</f>
        <v>1641.6000000000004</v>
      </c>
      <c r="J647" s="2">
        <f ca="1">Table1[[#This Row],[Profit]]/Table1[[#This Row],[Sales]]</f>
        <v>0.30000000000000004</v>
      </c>
      <c r="K647" t="str">
        <f ca="1">TEXT(Table1[[#This Row],[Order_Date]],"mmm")</f>
        <v>Aug</v>
      </c>
      <c r="L647">
        <f ca="1">YEAR(Table1[[#This Row],[Order_Date]])</f>
        <v>2023</v>
      </c>
    </row>
    <row r="648" spans="1:12" x14ac:dyDescent="0.3">
      <c r="A648">
        <f t="shared" si="40"/>
        <v>647</v>
      </c>
      <c r="B648" s="1">
        <f t="shared" ca="1" si="41"/>
        <v>44987</v>
      </c>
      <c r="C648" t="s">
        <v>9</v>
      </c>
      <c r="D648" t="str">
        <f t="shared" ca="1" si="42"/>
        <v>Office Supplies</v>
      </c>
      <c r="E648" t="s">
        <v>72</v>
      </c>
      <c r="F648" s="11">
        <v>15128</v>
      </c>
      <c r="G648">
        <f t="shared" ca="1" si="43"/>
        <v>7</v>
      </c>
      <c r="H648" s="11">
        <f ca="1">IF(Table1[[#This Row],[Category]]="Electronics",Table1[[#This Row],[Sales]]*0.6,
IF(Table1[[#This Row],[Category]]="Furniture",Table1[[#This Row],[Sales]]*0.75,
IF(Table1[[#This Row],[Category]]="Clothing",Table1[[#This Row],[Sales]]*0.65,
Table1[[#This Row],[Sales]]*0.7)))</f>
        <v>10589.599999999999</v>
      </c>
      <c r="I648" s="11">
        <f ca="1">Table1[[#This Row],[Sales]]-H648</f>
        <v>4538.4000000000015</v>
      </c>
      <c r="J648" s="2">
        <f ca="1">Table1[[#This Row],[Profit]]/Table1[[#This Row],[Sales]]</f>
        <v>0.3000000000000001</v>
      </c>
      <c r="K648" t="str">
        <f ca="1">TEXT(Table1[[#This Row],[Order_Date]],"mmm")</f>
        <v>Mar</v>
      </c>
      <c r="L648">
        <f ca="1">YEAR(Table1[[#This Row],[Order_Date]])</f>
        <v>2023</v>
      </c>
    </row>
    <row r="649" spans="1:12" x14ac:dyDescent="0.3">
      <c r="A649">
        <f t="shared" si="40"/>
        <v>648</v>
      </c>
      <c r="B649" s="1">
        <f t="shared" ca="1" si="41"/>
        <v>45201</v>
      </c>
      <c r="C649" t="s">
        <v>10</v>
      </c>
      <c r="D649" t="str">
        <f t="shared" ca="1" si="42"/>
        <v>Clothing</v>
      </c>
      <c r="E649" t="s">
        <v>67</v>
      </c>
      <c r="F649" s="11">
        <v>18572</v>
      </c>
      <c r="G649">
        <f t="shared" ca="1" si="43"/>
        <v>8</v>
      </c>
      <c r="H649" s="11">
        <f ca="1">IF(Table1[[#This Row],[Category]]="Electronics",Table1[[#This Row],[Sales]]*0.6,
IF(Table1[[#This Row],[Category]]="Furniture",Table1[[#This Row],[Sales]]*0.75,
IF(Table1[[#This Row],[Category]]="Clothing",Table1[[#This Row],[Sales]]*0.65,
Table1[[#This Row],[Sales]]*0.7)))</f>
        <v>12071.800000000001</v>
      </c>
      <c r="I649" s="11">
        <f ca="1">Table1[[#This Row],[Sales]]-H649</f>
        <v>6500.1999999999989</v>
      </c>
      <c r="J649" s="2">
        <f ca="1">Table1[[#This Row],[Profit]]/Table1[[#This Row],[Sales]]</f>
        <v>0.34999999999999992</v>
      </c>
      <c r="K649" t="str">
        <f ca="1">TEXT(Table1[[#This Row],[Order_Date]],"mmm")</f>
        <v>Oct</v>
      </c>
      <c r="L649">
        <f ca="1">YEAR(Table1[[#This Row],[Order_Date]])</f>
        <v>2023</v>
      </c>
    </row>
    <row r="650" spans="1:12" x14ac:dyDescent="0.3">
      <c r="A650">
        <f t="shared" si="40"/>
        <v>649</v>
      </c>
      <c r="B650" s="1">
        <f t="shared" ca="1" si="41"/>
        <v>45099</v>
      </c>
      <c r="C650" t="s">
        <v>7</v>
      </c>
      <c r="D650" t="str">
        <f t="shared" ca="1" si="42"/>
        <v>Clothing</v>
      </c>
      <c r="E650" t="s">
        <v>36</v>
      </c>
      <c r="F650" s="11">
        <v>9005</v>
      </c>
      <c r="G650">
        <f t="shared" ca="1" si="43"/>
        <v>10</v>
      </c>
      <c r="H650" s="11">
        <f ca="1">IF(Table1[[#This Row],[Category]]="Electronics",Table1[[#This Row],[Sales]]*0.6,
IF(Table1[[#This Row],[Category]]="Furniture",Table1[[#This Row],[Sales]]*0.75,
IF(Table1[[#This Row],[Category]]="Clothing",Table1[[#This Row],[Sales]]*0.65,
Table1[[#This Row],[Sales]]*0.7)))</f>
        <v>5853.25</v>
      </c>
      <c r="I650" s="11">
        <f ca="1">Table1[[#This Row],[Sales]]-H650</f>
        <v>3151.75</v>
      </c>
      <c r="J650" s="2">
        <f ca="1">Table1[[#This Row],[Profit]]/Table1[[#This Row],[Sales]]</f>
        <v>0.35</v>
      </c>
      <c r="K650" t="str">
        <f ca="1">TEXT(Table1[[#This Row],[Order_Date]],"mmm")</f>
        <v>Jun</v>
      </c>
      <c r="L650">
        <f ca="1">YEAR(Table1[[#This Row],[Order_Date]])</f>
        <v>2023</v>
      </c>
    </row>
    <row r="651" spans="1:12" x14ac:dyDescent="0.3">
      <c r="A651">
        <f t="shared" si="40"/>
        <v>650</v>
      </c>
      <c r="B651" s="1">
        <f t="shared" ca="1" si="41"/>
        <v>45222</v>
      </c>
      <c r="C651" t="s">
        <v>8</v>
      </c>
      <c r="D651" t="str">
        <f t="shared" ca="1" si="42"/>
        <v>Clothing</v>
      </c>
      <c r="E651" t="s">
        <v>47</v>
      </c>
      <c r="F651" s="11">
        <v>4860</v>
      </c>
      <c r="G651">
        <f t="shared" ca="1" si="43"/>
        <v>2</v>
      </c>
      <c r="H651" s="11">
        <f ca="1">IF(Table1[[#This Row],[Category]]="Electronics",Table1[[#This Row],[Sales]]*0.6,
IF(Table1[[#This Row],[Category]]="Furniture",Table1[[#This Row],[Sales]]*0.75,
IF(Table1[[#This Row],[Category]]="Clothing",Table1[[#This Row],[Sales]]*0.65,
Table1[[#This Row],[Sales]]*0.7)))</f>
        <v>3159</v>
      </c>
      <c r="I651" s="11">
        <f ca="1">Table1[[#This Row],[Sales]]-H651</f>
        <v>1701</v>
      </c>
      <c r="J651" s="2">
        <f ca="1">Table1[[#This Row],[Profit]]/Table1[[#This Row],[Sales]]</f>
        <v>0.35</v>
      </c>
      <c r="K651" t="str">
        <f ca="1">TEXT(Table1[[#This Row],[Order_Date]],"mmm")</f>
        <v>Oct</v>
      </c>
      <c r="L651">
        <f ca="1">YEAR(Table1[[#This Row],[Order_Date]])</f>
        <v>2023</v>
      </c>
    </row>
    <row r="652" spans="1:12" x14ac:dyDescent="0.3">
      <c r="A652">
        <f t="shared" si="40"/>
        <v>651</v>
      </c>
      <c r="B652" s="1">
        <f t="shared" ca="1" si="41"/>
        <v>45027</v>
      </c>
      <c r="C652" t="s">
        <v>9</v>
      </c>
      <c r="D652" t="str">
        <f t="shared" ca="1" si="42"/>
        <v>Electronics</v>
      </c>
      <c r="E652" t="s">
        <v>58</v>
      </c>
      <c r="F652" s="11">
        <v>14038</v>
      </c>
      <c r="G652">
        <f t="shared" ca="1" si="43"/>
        <v>6</v>
      </c>
      <c r="H652" s="11">
        <f ca="1">IF(Table1[[#This Row],[Category]]="Electronics",Table1[[#This Row],[Sales]]*0.6,
IF(Table1[[#This Row],[Category]]="Furniture",Table1[[#This Row],[Sales]]*0.75,
IF(Table1[[#This Row],[Category]]="Clothing",Table1[[#This Row],[Sales]]*0.65,
Table1[[#This Row],[Sales]]*0.7)))</f>
        <v>8422.7999999999993</v>
      </c>
      <c r="I652" s="11">
        <f ca="1">Table1[[#This Row],[Sales]]-H652</f>
        <v>5615.2000000000007</v>
      </c>
      <c r="J652" s="2">
        <f ca="1">Table1[[#This Row],[Profit]]/Table1[[#This Row],[Sales]]</f>
        <v>0.40000000000000008</v>
      </c>
      <c r="K652" t="str">
        <f ca="1">TEXT(Table1[[#This Row],[Order_Date]],"mmm")</f>
        <v>Apr</v>
      </c>
      <c r="L652">
        <f ca="1">YEAR(Table1[[#This Row],[Order_Date]])</f>
        <v>2023</v>
      </c>
    </row>
    <row r="653" spans="1:12" x14ac:dyDescent="0.3">
      <c r="A653">
        <f t="shared" si="40"/>
        <v>652</v>
      </c>
      <c r="B653" s="1">
        <f t="shared" ca="1" si="41"/>
        <v>45019</v>
      </c>
      <c r="C653" t="s">
        <v>10</v>
      </c>
      <c r="D653" t="str">
        <f t="shared" ca="1" si="42"/>
        <v>Electronics</v>
      </c>
      <c r="E653" t="s">
        <v>53</v>
      </c>
      <c r="F653" s="11">
        <v>7826</v>
      </c>
      <c r="G653">
        <f t="shared" ca="1" si="43"/>
        <v>6</v>
      </c>
      <c r="H653" s="11">
        <f ca="1">IF(Table1[[#This Row],[Category]]="Electronics",Table1[[#This Row],[Sales]]*0.6,
IF(Table1[[#This Row],[Category]]="Furniture",Table1[[#This Row],[Sales]]*0.75,
IF(Table1[[#This Row],[Category]]="Clothing",Table1[[#This Row],[Sales]]*0.65,
Table1[[#This Row],[Sales]]*0.7)))</f>
        <v>4695.5999999999995</v>
      </c>
      <c r="I653" s="11">
        <f ca="1">Table1[[#This Row],[Sales]]-H653</f>
        <v>3130.4000000000005</v>
      </c>
      <c r="J653" s="2">
        <f ca="1">Table1[[#This Row],[Profit]]/Table1[[#This Row],[Sales]]</f>
        <v>0.40000000000000008</v>
      </c>
      <c r="K653" t="str">
        <f ca="1">TEXT(Table1[[#This Row],[Order_Date]],"mmm")</f>
        <v>Apr</v>
      </c>
      <c r="L653">
        <f ca="1">YEAR(Table1[[#This Row],[Order_Date]])</f>
        <v>2023</v>
      </c>
    </row>
    <row r="654" spans="1:12" x14ac:dyDescent="0.3">
      <c r="A654">
        <f t="shared" si="40"/>
        <v>653</v>
      </c>
      <c r="B654" s="1">
        <f t="shared" ca="1" si="41"/>
        <v>45000</v>
      </c>
      <c r="C654" t="s">
        <v>7</v>
      </c>
      <c r="D654" t="str">
        <f t="shared" ca="1" si="42"/>
        <v>Furniture</v>
      </c>
      <c r="E654" t="s">
        <v>58</v>
      </c>
      <c r="F654" s="11">
        <v>4173</v>
      </c>
      <c r="G654">
        <f t="shared" ca="1" si="43"/>
        <v>7</v>
      </c>
      <c r="H654" s="11">
        <f ca="1">IF(Table1[[#This Row],[Category]]="Electronics",Table1[[#This Row],[Sales]]*0.6,
IF(Table1[[#This Row],[Category]]="Furniture",Table1[[#This Row],[Sales]]*0.75,
IF(Table1[[#This Row],[Category]]="Clothing",Table1[[#This Row],[Sales]]*0.65,
Table1[[#This Row],[Sales]]*0.7)))</f>
        <v>3129.75</v>
      </c>
      <c r="I654" s="11">
        <f ca="1">Table1[[#This Row],[Sales]]-H654</f>
        <v>1043.25</v>
      </c>
      <c r="J654" s="2">
        <f ca="1">Table1[[#This Row],[Profit]]/Table1[[#This Row],[Sales]]</f>
        <v>0.25</v>
      </c>
      <c r="K654" t="str">
        <f ca="1">TEXT(Table1[[#This Row],[Order_Date]],"mmm")</f>
        <v>Mar</v>
      </c>
      <c r="L654">
        <f ca="1">YEAR(Table1[[#This Row],[Order_Date]])</f>
        <v>2023</v>
      </c>
    </row>
    <row r="655" spans="1:12" x14ac:dyDescent="0.3">
      <c r="A655">
        <f t="shared" si="40"/>
        <v>654</v>
      </c>
      <c r="B655" s="1">
        <f t="shared" ca="1" si="41"/>
        <v>44980</v>
      </c>
      <c r="C655" t="s">
        <v>8</v>
      </c>
      <c r="D655" t="str">
        <f t="shared" ca="1" si="42"/>
        <v>Office Supplies</v>
      </c>
      <c r="E655" t="s">
        <v>41</v>
      </c>
      <c r="F655" s="11">
        <v>17199</v>
      </c>
      <c r="G655">
        <f t="shared" ca="1" si="43"/>
        <v>6</v>
      </c>
      <c r="H655" s="11">
        <f ca="1">IF(Table1[[#This Row],[Category]]="Electronics",Table1[[#This Row],[Sales]]*0.6,
IF(Table1[[#This Row],[Category]]="Furniture",Table1[[#This Row],[Sales]]*0.75,
IF(Table1[[#This Row],[Category]]="Clothing",Table1[[#This Row],[Sales]]*0.65,
Table1[[#This Row],[Sales]]*0.7)))</f>
        <v>12039.3</v>
      </c>
      <c r="I655" s="11">
        <f ca="1">Table1[[#This Row],[Sales]]-H655</f>
        <v>5159.7000000000007</v>
      </c>
      <c r="J655" s="2">
        <f ca="1">Table1[[#This Row],[Profit]]/Table1[[#This Row],[Sales]]</f>
        <v>0.30000000000000004</v>
      </c>
      <c r="K655" t="str">
        <f ca="1">TEXT(Table1[[#This Row],[Order_Date]],"mmm")</f>
        <v>Feb</v>
      </c>
      <c r="L655">
        <f ca="1">YEAR(Table1[[#This Row],[Order_Date]])</f>
        <v>2023</v>
      </c>
    </row>
    <row r="656" spans="1:12" x14ac:dyDescent="0.3">
      <c r="A656">
        <f t="shared" si="40"/>
        <v>655</v>
      </c>
      <c r="B656" s="1">
        <f t="shared" ca="1" si="41"/>
        <v>45028</v>
      </c>
      <c r="C656" t="s">
        <v>9</v>
      </c>
      <c r="D656" t="str">
        <f t="shared" ca="1" si="42"/>
        <v>Furniture</v>
      </c>
      <c r="E656" t="s">
        <v>56</v>
      </c>
      <c r="F656" s="11">
        <v>7738</v>
      </c>
      <c r="G656">
        <f t="shared" ca="1" si="43"/>
        <v>2</v>
      </c>
      <c r="H656" s="11">
        <f ca="1">IF(Table1[[#This Row],[Category]]="Electronics",Table1[[#This Row],[Sales]]*0.6,
IF(Table1[[#This Row],[Category]]="Furniture",Table1[[#This Row],[Sales]]*0.75,
IF(Table1[[#This Row],[Category]]="Clothing",Table1[[#This Row],[Sales]]*0.65,
Table1[[#This Row],[Sales]]*0.7)))</f>
        <v>5803.5</v>
      </c>
      <c r="I656" s="11">
        <f ca="1">Table1[[#This Row],[Sales]]-H656</f>
        <v>1934.5</v>
      </c>
      <c r="J656" s="2">
        <f ca="1">Table1[[#This Row],[Profit]]/Table1[[#This Row],[Sales]]</f>
        <v>0.25</v>
      </c>
      <c r="K656" t="str">
        <f ca="1">TEXT(Table1[[#This Row],[Order_Date]],"mmm")</f>
        <v>Apr</v>
      </c>
      <c r="L656">
        <f ca="1">YEAR(Table1[[#This Row],[Order_Date]])</f>
        <v>2023</v>
      </c>
    </row>
    <row r="657" spans="1:12" x14ac:dyDescent="0.3">
      <c r="A657">
        <f t="shared" si="40"/>
        <v>656</v>
      </c>
      <c r="B657" s="1">
        <f t="shared" ca="1" si="41"/>
        <v>45069</v>
      </c>
      <c r="C657" t="s">
        <v>10</v>
      </c>
      <c r="D657" t="str">
        <f t="shared" ca="1" si="42"/>
        <v>Furniture</v>
      </c>
      <c r="E657" t="s">
        <v>73</v>
      </c>
      <c r="F657" s="11">
        <v>17343</v>
      </c>
      <c r="G657">
        <f t="shared" ca="1" si="43"/>
        <v>5</v>
      </c>
      <c r="H657" s="11">
        <f ca="1">IF(Table1[[#This Row],[Category]]="Electronics",Table1[[#This Row],[Sales]]*0.6,
IF(Table1[[#This Row],[Category]]="Furniture",Table1[[#This Row],[Sales]]*0.75,
IF(Table1[[#This Row],[Category]]="Clothing",Table1[[#This Row],[Sales]]*0.65,
Table1[[#This Row],[Sales]]*0.7)))</f>
        <v>13007.25</v>
      </c>
      <c r="I657" s="11">
        <f ca="1">Table1[[#This Row],[Sales]]-H657</f>
        <v>4335.75</v>
      </c>
      <c r="J657" s="2">
        <f ca="1">Table1[[#This Row],[Profit]]/Table1[[#This Row],[Sales]]</f>
        <v>0.25</v>
      </c>
      <c r="K657" t="str">
        <f ca="1">TEXT(Table1[[#This Row],[Order_Date]],"mmm")</f>
        <v>May</v>
      </c>
      <c r="L657">
        <f ca="1">YEAR(Table1[[#This Row],[Order_Date]])</f>
        <v>2023</v>
      </c>
    </row>
    <row r="658" spans="1:12" x14ac:dyDescent="0.3">
      <c r="A658">
        <f t="shared" si="40"/>
        <v>657</v>
      </c>
      <c r="B658" s="1">
        <f t="shared" ca="1" si="41"/>
        <v>45128</v>
      </c>
      <c r="C658" t="s">
        <v>7</v>
      </c>
      <c r="D658" t="str">
        <f t="shared" ca="1" si="42"/>
        <v>Clothing</v>
      </c>
      <c r="E658" t="s">
        <v>70</v>
      </c>
      <c r="F658" s="11">
        <v>1278</v>
      </c>
      <c r="G658">
        <f t="shared" ca="1" si="43"/>
        <v>3</v>
      </c>
      <c r="H658" s="11">
        <f ca="1">IF(Table1[[#This Row],[Category]]="Electronics",Table1[[#This Row],[Sales]]*0.6,
IF(Table1[[#This Row],[Category]]="Furniture",Table1[[#This Row],[Sales]]*0.75,
IF(Table1[[#This Row],[Category]]="Clothing",Table1[[#This Row],[Sales]]*0.65,
Table1[[#This Row],[Sales]]*0.7)))</f>
        <v>830.7</v>
      </c>
      <c r="I658" s="11">
        <f ca="1">Table1[[#This Row],[Sales]]-H658</f>
        <v>447.29999999999995</v>
      </c>
      <c r="J658" s="2">
        <f ca="1">Table1[[#This Row],[Profit]]/Table1[[#This Row],[Sales]]</f>
        <v>0.35</v>
      </c>
      <c r="K658" t="str">
        <f ca="1">TEXT(Table1[[#This Row],[Order_Date]],"mmm")</f>
        <v>Jul</v>
      </c>
      <c r="L658">
        <f ca="1">YEAR(Table1[[#This Row],[Order_Date]])</f>
        <v>2023</v>
      </c>
    </row>
    <row r="659" spans="1:12" x14ac:dyDescent="0.3">
      <c r="A659">
        <f t="shared" si="40"/>
        <v>658</v>
      </c>
      <c r="B659" s="1">
        <f t="shared" ca="1" si="41"/>
        <v>45022</v>
      </c>
      <c r="C659" t="s">
        <v>8</v>
      </c>
      <c r="D659" t="str">
        <f t="shared" ca="1" si="42"/>
        <v>Clothing</v>
      </c>
      <c r="E659" t="s">
        <v>66</v>
      </c>
      <c r="F659" s="11">
        <v>19377</v>
      </c>
      <c r="G659">
        <f t="shared" ca="1" si="43"/>
        <v>7</v>
      </c>
      <c r="H659" s="11">
        <f ca="1">IF(Table1[[#This Row],[Category]]="Electronics",Table1[[#This Row],[Sales]]*0.6,
IF(Table1[[#This Row],[Category]]="Furniture",Table1[[#This Row],[Sales]]*0.75,
IF(Table1[[#This Row],[Category]]="Clothing",Table1[[#This Row],[Sales]]*0.65,
Table1[[#This Row],[Sales]]*0.7)))</f>
        <v>12595.050000000001</v>
      </c>
      <c r="I659" s="11">
        <f ca="1">Table1[[#This Row],[Sales]]-H659</f>
        <v>6781.9499999999989</v>
      </c>
      <c r="J659" s="2">
        <f ca="1">Table1[[#This Row],[Profit]]/Table1[[#This Row],[Sales]]</f>
        <v>0.34999999999999992</v>
      </c>
      <c r="K659" t="str">
        <f ca="1">TEXT(Table1[[#This Row],[Order_Date]],"mmm")</f>
        <v>Apr</v>
      </c>
      <c r="L659">
        <f ca="1">YEAR(Table1[[#This Row],[Order_Date]])</f>
        <v>2023</v>
      </c>
    </row>
    <row r="660" spans="1:12" x14ac:dyDescent="0.3">
      <c r="A660">
        <f t="shared" si="40"/>
        <v>659</v>
      </c>
      <c r="B660" s="1">
        <f t="shared" ca="1" si="41"/>
        <v>45139</v>
      </c>
      <c r="C660" t="s">
        <v>9</v>
      </c>
      <c r="D660" t="str">
        <f t="shared" ca="1" si="42"/>
        <v>Office Supplies</v>
      </c>
      <c r="E660" t="s">
        <v>36</v>
      </c>
      <c r="F660" s="11">
        <v>2667</v>
      </c>
      <c r="G660">
        <f t="shared" ca="1" si="43"/>
        <v>3</v>
      </c>
      <c r="H660" s="11">
        <f ca="1">IF(Table1[[#This Row],[Category]]="Electronics",Table1[[#This Row],[Sales]]*0.6,
IF(Table1[[#This Row],[Category]]="Furniture",Table1[[#This Row],[Sales]]*0.75,
IF(Table1[[#This Row],[Category]]="Clothing",Table1[[#This Row],[Sales]]*0.65,
Table1[[#This Row],[Sales]]*0.7)))</f>
        <v>1866.8999999999999</v>
      </c>
      <c r="I660" s="11">
        <f ca="1">Table1[[#This Row],[Sales]]-H660</f>
        <v>800.10000000000014</v>
      </c>
      <c r="J660" s="2">
        <f ca="1">Table1[[#This Row],[Profit]]/Table1[[#This Row],[Sales]]</f>
        <v>0.30000000000000004</v>
      </c>
      <c r="K660" t="str">
        <f ca="1">TEXT(Table1[[#This Row],[Order_Date]],"mmm")</f>
        <v>Aug</v>
      </c>
      <c r="L660">
        <f ca="1">YEAR(Table1[[#This Row],[Order_Date]])</f>
        <v>2023</v>
      </c>
    </row>
    <row r="661" spans="1:12" x14ac:dyDescent="0.3">
      <c r="A661">
        <f t="shared" si="40"/>
        <v>660</v>
      </c>
      <c r="B661" s="1">
        <f t="shared" ca="1" si="41"/>
        <v>44990</v>
      </c>
      <c r="C661" t="s">
        <v>10</v>
      </c>
      <c r="D661" t="str">
        <f t="shared" ca="1" si="42"/>
        <v>Office Supplies</v>
      </c>
      <c r="E661" t="s">
        <v>67</v>
      </c>
      <c r="F661" s="11">
        <v>16982</v>
      </c>
      <c r="G661">
        <f t="shared" ca="1" si="43"/>
        <v>7</v>
      </c>
      <c r="H661" s="11">
        <f ca="1">IF(Table1[[#This Row],[Category]]="Electronics",Table1[[#This Row],[Sales]]*0.6,
IF(Table1[[#This Row],[Category]]="Furniture",Table1[[#This Row],[Sales]]*0.75,
IF(Table1[[#This Row],[Category]]="Clothing",Table1[[#This Row],[Sales]]*0.65,
Table1[[#This Row],[Sales]]*0.7)))</f>
        <v>11887.4</v>
      </c>
      <c r="I661" s="11">
        <f ca="1">Table1[[#This Row],[Sales]]-H661</f>
        <v>5094.6000000000004</v>
      </c>
      <c r="J661" s="2">
        <f ca="1">Table1[[#This Row],[Profit]]/Table1[[#This Row],[Sales]]</f>
        <v>0.30000000000000004</v>
      </c>
      <c r="K661" t="str">
        <f ca="1">TEXT(Table1[[#This Row],[Order_Date]],"mmm")</f>
        <v>Mar</v>
      </c>
      <c r="L661">
        <f ca="1">YEAR(Table1[[#This Row],[Order_Date]])</f>
        <v>2023</v>
      </c>
    </row>
    <row r="662" spans="1:12" x14ac:dyDescent="0.3">
      <c r="A662">
        <f t="shared" si="40"/>
        <v>661</v>
      </c>
      <c r="B662" s="1">
        <f t="shared" ca="1" si="41"/>
        <v>44946</v>
      </c>
      <c r="C662" t="s">
        <v>7</v>
      </c>
      <c r="D662" t="str">
        <f t="shared" ca="1" si="42"/>
        <v>Furniture</v>
      </c>
      <c r="E662" t="s">
        <v>58</v>
      </c>
      <c r="F662" s="11">
        <v>19418</v>
      </c>
      <c r="G662">
        <f t="shared" ca="1" si="43"/>
        <v>5</v>
      </c>
      <c r="H662" s="11">
        <f ca="1">IF(Table1[[#This Row],[Category]]="Electronics",Table1[[#This Row],[Sales]]*0.6,
IF(Table1[[#This Row],[Category]]="Furniture",Table1[[#This Row],[Sales]]*0.75,
IF(Table1[[#This Row],[Category]]="Clothing",Table1[[#This Row],[Sales]]*0.65,
Table1[[#This Row],[Sales]]*0.7)))</f>
        <v>14563.5</v>
      </c>
      <c r="I662" s="11">
        <f ca="1">Table1[[#This Row],[Sales]]-H662</f>
        <v>4854.5</v>
      </c>
      <c r="J662" s="2">
        <f ca="1">Table1[[#This Row],[Profit]]/Table1[[#This Row],[Sales]]</f>
        <v>0.25</v>
      </c>
      <c r="K662" t="str">
        <f ca="1">TEXT(Table1[[#This Row],[Order_Date]],"mmm")</f>
        <v>Jan</v>
      </c>
      <c r="L662">
        <f ca="1">YEAR(Table1[[#This Row],[Order_Date]])</f>
        <v>2023</v>
      </c>
    </row>
    <row r="663" spans="1:12" x14ac:dyDescent="0.3">
      <c r="A663">
        <f t="shared" si="40"/>
        <v>662</v>
      </c>
      <c r="B663" s="1">
        <f t="shared" ca="1" si="41"/>
        <v>45144</v>
      </c>
      <c r="C663" t="s">
        <v>8</v>
      </c>
      <c r="D663" t="str">
        <f t="shared" ca="1" si="42"/>
        <v>Electronics</v>
      </c>
      <c r="E663" t="s">
        <v>85</v>
      </c>
      <c r="F663" s="11">
        <v>921</v>
      </c>
      <c r="G663">
        <f t="shared" ca="1" si="43"/>
        <v>5</v>
      </c>
      <c r="H663" s="11">
        <f ca="1">IF(Table1[[#This Row],[Category]]="Electronics",Table1[[#This Row],[Sales]]*0.6,
IF(Table1[[#This Row],[Category]]="Furniture",Table1[[#This Row],[Sales]]*0.75,
IF(Table1[[#This Row],[Category]]="Clothing",Table1[[#This Row],[Sales]]*0.65,
Table1[[#This Row],[Sales]]*0.7)))</f>
        <v>552.6</v>
      </c>
      <c r="I663" s="11">
        <f ca="1">Table1[[#This Row],[Sales]]-H663</f>
        <v>368.4</v>
      </c>
      <c r="J663" s="2">
        <f ca="1">Table1[[#This Row],[Profit]]/Table1[[#This Row],[Sales]]</f>
        <v>0.39999999999999997</v>
      </c>
      <c r="K663" t="str">
        <f ca="1">TEXT(Table1[[#This Row],[Order_Date]],"mmm")</f>
        <v>Aug</v>
      </c>
      <c r="L663">
        <f ca="1">YEAR(Table1[[#This Row],[Order_Date]])</f>
        <v>2023</v>
      </c>
    </row>
    <row r="664" spans="1:12" x14ac:dyDescent="0.3">
      <c r="A664">
        <f t="shared" si="40"/>
        <v>663</v>
      </c>
      <c r="B664" s="1">
        <f t="shared" ca="1" si="41"/>
        <v>45086</v>
      </c>
      <c r="C664" t="s">
        <v>9</v>
      </c>
      <c r="D664" t="str">
        <f t="shared" ca="1" si="42"/>
        <v>Clothing</v>
      </c>
      <c r="E664" t="s">
        <v>49</v>
      </c>
      <c r="F664" s="11">
        <v>4693</v>
      </c>
      <c r="G664">
        <f t="shared" ca="1" si="43"/>
        <v>1</v>
      </c>
      <c r="H664" s="11">
        <f ca="1">IF(Table1[[#This Row],[Category]]="Electronics",Table1[[#This Row],[Sales]]*0.6,
IF(Table1[[#This Row],[Category]]="Furniture",Table1[[#This Row],[Sales]]*0.75,
IF(Table1[[#This Row],[Category]]="Clothing",Table1[[#This Row],[Sales]]*0.65,
Table1[[#This Row],[Sales]]*0.7)))</f>
        <v>3050.4500000000003</v>
      </c>
      <c r="I664" s="11">
        <f ca="1">Table1[[#This Row],[Sales]]-H664</f>
        <v>1642.5499999999997</v>
      </c>
      <c r="J664" s="2">
        <f ca="1">Table1[[#This Row],[Profit]]/Table1[[#This Row],[Sales]]</f>
        <v>0.34999999999999992</v>
      </c>
      <c r="K664" t="str">
        <f ca="1">TEXT(Table1[[#This Row],[Order_Date]],"mmm")</f>
        <v>Jun</v>
      </c>
      <c r="L664">
        <f ca="1">YEAR(Table1[[#This Row],[Order_Date]])</f>
        <v>2023</v>
      </c>
    </row>
    <row r="665" spans="1:12" x14ac:dyDescent="0.3">
      <c r="A665">
        <f t="shared" si="40"/>
        <v>664</v>
      </c>
      <c r="B665" s="1">
        <f t="shared" ca="1" si="41"/>
        <v>45150</v>
      </c>
      <c r="C665" t="s">
        <v>10</v>
      </c>
      <c r="D665" t="str">
        <f t="shared" ca="1" si="42"/>
        <v>Furniture</v>
      </c>
      <c r="E665" t="s">
        <v>57</v>
      </c>
      <c r="F665" s="11">
        <v>14182</v>
      </c>
      <c r="G665">
        <f t="shared" ca="1" si="43"/>
        <v>8</v>
      </c>
      <c r="H665" s="11">
        <f ca="1">IF(Table1[[#This Row],[Category]]="Electronics",Table1[[#This Row],[Sales]]*0.6,
IF(Table1[[#This Row],[Category]]="Furniture",Table1[[#This Row],[Sales]]*0.75,
IF(Table1[[#This Row],[Category]]="Clothing",Table1[[#This Row],[Sales]]*0.65,
Table1[[#This Row],[Sales]]*0.7)))</f>
        <v>10636.5</v>
      </c>
      <c r="I665" s="11">
        <f ca="1">Table1[[#This Row],[Sales]]-H665</f>
        <v>3545.5</v>
      </c>
      <c r="J665" s="2">
        <f ca="1">Table1[[#This Row],[Profit]]/Table1[[#This Row],[Sales]]</f>
        <v>0.25</v>
      </c>
      <c r="K665" t="str">
        <f ca="1">TEXT(Table1[[#This Row],[Order_Date]],"mmm")</f>
        <v>Aug</v>
      </c>
      <c r="L665">
        <f ca="1">YEAR(Table1[[#This Row],[Order_Date]])</f>
        <v>2023</v>
      </c>
    </row>
    <row r="666" spans="1:12" x14ac:dyDescent="0.3">
      <c r="A666">
        <f t="shared" si="40"/>
        <v>665</v>
      </c>
      <c r="B666" s="1">
        <f t="shared" ca="1" si="41"/>
        <v>45239</v>
      </c>
      <c r="C666" t="s">
        <v>7</v>
      </c>
      <c r="D666" t="str">
        <f t="shared" ca="1" si="42"/>
        <v>Furniture</v>
      </c>
      <c r="E666" t="s">
        <v>71</v>
      </c>
      <c r="F666" s="11">
        <v>17081</v>
      </c>
      <c r="G666">
        <f t="shared" ca="1" si="43"/>
        <v>6</v>
      </c>
      <c r="H666" s="11">
        <f ca="1">IF(Table1[[#This Row],[Category]]="Electronics",Table1[[#This Row],[Sales]]*0.6,
IF(Table1[[#This Row],[Category]]="Furniture",Table1[[#This Row],[Sales]]*0.75,
IF(Table1[[#This Row],[Category]]="Clothing",Table1[[#This Row],[Sales]]*0.65,
Table1[[#This Row],[Sales]]*0.7)))</f>
        <v>12810.75</v>
      </c>
      <c r="I666" s="11">
        <f ca="1">Table1[[#This Row],[Sales]]-H666</f>
        <v>4270.25</v>
      </c>
      <c r="J666" s="2">
        <f ca="1">Table1[[#This Row],[Profit]]/Table1[[#This Row],[Sales]]</f>
        <v>0.25</v>
      </c>
      <c r="K666" t="str">
        <f ca="1">TEXT(Table1[[#This Row],[Order_Date]],"mmm")</f>
        <v>Nov</v>
      </c>
      <c r="L666">
        <f ca="1">YEAR(Table1[[#This Row],[Order_Date]])</f>
        <v>2023</v>
      </c>
    </row>
    <row r="667" spans="1:12" x14ac:dyDescent="0.3">
      <c r="A667">
        <f t="shared" si="40"/>
        <v>666</v>
      </c>
      <c r="B667" s="1">
        <f t="shared" ca="1" si="41"/>
        <v>45072</v>
      </c>
      <c r="C667" t="s">
        <v>8</v>
      </c>
      <c r="D667" t="str">
        <f t="shared" ca="1" si="42"/>
        <v>Office Supplies</v>
      </c>
      <c r="E667" t="s">
        <v>54</v>
      </c>
      <c r="F667" s="11">
        <v>8328</v>
      </c>
      <c r="G667">
        <f t="shared" ca="1" si="43"/>
        <v>8</v>
      </c>
      <c r="H667" s="11">
        <f ca="1">IF(Table1[[#This Row],[Category]]="Electronics",Table1[[#This Row],[Sales]]*0.6,
IF(Table1[[#This Row],[Category]]="Furniture",Table1[[#This Row],[Sales]]*0.75,
IF(Table1[[#This Row],[Category]]="Clothing",Table1[[#This Row],[Sales]]*0.65,
Table1[[#This Row],[Sales]]*0.7)))</f>
        <v>5829.5999999999995</v>
      </c>
      <c r="I667" s="11">
        <f ca="1">Table1[[#This Row],[Sales]]-H667</f>
        <v>2498.4000000000005</v>
      </c>
      <c r="J667" s="2">
        <f ca="1">Table1[[#This Row],[Profit]]/Table1[[#This Row],[Sales]]</f>
        <v>0.30000000000000004</v>
      </c>
      <c r="K667" t="str">
        <f ca="1">TEXT(Table1[[#This Row],[Order_Date]],"mmm")</f>
        <v>May</v>
      </c>
      <c r="L667">
        <f ca="1">YEAR(Table1[[#This Row],[Order_Date]])</f>
        <v>2023</v>
      </c>
    </row>
    <row r="668" spans="1:12" x14ac:dyDescent="0.3">
      <c r="A668">
        <f t="shared" si="40"/>
        <v>667</v>
      </c>
      <c r="B668" s="1">
        <f t="shared" ca="1" si="41"/>
        <v>45178</v>
      </c>
      <c r="C668" t="s">
        <v>9</v>
      </c>
      <c r="D668" t="str">
        <f t="shared" ca="1" si="42"/>
        <v>Office Supplies</v>
      </c>
      <c r="E668" t="s">
        <v>85</v>
      </c>
      <c r="F668" s="11">
        <v>12133</v>
      </c>
      <c r="G668">
        <f t="shared" ca="1" si="43"/>
        <v>3</v>
      </c>
      <c r="H668" s="11">
        <f ca="1">IF(Table1[[#This Row],[Category]]="Electronics",Table1[[#This Row],[Sales]]*0.6,
IF(Table1[[#This Row],[Category]]="Furniture",Table1[[#This Row],[Sales]]*0.75,
IF(Table1[[#This Row],[Category]]="Clothing",Table1[[#This Row],[Sales]]*0.65,
Table1[[#This Row],[Sales]]*0.7)))</f>
        <v>8493.1</v>
      </c>
      <c r="I668" s="11">
        <f ca="1">Table1[[#This Row],[Sales]]-H668</f>
        <v>3639.8999999999996</v>
      </c>
      <c r="J668" s="2">
        <f ca="1">Table1[[#This Row],[Profit]]/Table1[[#This Row],[Sales]]</f>
        <v>0.3</v>
      </c>
      <c r="K668" t="str">
        <f ca="1">TEXT(Table1[[#This Row],[Order_Date]],"mmm")</f>
        <v>Sep</v>
      </c>
      <c r="L668">
        <f ca="1">YEAR(Table1[[#This Row],[Order_Date]])</f>
        <v>2023</v>
      </c>
    </row>
    <row r="669" spans="1:12" x14ac:dyDescent="0.3">
      <c r="A669">
        <f t="shared" si="40"/>
        <v>668</v>
      </c>
      <c r="B669" s="1">
        <f t="shared" ca="1" si="41"/>
        <v>45027</v>
      </c>
      <c r="C669" t="s">
        <v>10</v>
      </c>
      <c r="D669" t="str">
        <f t="shared" ca="1" si="42"/>
        <v>Furniture</v>
      </c>
      <c r="E669" t="s">
        <v>40</v>
      </c>
      <c r="F669" s="11">
        <v>4878</v>
      </c>
      <c r="G669">
        <f t="shared" ca="1" si="43"/>
        <v>8</v>
      </c>
      <c r="H669" s="11">
        <f ca="1">IF(Table1[[#This Row],[Category]]="Electronics",Table1[[#This Row],[Sales]]*0.6,
IF(Table1[[#This Row],[Category]]="Furniture",Table1[[#This Row],[Sales]]*0.75,
IF(Table1[[#This Row],[Category]]="Clothing",Table1[[#This Row],[Sales]]*0.65,
Table1[[#This Row],[Sales]]*0.7)))</f>
        <v>3658.5</v>
      </c>
      <c r="I669" s="11">
        <f ca="1">Table1[[#This Row],[Sales]]-H669</f>
        <v>1219.5</v>
      </c>
      <c r="J669" s="2">
        <f ca="1">Table1[[#This Row],[Profit]]/Table1[[#This Row],[Sales]]</f>
        <v>0.25</v>
      </c>
      <c r="K669" t="str">
        <f ca="1">TEXT(Table1[[#This Row],[Order_Date]],"mmm")</f>
        <v>Apr</v>
      </c>
      <c r="L669">
        <f ca="1">YEAR(Table1[[#This Row],[Order_Date]])</f>
        <v>2023</v>
      </c>
    </row>
    <row r="670" spans="1:12" x14ac:dyDescent="0.3">
      <c r="A670">
        <f t="shared" si="40"/>
        <v>669</v>
      </c>
      <c r="B670" s="1">
        <f t="shared" ca="1" si="41"/>
        <v>44980</v>
      </c>
      <c r="C670" t="s">
        <v>7</v>
      </c>
      <c r="D670" t="str">
        <f t="shared" ca="1" si="42"/>
        <v>Office Supplies</v>
      </c>
      <c r="E670" t="s">
        <v>50</v>
      </c>
      <c r="F670" s="11">
        <v>17491</v>
      </c>
      <c r="G670">
        <f t="shared" ca="1" si="43"/>
        <v>10</v>
      </c>
      <c r="H670" s="11">
        <f ca="1">IF(Table1[[#This Row],[Category]]="Electronics",Table1[[#This Row],[Sales]]*0.6,
IF(Table1[[#This Row],[Category]]="Furniture",Table1[[#This Row],[Sales]]*0.75,
IF(Table1[[#This Row],[Category]]="Clothing",Table1[[#This Row],[Sales]]*0.65,
Table1[[#This Row],[Sales]]*0.7)))</f>
        <v>12243.699999999999</v>
      </c>
      <c r="I670" s="11">
        <f ca="1">Table1[[#This Row],[Sales]]-H670</f>
        <v>5247.3000000000011</v>
      </c>
      <c r="J670" s="2">
        <f ca="1">Table1[[#This Row],[Profit]]/Table1[[#This Row],[Sales]]</f>
        <v>0.30000000000000004</v>
      </c>
      <c r="K670" t="str">
        <f ca="1">TEXT(Table1[[#This Row],[Order_Date]],"mmm")</f>
        <v>Feb</v>
      </c>
      <c r="L670">
        <f ca="1">YEAR(Table1[[#This Row],[Order_Date]])</f>
        <v>2023</v>
      </c>
    </row>
    <row r="671" spans="1:12" x14ac:dyDescent="0.3">
      <c r="A671">
        <f t="shared" si="40"/>
        <v>670</v>
      </c>
      <c r="B671" s="1">
        <f t="shared" ca="1" si="41"/>
        <v>45048</v>
      </c>
      <c r="C671" t="s">
        <v>8</v>
      </c>
      <c r="D671" t="str">
        <f t="shared" ca="1" si="42"/>
        <v>Clothing</v>
      </c>
      <c r="E671" t="s">
        <v>66</v>
      </c>
      <c r="F671" s="11">
        <v>5397</v>
      </c>
      <c r="G671">
        <f t="shared" ca="1" si="43"/>
        <v>6</v>
      </c>
      <c r="H671" s="11">
        <f ca="1">IF(Table1[[#This Row],[Category]]="Electronics",Table1[[#This Row],[Sales]]*0.6,
IF(Table1[[#This Row],[Category]]="Furniture",Table1[[#This Row],[Sales]]*0.75,
IF(Table1[[#This Row],[Category]]="Clothing",Table1[[#This Row],[Sales]]*0.65,
Table1[[#This Row],[Sales]]*0.7)))</f>
        <v>3508.05</v>
      </c>
      <c r="I671" s="11">
        <f ca="1">Table1[[#This Row],[Sales]]-H671</f>
        <v>1888.9499999999998</v>
      </c>
      <c r="J671" s="2">
        <f ca="1">Table1[[#This Row],[Profit]]/Table1[[#This Row],[Sales]]</f>
        <v>0.35</v>
      </c>
      <c r="K671" t="str">
        <f ca="1">TEXT(Table1[[#This Row],[Order_Date]],"mmm")</f>
        <v>May</v>
      </c>
      <c r="L671">
        <f ca="1">YEAR(Table1[[#This Row],[Order_Date]])</f>
        <v>2023</v>
      </c>
    </row>
    <row r="672" spans="1:12" x14ac:dyDescent="0.3">
      <c r="A672">
        <f t="shared" si="40"/>
        <v>671</v>
      </c>
      <c r="B672" s="1">
        <f t="shared" ca="1" si="41"/>
        <v>44966</v>
      </c>
      <c r="C672" t="s">
        <v>9</v>
      </c>
      <c r="D672" t="str">
        <f t="shared" ca="1" si="42"/>
        <v>Clothing</v>
      </c>
      <c r="E672" t="s">
        <v>75</v>
      </c>
      <c r="F672" s="11">
        <v>11692</v>
      </c>
      <c r="G672">
        <f t="shared" ca="1" si="43"/>
        <v>6</v>
      </c>
      <c r="H672" s="11">
        <f ca="1">IF(Table1[[#This Row],[Category]]="Electronics",Table1[[#This Row],[Sales]]*0.6,
IF(Table1[[#This Row],[Category]]="Furniture",Table1[[#This Row],[Sales]]*0.75,
IF(Table1[[#This Row],[Category]]="Clothing",Table1[[#This Row],[Sales]]*0.65,
Table1[[#This Row],[Sales]]*0.7)))</f>
        <v>7599.8</v>
      </c>
      <c r="I672" s="11">
        <f ca="1">Table1[[#This Row],[Sales]]-H672</f>
        <v>4092.2</v>
      </c>
      <c r="J672" s="2">
        <f ca="1">Table1[[#This Row],[Profit]]/Table1[[#This Row],[Sales]]</f>
        <v>0.35</v>
      </c>
      <c r="K672" t="str">
        <f ca="1">TEXT(Table1[[#This Row],[Order_Date]],"mmm")</f>
        <v>Feb</v>
      </c>
      <c r="L672">
        <f ca="1">YEAR(Table1[[#This Row],[Order_Date]])</f>
        <v>2023</v>
      </c>
    </row>
    <row r="673" spans="1:12" x14ac:dyDescent="0.3">
      <c r="A673">
        <f t="shared" si="40"/>
        <v>672</v>
      </c>
      <c r="B673" s="1">
        <f t="shared" ca="1" si="41"/>
        <v>45227</v>
      </c>
      <c r="C673" t="s">
        <v>10</v>
      </c>
      <c r="D673" t="str">
        <f t="shared" ca="1" si="42"/>
        <v>Clothing</v>
      </c>
      <c r="E673" t="s">
        <v>52</v>
      </c>
      <c r="F673" s="11">
        <v>6440</v>
      </c>
      <c r="G673">
        <f t="shared" ca="1" si="43"/>
        <v>5</v>
      </c>
      <c r="H673" s="11">
        <f ca="1">IF(Table1[[#This Row],[Category]]="Electronics",Table1[[#This Row],[Sales]]*0.6,
IF(Table1[[#This Row],[Category]]="Furniture",Table1[[#This Row],[Sales]]*0.75,
IF(Table1[[#This Row],[Category]]="Clothing",Table1[[#This Row],[Sales]]*0.65,
Table1[[#This Row],[Sales]]*0.7)))</f>
        <v>4186</v>
      </c>
      <c r="I673" s="11">
        <f ca="1">Table1[[#This Row],[Sales]]-H673</f>
        <v>2254</v>
      </c>
      <c r="J673" s="2">
        <f ca="1">Table1[[#This Row],[Profit]]/Table1[[#This Row],[Sales]]</f>
        <v>0.35</v>
      </c>
      <c r="K673" t="str">
        <f ca="1">TEXT(Table1[[#This Row],[Order_Date]],"mmm")</f>
        <v>Oct</v>
      </c>
      <c r="L673">
        <f ca="1">YEAR(Table1[[#This Row],[Order_Date]])</f>
        <v>2023</v>
      </c>
    </row>
    <row r="674" spans="1:12" x14ac:dyDescent="0.3">
      <c r="A674">
        <f t="shared" si="40"/>
        <v>673</v>
      </c>
      <c r="B674" s="1">
        <f t="shared" ca="1" si="41"/>
        <v>45010</v>
      </c>
      <c r="C674" t="s">
        <v>7</v>
      </c>
      <c r="D674" t="str">
        <f t="shared" ca="1" si="42"/>
        <v>Office Supplies</v>
      </c>
      <c r="E674" t="s">
        <v>51</v>
      </c>
      <c r="F674" s="11">
        <v>2873</v>
      </c>
      <c r="G674">
        <f t="shared" ca="1" si="43"/>
        <v>8</v>
      </c>
      <c r="H674" s="11">
        <f ca="1">IF(Table1[[#This Row],[Category]]="Electronics",Table1[[#This Row],[Sales]]*0.6,
IF(Table1[[#This Row],[Category]]="Furniture",Table1[[#This Row],[Sales]]*0.75,
IF(Table1[[#This Row],[Category]]="Clothing",Table1[[#This Row],[Sales]]*0.65,
Table1[[#This Row],[Sales]]*0.7)))</f>
        <v>2011.1</v>
      </c>
      <c r="I674" s="11">
        <f ca="1">Table1[[#This Row],[Sales]]-H674</f>
        <v>861.90000000000009</v>
      </c>
      <c r="J674" s="2">
        <f ca="1">Table1[[#This Row],[Profit]]/Table1[[#This Row],[Sales]]</f>
        <v>0.30000000000000004</v>
      </c>
      <c r="K674" t="str">
        <f ca="1">TEXT(Table1[[#This Row],[Order_Date]],"mmm")</f>
        <v>Mar</v>
      </c>
      <c r="L674">
        <f ca="1">YEAR(Table1[[#This Row],[Order_Date]])</f>
        <v>2023</v>
      </c>
    </row>
    <row r="675" spans="1:12" x14ac:dyDescent="0.3">
      <c r="A675">
        <f t="shared" si="40"/>
        <v>674</v>
      </c>
      <c r="B675" s="1">
        <f t="shared" ca="1" si="41"/>
        <v>45070</v>
      </c>
      <c r="C675" t="s">
        <v>8</v>
      </c>
      <c r="D675" t="str">
        <f t="shared" ca="1" si="42"/>
        <v>Office Supplies</v>
      </c>
      <c r="E675" t="s">
        <v>81</v>
      </c>
      <c r="F675" s="11">
        <v>6633</v>
      </c>
      <c r="G675">
        <f t="shared" ca="1" si="43"/>
        <v>1</v>
      </c>
      <c r="H675" s="11">
        <f ca="1">IF(Table1[[#This Row],[Category]]="Electronics",Table1[[#This Row],[Sales]]*0.6,
IF(Table1[[#This Row],[Category]]="Furniture",Table1[[#This Row],[Sales]]*0.75,
IF(Table1[[#This Row],[Category]]="Clothing",Table1[[#This Row],[Sales]]*0.65,
Table1[[#This Row],[Sales]]*0.7)))</f>
        <v>4643.0999999999995</v>
      </c>
      <c r="I675" s="11">
        <f ca="1">Table1[[#This Row],[Sales]]-H675</f>
        <v>1989.9000000000005</v>
      </c>
      <c r="J675" s="2">
        <f ca="1">Table1[[#This Row],[Profit]]/Table1[[#This Row],[Sales]]</f>
        <v>0.3000000000000001</v>
      </c>
      <c r="K675" t="str">
        <f ca="1">TEXT(Table1[[#This Row],[Order_Date]],"mmm")</f>
        <v>May</v>
      </c>
      <c r="L675">
        <f ca="1">YEAR(Table1[[#This Row],[Order_Date]])</f>
        <v>2023</v>
      </c>
    </row>
    <row r="676" spans="1:12" x14ac:dyDescent="0.3">
      <c r="A676">
        <f t="shared" si="40"/>
        <v>675</v>
      </c>
      <c r="B676" s="1">
        <f t="shared" ca="1" si="41"/>
        <v>44993</v>
      </c>
      <c r="C676" t="s">
        <v>9</v>
      </c>
      <c r="D676" t="str">
        <f t="shared" ca="1" si="42"/>
        <v>Furniture</v>
      </c>
      <c r="E676" t="s">
        <v>60</v>
      </c>
      <c r="F676" s="11">
        <v>18695</v>
      </c>
      <c r="G676">
        <f t="shared" ca="1" si="43"/>
        <v>5</v>
      </c>
      <c r="H676" s="11">
        <f ca="1">IF(Table1[[#This Row],[Category]]="Electronics",Table1[[#This Row],[Sales]]*0.6,
IF(Table1[[#This Row],[Category]]="Furniture",Table1[[#This Row],[Sales]]*0.75,
IF(Table1[[#This Row],[Category]]="Clothing",Table1[[#This Row],[Sales]]*0.65,
Table1[[#This Row],[Sales]]*0.7)))</f>
        <v>14021.25</v>
      </c>
      <c r="I676" s="11">
        <f ca="1">Table1[[#This Row],[Sales]]-H676</f>
        <v>4673.75</v>
      </c>
      <c r="J676" s="2">
        <f ca="1">Table1[[#This Row],[Profit]]/Table1[[#This Row],[Sales]]</f>
        <v>0.25</v>
      </c>
      <c r="K676" t="str">
        <f ca="1">TEXT(Table1[[#This Row],[Order_Date]],"mmm")</f>
        <v>Mar</v>
      </c>
      <c r="L676">
        <f ca="1">YEAR(Table1[[#This Row],[Order_Date]])</f>
        <v>2023</v>
      </c>
    </row>
    <row r="677" spans="1:12" x14ac:dyDescent="0.3">
      <c r="A677">
        <f t="shared" si="40"/>
        <v>676</v>
      </c>
      <c r="B677" s="1">
        <f t="shared" ca="1" si="41"/>
        <v>45219</v>
      </c>
      <c r="C677" t="s">
        <v>10</v>
      </c>
      <c r="D677" t="str">
        <f t="shared" ca="1" si="42"/>
        <v>Electronics</v>
      </c>
      <c r="E677" t="s">
        <v>77</v>
      </c>
      <c r="F677" s="11">
        <v>10736</v>
      </c>
      <c r="G677">
        <f t="shared" ca="1" si="43"/>
        <v>7</v>
      </c>
      <c r="H677" s="11">
        <f ca="1">IF(Table1[[#This Row],[Category]]="Electronics",Table1[[#This Row],[Sales]]*0.6,
IF(Table1[[#This Row],[Category]]="Furniture",Table1[[#This Row],[Sales]]*0.75,
IF(Table1[[#This Row],[Category]]="Clothing",Table1[[#This Row],[Sales]]*0.65,
Table1[[#This Row],[Sales]]*0.7)))</f>
        <v>6441.5999999999995</v>
      </c>
      <c r="I677" s="11">
        <f ca="1">Table1[[#This Row],[Sales]]-H677</f>
        <v>4294.4000000000005</v>
      </c>
      <c r="J677" s="2">
        <f ca="1">Table1[[#This Row],[Profit]]/Table1[[#This Row],[Sales]]</f>
        <v>0.40000000000000008</v>
      </c>
      <c r="K677" t="str">
        <f ca="1">TEXT(Table1[[#This Row],[Order_Date]],"mmm")</f>
        <v>Oct</v>
      </c>
      <c r="L677">
        <f ca="1">YEAR(Table1[[#This Row],[Order_Date]])</f>
        <v>2023</v>
      </c>
    </row>
    <row r="678" spans="1:12" x14ac:dyDescent="0.3">
      <c r="A678">
        <f t="shared" si="40"/>
        <v>677</v>
      </c>
      <c r="B678" s="1">
        <f t="shared" ca="1" si="41"/>
        <v>44967</v>
      </c>
      <c r="C678" t="s">
        <v>7</v>
      </c>
      <c r="D678" t="str">
        <f t="shared" ca="1" si="42"/>
        <v>Furniture</v>
      </c>
      <c r="E678" t="s">
        <v>61</v>
      </c>
      <c r="F678" s="11">
        <v>8586</v>
      </c>
      <c r="G678">
        <f t="shared" ca="1" si="43"/>
        <v>5</v>
      </c>
      <c r="H678" s="11">
        <f ca="1">IF(Table1[[#This Row],[Category]]="Electronics",Table1[[#This Row],[Sales]]*0.6,
IF(Table1[[#This Row],[Category]]="Furniture",Table1[[#This Row],[Sales]]*0.75,
IF(Table1[[#This Row],[Category]]="Clothing",Table1[[#This Row],[Sales]]*0.65,
Table1[[#This Row],[Sales]]*0.7)))</f>
        <v>6439.5</v>
      </c>
      <c r="I678" s="11">
        <f ca="1">Table1[[#This Row],[Sales]]-H678</f>
        <v>2146.5</v>
      </c>
      <c r="J678" s="2">
        <f ca="1">Table1[[#This Row],[Profit]]/Table1[[#This Row],[Sales]]</f>
        <v>0.25</v>
      </c>
      <c r="K678" t="str">
        <f ca="1">TEXT(Table1[[#This Row],[Order_Date]],"mmm")</f>
        <v>Feb</v>
      </c>
      <c r="L678">
        <f ca="1">YEAR(Table1[[#This Row],[Order_Date]])</f>
        <v>2023</v>
      </c>
    </row>
    <row r="679" spans="1:12" x14ac:dyDescent="0.3">
      <c r="A679">
        <f t="shared" si="40"/>
        <v>678</v>
      </c>
      <c r="B679" s="1">
        <f t="shared" ca="1" si="41"/>
        <v>45044</v>
      </c>
      <c r="C679" t="s">
        <v>8</v>
      </c>
      <c r="D679" t="str">
        <f t="shared" ca="1" si="42"/>
        <v>Office Supplies</v>
      </c>
      <c r="E679" t="s">
        <v>83</v>
      </c>
      <c r="F679" s="11">
        <v>1645</v>
      </c>
      <c r="G679">
        <f t="shared" ca="1" si="43"/>
        <v>1</v>
      </c>
      <c r="H679" s="11">
        <f ca="1">IF(Table1[[#This Row],[Category]]="Electronics",Table1[[#This Row],[Sales]]*0.6,
IF(Table1[[#This Row],[Category]]="Furniture",Table1[[#This Row],[Sales]]*0.75,
IF(Table1[[#This Row],[Category]]="Clothing",Table1[[#This Row],[Sales]]*0.65,
Table1[[#This Row],[Sales]]*0.7)))</f>
        <v>1151.5</v>
      </c>
      <c r="I679" s="11">
        <f ca="1">Table1[[#This Row],[Sales]]-H679</f>
        <v>493.5</v>
      </c>
      <c r="J679" s="2">
        <f ca="1">Table1[[#This Row],[Profit]]/Table1[[#This Row],[Sales]]</f>
        <v>0.3</v>
      </c>
      <c r="K679" t="str">
        <f ca="1">TEXT(Table1[[#This Row],[Order_Date]],"mmm")</f>
        <v>Apr</v>
      </c>
      <c r="L679">
        <f ca="1">YEAR(Table1[[#This Row],[Order_Date]])</f>
        <v>2023</v>
      </c>
    </row>
    <row r="680" spans="1:12" x14ac:dyDescent="0.3">
      <c r="A680">
        <f t="shared" si="40"/>
        <v>679</v>
      </c>
      <c r="B680" s="1">
        <f t="shared" ca="1" si="41"/>
        <v>45063</v>
      </c>
      <c r="C680" t="s">
        <v>9</v>
      </c>
      <c r="D680" t="str">
        <f t="shared" ca="1" si="42"/>
        <v>Electronics</v>
      </c>
      <c r="E680" t="s">
        <v>64</v>
      </c>
      <c r="F680" s="11">
        <v>8741</v>
      </c>
      <c r="G680">
        <f t="shared" ca="1" si="43"/>
        <v>7</v>
      </c>
      <c r="H680" s="11">
        <f ca="1">IF(Table1[[#This Row],[Category]]="Electronics",Table1[[#This Row],[Sales]]*0.6,
IF(Table1[[#This Row],[Category]]="Furniture",Table1[[#This Row],[Sales]]*0.75,
IF(Table1[[#This Row],[Category]]="Clothing",Table1[[#This Row],[Sales]]*0.65,
Table1[[#This Row],[Sales]]*0.7)))</f>
        <v>5244.5999999999995</v>
      </c>
      <c r="I680" s="11">
        <f ca="1">Table1[[#This Row],[Sales]]-H680</f>
        <v>3496.4000000000005</v>
      </c>
      <c r="J680" s="2">
        <f ca="1">Table1[[#This Row],[Profit]]/Table1[[#This Row],[Sales]]</f>
        <v>0.40000000000000008</v>
      </c>
      <c r="K680" t="str">
        <f ca="1">TEXT(Table1[[#This Row],[Order_Date]],"mmm")</f>
        <v>May</v>
      </c>
      <c r="L680">
        <f ca="1">YEAR(Table1[[#This Row],[Order_Date]])</f>
        <v>2023</v>
      </c>
    </row>
    <row r="681" spans="1:12" x14ac:dyDescent="0.3">
      <c r="A681">
        <f t="shared" si="40"/>
        <v>680</v>
      </c>
      <c r="B681" s="1">
        <f t="shared" ca="1" si="41"/>
        <v>45239</v>
      </c>
      <c r="C681" t="s">
        <v>10</v>
      </c>
      <c r="D681" t="str">
        <f t="shared" ca="1" si="42"/>
        <v>Furniture</v>
      </c>
      <c r="E681" t="s">
        <v>38</v>
      </c>
      <c r="F681" s="11">
        <v>18211</v>
      </c>
      <c r="G681">
        <f t="shared" ca="1" si="43"/>
        <v>6</v>
      </c>
      <c r="H681" s="11">
        <f ca="1">IF(Table1[[#This Row],[Category]]="Electronics",Table1[[#This Row],[Sales]]*0.6,
IF(Table1[[#This Row],[Category]]="Furniture",Table1[[#This Row],[Sales]]*0.75,
IF(Table1[[#This Row],[Category]]="Clothing",Table1[[#This Row],[Sales]]*0.65,
Table1[[#This Row],[Sales]]*0.7)))</f>
        <v>13658.25</v>
      </c>
      <c r="I681" s="11">
        <f ca="1">Table1[[#This Row],[Sales]]-H681</f>
        <v>4552.75</v>
      </c>
      <c r="J681" s="2">
        <f ca="1">Table1[[#This Row],[Profit]]/Table1[[#This Row],[Sales]]</f>
        <v>0.25</v>
      </c>
      <c r="K681" t="str">
        <f ca="1">TEXT(Table1[[#This Row],[Order_Date]],"mmm")</f>
        <v>Nov</v>
      </c>
      <c r="L681">
        <f ca="1">YEAR(Table1[[#This Row],[Order_Date]])</f>
        <v>2023</v>
      </c>
    </row>
    <row r="682" spans="1:12" x14ac:dyDescent="0.3">
      <c r="A682">
        <f t="shared" si="40"/>
        <v>681</v>
      </c>
      <c r="B682" s="1">
        <f t="shared" ca="1" si="41"/>
        <v>45099</v>
      </c>
      <c r="C682" t="s">
        <v>7</v>
      </c>
      <c r="D682" t="str">
        <f t="shared" ca="1" si="42"/>
        <v>Electronics</v>
      </c>
      <c r="E682" t="s">
        <v>74</v>
      </c>
      <c r="F682" s="11">
        <v>16184</v>
      </c>
      <c r="G682">
        <f t="shared" ca="1" si="43"/>
        <v>2</v>
      </c>
      <c r="H682" s="11">
        <f ca="1">IF(Table1[[#This Row],[Category]]="Electronics",Table1[[#This Row],[Sales]]*0.6,
IF(Table1[[#This Row],[Category]]="Furniture",Table1[[#This Row],[Sales]]*0.75,
IF(Table1[[#This Row],[Category]]="Clothing",Table1[[#This Row],[Sales]]*0.65,
Table1[[#This Row],[Sales]]*0.7)))</f>
        <v>9710.4</v>
      </c>
      <c r="I682" s="11">
        <f ca="1">Table1[[#This Row],[Sales]]-H682</f>
        <v>6473.6</v>
      </c>
      <c r="J682" s="2">
        <f ca="1">Table1[[#This Row],[Profit]]/Table1[[#This Row],[Sales]]</f>
        <v>0.4</v>
      </c>
      <c r="K682" t="str">
        <f ca="1">TEXT(Table1[[#This Row],[Order_Date]],"mmm")</f>
        <v>Jun</v>
      </c>
      <c r="L682">
        <f ca="1">YEAR(Table1[[#This Row],[Order_Date]])</f>
        <v>2023</v>
      </c>
    </row>
    <row r="683" spans="1:12" x14ac:dyDescent="0.3">
      <c r="A683">
        <f t="shared" si="40"/>
        <v>682</v>
      </c>
      <c r="B683" s="1">
        <f t="shared" ca="1" si="41"/>
        <v>44978</v>
      </c>
      <c r="C683" t="s">
        <v>8</v>
      </c>
      <c r="D683" t="str">
        <f t="shared" ca="1" si="42"/>
        <v>Furniture</v>
      </c>
      <c r="E683" t="s">
        <v>57</v>
      </c>
      <c r="F683" s="11">
        <v>510</v>
      </c>
      <c r="G683">
        <f t="shared" ca="1" si="43"/>
        <v>10</v>
      </c>
      <c r="H683" s="11">
        <f ca="1">IF(Table1[[#This Row],[Category]]="Electronics",Table1[[#This Row],[Sales]]*0.6,
IF(Table1[[#This Row],[Category]]="Furniture",Table1[[#This Row],[Sales]]*0.75,
IF(Table1[[#This Row],[Category]]="Clothing",Table1[[#This Row],[Sales]]*0.65,
Table1[[#This Row],[Sales]]*0.7)))</f>
        <v>382.5</v>
      </c>
      <c r="I683" s="11">
        <f ca="1">Table1[[#This Row],[Sales]]-H683</f>
        <v>127.5</v>
      </c>
      <c r="J683" s="2">
        <f ca="1">Table1[[#This Row],[Profit]]/Table1[[#This Row],[Sales]]</f>
        <v>0.25</v>
      </c>
      <c r="K683" t="str">
        <f ca="1">TEXT(Table1[[#This Row],[Order_Date]],"mmm")</f>
        <v>Feb</v>
      </c>
      <c r="L683">
        <f ca="1">YEAR(Table1[[#This Row],[Order_Date]])</f>
        <v>2023</v>
      </c>
    </row>
    <row r="684" spans="1:12" x14ac:dyDescent="0.3">
      <c r="A684">
        <f t="shared" si="40"/>
        <v>683</v>
      </c>
      <c r="B684" s="1">
        <f t="shared" ca="1" si="41"/>
        <v>45010</v>
      </c>
      <c r="C684" t="s">
        <v>9</v>
      </c>
      <c r="D684" t="str">
        <f t="shared" ca="1" si="42"/>
        <v>Furniture</v>
      </c>
      <c r="E684" t="s">
        <v>82</v>
      </c>
      <c r="F684" s="11">
        <v>7990</v>
      </c>
      <c r="G684">
        <f t="shared" ca="1" si="43"/>
        <v>5</v>
      </c>
      <c r="H684" s="11">
        <f ca="1">IF(Table1[[#This Row],[Category]]="Electronics",Table1[[#This Row],[Sales]]*0.6,
IF(Table1[[#This Row],[Category]]="Furniture",Table1[[#This Row],[Sales]]*0.75,
IF(Table1[[#This Row],[Category]]="Clothing",Table1[[#This Row],[Sales]]*0.65,
Table1[[#This Row],[Sales]]*0.7)))</f>
        <v>5992.5</v>
      </c>
      <c r="I684" s="11">
        <f ca="1">Table1[[#This Row],[Sales]]-H684</f>
        <v>1997.5</v>
      </c>
      <c r="J684" s="2">
        <f ca="1">Table1[[#This Row],[Profit]]/Table1[[#This Row],[Sales]]</f>
        <v>0.25</v>
      </c>
      <c r="K684" t="str">
        <f ca="1">TEXT(Table1[[#This Row],[Order_Date]],"mmm")</f>
        <v>Mar</v>
      </c>
      <c r="L684">
        <f ca="1">YEAR(Table1[[#This Row],[Order_Date]])</f>
        <v>2023</v>
      </c>
    </row>
    <row r="685" spans="1:12" x14ac:dyDescent="0.3">
      <c r="A685">
        <f t="shared" si="40"/>
        <v>684</v>
      </c>
      <c r="B685" s="1">
        <f t="shared" ca="1" si="41"/>
        <v>45004</v>
      </c>
      <c r="C685" t="s">
        <v>10</v>
      </c>
      <c r="D685" t="str">
        <f t="shared" ca="1" si="42"/>
        <v>Electronics</v>
      </c>
      <c r="E685" t="s">
        <v>63</v>
      </c>
      <c r="F685" s="11">
        <v>2591</v>
      </c>
      <c r="G685">
        <f t="shared" ca="1" si="43"/>
        <v>1</v>
      </c>
      <c r="H685" s="11">
        <f ca="1">IF(Table1[[#This Row],[Category]]="Electronics",Table1[[#This Row],[Sales]]*0.6,
IF(Table1[[#This Row],[Category]]="Furniture",Table1[[#This Row],[Sales]]*0.75,
IF(Table1[[#This Row],[Category]]="Clothing",Table1[[#This Row],[Sales]]*0.65,
Table1[[#This Row],[Sales]]*0.7)))</f>
        <v>1554.6</v>
      </c>
      <c r="I685" s="11">
        <f ca="1">Table1[[#This Row],[Sales]]-H685</f>
        <v>1036.4000000000001</v>
      </c>
      <c r="J685" s="2">
        <f ca="1">Table1[[#This Row],[Profit]]/Table1[[#This Row],[Sales]]</f>
        <v>0.4</v>
      </c>
      <c r="K685" t="str">
        <f ca="1">TEXT(Table1[[#This Row],[Order_Date]],"mmm")</f>
        <v>Mar</v>
      </c>
      <c r="L685">
        <f ca="1">YEAR(Table1[[#This Row],[Order_Date]])</f>
        <v>2023</v>
      </c>
    </row>
    <row r="686" spans="1:12" x14ac:dyDescent="0.3">
      <c r="A686">
        <f t="shared" si="40"/>
        <v>685</v>
      </c>
      <c r="B686" s="1">
        <f t="shared" ca="1" si="41"/>
        <v>45173</v>
      </c>
      <c r="C686" t="s">
        <v>7</v>
      </c>
      <c r="D686" t="str">
        <f t="shared" ca="1" si="42"/>
        <v>Clothing</v>
      </c>
      <c r="E686" t="s">
        <v>75</v>
      </c>
      <c r="F686" s="11">
        <v>9175</v>
      </c>
      <c r="G686">
        <f t="shared" ca="1" si="43"/>
        <v>2</v>
      </c>
      <c r="H686" s="11">
        <f ca="1">IF(Table1[[#This Row],[Category]]="Electronics",Table1[[#This Row],[Sales]]*0.6,
IF(Table1[[#This Row],[Category]]="Furniture",Table1[[#This Row],[Sales]]*0.75,
IF(Table1[[#This Row],[Category]]="Clothing",Table1[[#This Row],[Sales]]*0.65,
Table1[[#This Row],[Sales]]*0.7)))</f>
        <v>5963.75</v>
      </c>
      <c r="I686" s="11">
        <f ca="1">Table1[[#This Row],[Sales]]-H686</f>
        <v>3211.25</v>
      </c>
      <c r="J686" s="2">
        <f ca="1">Table1[[#This Row],[Profit]]/Table1[[#This Row],[Sales]]</f>
        <v>0.35</v>
      </c>
      <c r="K686" t="str">
        <f ca="1">TEXT(Table1[[#This Row],[Order_Date]],"mmm")</f>
        <v>Sep</v>
      </c>
      <c r="L686">
        <f ca="1">YEAR(Table1[[#This Row],[Order_Date]])</f>
        <v>2023</v>
      </c>
    </row>
    <row r="687" spans="1:12" x14ac:dyDescent="0.3">
      <c r="A687">
        <f t="shared" si="40"/>
        <v>686</v>
      </c>
      <c r="B687" s="1">
        <f t="shared" ca="1" si="41"/>
        <v>45119</v>
      </c>
      <c r="C687" t="s">
        <v>8</v>
      </c>
      <c r="D687" t="str">
        <f t="shared" ca="1" si="42"/>
        <v>Electronics</v>
      </c>
      <c r="E687" t="s">
        <v>64</v>
      </c>
      <c r="F687" s="11">
        <v>2997</v>
      </c>
      <c r="G687">
        <f t="shared" ca="1" si="43"/>
        <v>9</v>
      </c>
      <c r="H687" s="11">
        <f ca="1">IF(Table1[[#This Row],[Category]]="Electronics",Table1[[#This Row],[Sales]]*0.6,
IF(Table1[[#This Row],[Category]]="Furniture",Table1[[#This Row],[Sales]]*0.75,
IF(Table1[[#This Row],[Category]]="Clothing",Table1[[#This Row],[Sales]]*0.65,
Table1[[#This Row],[Sales]]*0.7)))</f>
        <v>1798.2</v>
      </c>
      <c r="I687" s="11">
        <f ca="1">Table1[[#This Row],[Sales]]-H687</f>
        <v>1198.8</v>
      </c>
      <c r="J687" s="2">
        <f ca="1">Table1[[#This Row],[Profit]]/Table1[[#This Row],[Sales]]</f>
        <v>0.39999999999999997</v>
      </c>
      <c r="K687" t="str">
        <f ca="1">TEXT(Table1[[#This Row],[Order_Date]],"mmm")</f>
        <v>Jul</v>
      </c>
      <c r="L687">
        <f ca="1">YEAR(Table1[[#This Row],[Order_Date]])</f>
        <v>2023</v>
      </c>
    </row>
    <row r="688" spans="1:12" x14ac:dyDescent="0.3">
      <c r="A688">
        <f t="shared" si="40"/>
        <v>687</v>
      </c>
      <c r="B688" s="1">
        <f t="shared" ca="1" si="41"/>
        <v>44958</v>
      </c>
      <c r="C688" t="s">
        <v>9</v>
      </c>
      <c r="D688" t="str">
        <f t="shared" ca="1" si="42"/>
        <v>Office Supplies</v>
      </c>
      <c r="E688" t="s">
        <v>55</v>
      </c>
      <c r="F688" s="11">
        <v>10209</v>
      </c>
      <c r="G688">
        <f t="shared" ca="1" si="43"/>
        <v>8</v>
      </c>
      <c r="H688" s="11">
        <f ca="1">IF(Table1[[#This Row],[Category]]="Electronics",Table1[[#This Row],[Sales]]*0.6,
IF(Table1[[#This Row],[Category]]="Furniture",Table1[[#This Row],[Sales]]*0.75,
IF(Table1[[#This Row],[Category]]="Clothing",Table1[[#This Row],[Sales]]*0.65,
Table1[[#This Row],[Sales]]*0.7)))</f>
        <v>7146.2999999999993</v>
      </c>
      <c r="I688" s="11">
        <f ca="1">Table1[[#This Row],[Sales]]-H688</f>
        <v>3062.7000000000007</v>
      </c>
      <c r="J688" s="2">
        <f ca="1">Table1[[#This Row],[Profit]]/Table1[[#This Row],[Sales]]</f>
        <v>0.30000000000000004</v>
      </c>
      <c r="K688" t="str">
        <f ca="1">TEXT(Table1[[#This Row],[Order_Date]],"mmm")</f>
        <v>Feb</v>
      </c>
      <c r="L688">
        <f ca="1">YEAR(Table1[[#This Row],[Order_Date]])</f>
        <v>2023</v>
      </c>
    </row>
    <row r="689" spans="1:12" x14ac:dyDescent="0.3">
      <c r="A689">
        <f t="shared" si="40"/>
        <v>688</v>
      </c>
      <c r="B689" s="1">
        <f t="shared" ca="1" si="41"/>
        <v>45114</v>
      </c>
      <c r="C689" t="s">
        <v>10</v>
      </c>
      <c r="D689" t="str">
        <f t="shared" ca="1" si="42"/>
        <v>Furniture</v>
      </c>
      <c r="E689" t="s">
        <v>54</v>
      </c>
      <c r="F689" s="11">
        <v>7650</v>
      </c>
      <c r="G689">
        <f t="shared" ca="1" si="43"/>
        <v>6</v>
      </c>
      <c r="H689" s="11">
        <f ca="1">IF(Table1[[#This Row],[Category]]="Electronics",Table1[[#This Row],[Sales]]*0.6,
IF(Table1[[#This Row],[Category]]="Furniture",Table1[[#This Row],[Sales]]*0.75,
IF(Table1[[#This Row],[Category]]="Clothing",Table1[[#This Row],[Sales]]*0.65,
Table1[[#This Row],[Sales]]*0.7)))</f>
        <v>5737.5</v>
      </c>
      <c r="I689" s="11">
        <f ca="1">Table1[[#This Row],[Sales]]-H689</f>
        <v>1912.5</v>
      </c>
      <c r="J689" s="2">
        <f ca="1">Table1[[#This Row],[Profit]]/Table1[[#This Row],[Sales]]</f>
        <v>0.25</v>
      </c>
      <c r="K689" t="str">
        <f ca="1">TEXT(Table1[[#This Row],[Order_Date]],"mmm")</f>
        <v>Jul</v>
      </c>
      <c r="L689">
        <f ca="1">YEAR(Table1[[#This Row],[Order_Date]])</f>
        <v>2023</v>
      </c>
    </row>
    <row r="690" spans="1:12" x14ac:dyDescent="0.3">
      <c r="A690">
        <f t="shared" si="40"/>
        <v>689</v>
      </c>
      <c r="B690" s="1">
        <f t="shared" ca="1" si="41"/>
        <v>44966</v>
      </c>
      <c r="C690" t="s">
        <v>7</v>
      </c>
      <c r="D690" t="str">
        <f t="shared" ca="1" si="42"/>
        <v>Furniture</v>
      </c>
      <c r="E690" t="s">
        <v>39</v>
      </c>
      <c r="F690" s="11">
        <v>3818</v>
      </c>
      <c r="G690">
        <f t="shared" ca="1" si="43"/>
        <v>2</v>
      </c>
      <c r="H690" s="11">
        <f ca="1">IF(Table1[[#This Row],[Category]]="Electronics",Table1[[#This Row],[Sales]]*0.6,
IF(Table1[[#This Row],[Category]]="Furniture",Table1[[#This Row],[Sales]]*0.75,
IF(Table1[[#This Row],[Category]]="Clothing",Table1[[#This Row],[Sales]]*0.65,
Table1[[#This Row],[Sales]]*0.7)))</f>
        <v>2863.5</v>
      </c>
      <c r="I690" s="11">
        <f ca="1">Table1[[#This Row],[Sales]]-H690</f>
        <v>954.5</v>
      </c>
      <c r="J690" s="2">
        <f ca="1">Table1[[#This Row],[Profit]]/Table1[[#This Row],[Sales]]</f>
        <v>0.25</v>
      </c>
      <c r="K690" t="str">
        <f ca="1">TEXT(Table1[[#This Row],[Order_Date]],"mmm")</f>
        <v>Feb</v>
      </c>
      <c r="L690">
        <f ca="1">YEAR(Table1[[#This Row],[Order_Date]])</f>
        <v>2023</v>
      </c>
    </row>
    <row r="691" spans="1:12" x14ac:dyDescent="0.3">
      <c r="A691">
        <f t="shared" si="40"/>
        <v>690</v>
      </c>
      <c r="B691" s="1">
        <f t="shared" ca="1" si="41"/>
        <v>45252</v>
      </c>
      <c r="C691" t="s">
        <v>8</v>
      </c>
      <c r="D691" t="str">
        <f t="shared" ca="1" si="42"/>
        <v>Furniture</v>
      </c>
      <c r="E691" t="s">
        <v>85</v>
      </c>
      <c r="F691" s="11">
        <v>2654</v>
      </c>
      <c r="G691">
        <f t="shared" ca="1" si="43"/>
        <v>7</v>
      </c>
      <c r="H691" s="11">
        <f ca="1">IF(Table1[[#This Row],[Category]]="Electronics",Table1[[#This Row],[Sales]]*0.6,
IF(Table1[[#This Row],[Category]]="Furniture",Table1[[#This Row],[Sales]]*0.75,
IF(Table1[[#This Row],[Category]]="Clothing",Table1[[#This Row],[Sales]]*0.65,
Table1[[#This Row],[Sales]]*0.7)))</f>
        <v>1990.5</v>
      </c>
      <c r="I691" s="11">
        <f ca="1">Table1[[#This Row],[Sales]]-H691</f>
        <v>663.5</v>
      </c>
      <c r="J691" s="2">
        <f ca="1">Table1[[#This Row],[Profit]]/Table1[[#This Row],[Sales]]</f>
        <v>0.25</v>
      </c>
      <c r="K691" t="str">
        <f ca="1">TEXT(Table1[[#This Row],[Order_Date]],"mmm")</f>
        <v>Nov</v>
      </c>
      <c r="L691">
        <f ca="1">YEAR(Table1[[#This Row],[Order_Date]])</f>
        <v>2023</v>
      </c>
    </row>
    <row r="692" spans="1:12" x14ac:dyDescent="0.3">
      <c r="A692">
        <f t="shared" si="40"/>
        <v>691</v>
      </c>
      <c r="B692" s="1">
        <f t="shared" ca="1" si="41"/>
        <v>45132</v>
      </c>
      <c r="C692" t="s">
        <v>9</v>
      </c>
      <c r="D692" t="str">
        <f t="shared" ca="1" si="42"/>
        <v>Furniture</v>
      </c>
      <c r="E692" t="s">
        <v>55</v>
      </c>
      <c r="F692" s="11">
        <v>16173</v>
      </c>
      <c r="G692">
        <f t="shared" ca="1" si="43"/>
        <v>9</v>
      </c>
      <c r="H692" s="11">
        <f ca="1">IF(Table1[[#This Row],[Category]]="Electronics",Table1[[#This Row],[Sales]]*0.6,
IF(Table1[[#This Row],[Category]]="Furniture",Table1[[#This Row],[Sales]]*0.75,
IF(Table1[[#This Row],[Category]]="Clothing",Table1[[#This Row],[Sales]]*0.65,
Table1[[#This Row],[Sales]]*0.7)))</f>
        <v>12129.75</v>
      </c>
      <c r="I692" s="11">
        <f ca="1">Table1[[#This Row],[Sales]]-H692</f>
        <v>4043.25</v>
      </c>
      <c r="J692" s="2">
        <f ca="1">Table1[[#This Row],[Profit]]/Table1[[#This Row],[Sales]]</f>
        <v>0.25</v>
      </c>
      <c r="K692" t="str">
        <f ca="1">TEXT(Table1[[#This Row],[Order_Date]],"mmm")</f>
        <v>Jul</v>
      </c>
      <c r="L692">
        <f ca="1">YEAR(Table1[[#This Row],[Order_Date]])</f>
        <v>2023</v>
      </c>
    </row>
    <row r="693" spans="1:12" x14ac:dyDescent="0.3">
      <c r="A693">
        <f t="shared" si="40"/>
        <v>692</v>
      </c>
      <c r="B693" s="1">
        <f t="shared" ca="1" si="41"/>
        <v>44963</v>
      </c>
      <c r="C693" t="s">
        <v>10</v>
      </c>
      <c r="D693" t="str">
        <f t="shared" ca="1" si="42"/>
        <v>Furniture</v>
      </c>
      <c r="E693" t="s">
        <v>37</v>
      </c>
      <c r="F693" s="11">
        <v>19398</v>
      </c>
      <c r="G693">
        <f t="shared" ca="1" si="43"/>
        <v>2</v>
      </c>
      <c r="H693" s="11">
        <f ca="1">IF(Table1[[#This Row],[Category]]="Electronics",Table1[[#This Row],[Sales]]*0.6,
IF(Table1[[#This Row],[Category]]="Furniture",Table1[[#This Row],[Sales]]*0.75,
IF(Table1[[#This Row],[Category]]="Clothing",Table1[[#This Row],[Sales]]*0.65,
Table1[[#This Row],[Sales]]*0.7)))</f>
        <v>14548.5</v>
      </c>
      <c r="I693" s="11">
        <f ca="1">Table1[[#This Row],[Sales]]-H693</f>
        <v>4849.5</v>
      </c>
      <c r="J693" s="2">
        <f ca="1">Table1[[#This Row],[Profit]]/Table1[[#This Row],[Sales]]</f>
        <v>0.25</v>
      </c>
      <c r="K693" t="str">
        <f ca="1">TEXT(Table1[[#This Row],[Order_Date]],"mmm")</f>
        <v>Feb</v>
      </c>
      <c r="L693">
        <f ca="1">YEAR(Table1[[#This Row],[Order_Date]])</f>
        <v>2023</v>
      </c>
    </row>
    <row r="694" spans="1:12" x14ac:dyDescent="0.3">
      <c r="A694">
        <f t="shared" si="40"/>
        <v>693</v>
      </c>
      <c r="B694" s="1">
        <f t="shared" ca="1" si="41"/>
        <v>45140</v>
      </c>
      <c r="C694" t="s">
        <v>7</v>
      </c>
      <c r="D694" t="str">
        <f t="shared" ca="1" si="42"/>
        <v>Electronics</v>
      </c>
      <c r="E694" t="s">
        <v>42</v>
      </c>
      <c r="F694" s="11">
        <v>14281</v>
      </c>
      <c r="G694">
        <f t="shared" ca="1" si="43"/>
        <v>10</v>
      </c>
      <c r="H694" s="11">
        <f ca="1">IF(Table1[[#This Row],[Category]]="Electronics",Table1[[#This Row],[Sales]]*0.6,
IF(Table1[[#This Row],[Category]]="Furniture",Table1[[#This Row],[Sales]]*0.75,
IF(Table1[[#This Row],[Category]]="Clothing",Table1[[#This Row],[Sales]]*0.65,
Table1[[#This Row],[Sales]]*0.7)))</f>
        <v>8568.6</v>
      </c>
      <c r="I694" s="11">
        <f ca="1">Table1[[#This Row],[Sales]]-H694</f>
        <v>5712.4</v>
      </c>
      <c r="J694" s="2">
        <f ca="1">Table1[[#This Row],[Profit]]/Table1[[#This Row],[Sales]]</f>
        <v>0.39999999999999997</v>
      </c>
      <c r="K694" t="str">
        <f ca="1">TEXT(Table1[[#This Row],[Order_Date]],"mmm")</f>
        <v>Aug</v>
      </c>
      <c r="L694">
        <f ca="1">YEAR(Table1[[#This Row],[Order_Date]])</f>
        <v>2023</v>
      </c>
    </row>
    <row r="695" spans="1:12" x14ac:dyDescent="0.3">
      <c r="A695">
        <f t="shared" si="40"/>
        <v>694</v>
      </c>
      <c r="B695" s="1">
        <f t="shared" ca="1" si="41"/>
        <v>45053</v>
      </c>
      <c r="C695" t="s">
        <v>8</v>
      </c>
      <c r="D695" t="str">
        <f t="shared" ca="1" si="42"/>
        <v>Office Supplies</v>
      </c>
      <c r="E695" t="s">
        <v>40</v>
      </c>
      <c r="F695" s="11">
        <v>4871</v>
      </c>
      <c r="G695">
        <f t="shared" ca="1" si="43"/>
        <v>9</v>
      </c>
      <c r="H695" s="11">
        <f ca="1">IF(Table1[[#This Row],[Category]]="Electronics",Table1[[#This Row],[Sales]]*0.6,
IF(Table1[[#This Row],[Category]]="Furniture",Table1[[#This Row],[Sales]]*0.75,
IF(Table1[[#This Row],[Category]]="Clothing",Table1[[#This Row],[Sales]]*0.65,
Table1[[#This Row],[Sales]]*0.7)))</f>
        <v>3409.7</v>
      </c>
      <c r="I695" s="11">
        <f ca="1">Table1[[#This Row],[Sales]]-H695</f>
        <v>1461.3000000000002</v>
      </c>
      <c r="J695" s="2">
        <f ca="1">Table1[[#This Row],[Profit]]/Table1[[#This Row],[Sales]]</f>
        <v>0.30000000000000004</v>
      </c>
      <c r="K695" t="str">
        <f ca="1">TEXT(Table1[[#This Row],[Order_Date]],"mmm")</f>
        <v>May</v>
      </c>
      <c r="L695">
        <f ca="1">YEAR(Table1[[#This Row],[Order_Date]])</f>
        <v>2023</v>
      </c>
    </row>
    <row r="696" spans="1:12" x14ac:dyDescent="0.3">
      <c r="A696">
        <f t="shared" si="40"/>
        <v>695</v>
      </c>
      <c r="B696" s="1">
        <f t="shared" ca="1" si="41"/>
        <v>45096</v>
      </c>
      <c r="C696" t="s">
        <v>9</v>
      </c>
      <c r="D696" t="str">
        <f t="shared" ca="1" si="42"/>
        <v>Office Supplies</v>
      </c>
      <c r="E696" t="s">
        <v>77</v>
      </c>
      <c r="F696" s="11">
        <v>4184</v>
      </c>
      <c r="G696">
        <f t="shared" ca="1" si="43"/>
        <v>6</v>
      </c>
      <c r="H696" s="11">
        <f ca="1">IF(Table1[[#This Row],[Category]]="Electronics",Table1[[#This Row],[Sales]]*0.6,
IF(Table1[[#This Row],[Category]]="Furniture",Table1[[#This Row],[Sales]]*0.75,
IF(Table1[[#This Row],[Category]]="Clothing",Table1[[#This Row],[Sales]]*0.65,
Table1[[#This Row],[Sales]]*0.7)))</f>
        <v>2928.7999999999997</v>
      </c>
      <c r="I696" s="11">
        <f ca="1">Table1[[#This Row],[Sales]]-H696</f>
        <v>1255.2000000000003</v>
      </c>
      <c r="J696" s="2">
        <f ca="1">Table1[[#This Row],[Profit]]/Table1[[#This Row],[Sales]]</f>
        <v>0.30000000000000004</v>
      </c>
      <c r="K696" t="str">
        <f ca="1">TEXT(Table1[[#This Row],[Order_Date]],"mmm")</f>
        <v>Jun</v>
      </c>
      <c r="L696">
        <f ca="1">YEAR(Table1[[#This Row],[Order_Date]])</f>
        <v>2023</v>
      </c>
    </row>
    <row r="697" spans="1:12" x14ac:dyDescent="0.3">
      <c r="A697">
        <f t="shared" si="40"/>
        <v>696</v>
      </c>
      <c r="B697" s="1">
        <f t="shared" ca="1" si="41"/>
        <v>45120</v>
      </c>
      <c r="C697" t="s">
        <v>10</v>
      </c>
      <c r="D697" t="str">
        <f t="shared" ca="1" si="42"/>
        <v>Electronics</v>
      </c>
      <c r="E697" t="s">
        <v>57</v>
      </c>
      <c r="F697" s="11">
        <v>1502</v>
      </c>
      <c r="G697">
        <f t="shared" ca="1" si="43"/>
        <v>6</v>
      </c>
      <c r="H697" s="11">
        <f ca="1">IF(Table1[[#This Row],[Category]]="Electronics",Table1[[#This Row],[Sales]]*0.6,
IF(Table1[[#This Row],[Category]]="Furniture",Table1[[#This Row],[Sales]]*0.75,
IF(Table1[[#This Row],[Category]]="Clothing",Table1[[#This Row],[Sales]]*0.65,
Table1[[#This Row],[Sales]]*0.7)))</f>
        <v>901.19999999999993</v>
      </c>
      <c r="I697" s="11">
        <f ca="1">Table1[[#This Row],[Sales]]-H697</f>
        <v>600.80000000000007</v>
      </c>
      <c r="J697" s="2">
        <f ca="1">Table1[[#This Row],[Profit]]/Table1[[#This Row],[Sales]]</f>
        <v>0.4</v>
      </c>
      <c r="K697" t="str">
        <f ca="1">TEXT(Table1[[#This Row],[Order_Date]],"mmm")</f>
        <v>Jul</v>
      </c>
      <c r="L697">
        <f ca="1">YEAR(Table1[[#This Row],[Order_Date]])</f>
        <v>2023</v>
      </c>
    </row>
    <row r="698" spans="1:12" x14ac:dyDescent="0.3">
      <c r="A698">
        <f t="shared" si="40"/>
        <v>697</v>
      </c>
      <c r="B698" s="1">
        <f t="shared" ca="1" si="41"/>
        <v>45251</v>
      </c>
      <c r="C698" t="s">
        <v>7</v>
      </c>
      <c r="D698" t="str">
        <f t="shared" ca="1" si="42"/>
        <v>Furniture</v>
      </c>
      <c r="E698" t="s">
        <v>42</v>
      </c>
      <c r="F698" s="11">
        <v>6457</v>
      </c>
      <c r="G698">
        <f t="shared" ca="1" si="43"/>
        <v>3</v>
      </c>
      <c r="H698" s="11">
        <f ca="1">IF(Table1[[#This Row],[Category]]="Electronics",Table1[[#This Row],[Sales]]*0.6,
IF(Table1[[#This Row],[Category]]="Furniture",Table1[[#This Row],[Sales]]*0.75,
IF(Table1[[#This Row],[Category]]="Clothing",Table1[[#This Row],[Sales]]*0.65,
Table1[[#This Row],[Sales]]*0.7)))</f>
        <v>4842.75</v>
      </c>
      <c r="I698" s="11">
        <f ca="1">Table1[[#This Row],[Sales]]-H698</f>
        <v>1614.25</v>
      </c>
      <c r="J698" s="2">
        <f ca="1">Table1[[#This Row],[Profit]]/Table1[[#This Row],[Sales]]</f>
        <v>0.25</v>
      </c>
      <c r="K698" t="str">
        <f ca="1">TEXT(Table1[[#This Row],[Order_Date]],"mmm")</f>
        <v>Nov</v>
      </c>
      <c r="L698">
        <f ca="1">YEAR(Table1[[#This Row],[Order_Date]])</f>
        <v>2023</v>
      </c>
    </row>
    <row r="699" spans="1:12" x14ac:dyDescent="0.3">
      <c r="A699">
        <f t="shared" si="40"/>
        <v>698</v>
      </c>
      <c r="B699" s="1">
        <f t="shared" ca="1" si="41"/>
        <v>44940</v>
      </c>
      <c r="C699" t="s">
        <v>8</v>
      </c>
      <c r="D699" t="str">
        <f t="shared" ca="1" si="42"/>
        <v>Clothing</v>
      </c>
      <c r="E699" t="s">
        <v>41</v>
      </c>
      <c r="F699" s="11">
        <v>13837</v>
      </c>
      <c r="G699">
        <f t="shared" ca="1" si="43"/>
        <v>8</v>
      </c>
      <c r="H699" s="11">
        <f ca="1">IF(Table1[[#This Row],[Category]]="Electronics",Table1[[#This Row],[Sales]]*0.6,
IF(Table1[[#This Row],[Category]]="Furniture",Table1[[#This Row],[Sales]]*0.75,
IF(Table1[[#This Row],[Category]]="Clothing",Table1[[#This Row],[Sales]]*0.65,
Table1[[#This Row],[Sales]]*0.7)))</f>
        <v>8994.0500000000011</v>
      </c>
      <c r="I699" s="11">
        <f ca="1">Table1[[#This Row],[Sales]]-H699</f>
        <v>4842.9499999999989</v>
      </c>
      <c r="J699" s="2">
        <f ca="1">Table1[[#This Row],[Profit]]/Table1[[#This Row],[Sales]]</f>
        <v>0.34999999999999992</v>
      </c>
      <c r="K699" t="str">
        <f ca="1">TEXT(Table1[[#This Row],[Order_Date]],"mmm")</f>
        <v>Jan</v>
      </c>
      <c r="L699">
        <f ca="1">YEAR(Table1[[#This Row],[Order_Date]])</f>
        <v>2023</v>
      </c>
    </row>
    <row r="700" spans="1:12" x14ac:dyDescent="0.3">
      <c r="A700">
        <f t="shared" si="40"/>
        <v>699</v>
      </c>
      <c r="B700" s="1">
        <f t="shared" ca="1" si="41"/>
        <v>45256</v>
      </c>
      <c r="C700" t="s">
        <v>9</v>
      </c>
      <c r="D700" t="str">
        <f t="shared" ca="1" si="42"/>
        <v>Clothing</v>
      </c>
      <c r="E700" t="s">
        <v>73</v>
      </c>
      <c r="F700" s="11">
        <v>15576</v>
      </c>
      <c r="G700">
        <f t="shared" ca="1" si="43"/>
        <v>5</v>
      </c>
      <c r="H700" s="11">
        <f ca="1">IF(Table1[[#This Row],[Category]]="Electronics",Table1[[#This Row],[Sales]]*0.6,
IF(Table1[[#This Row],[Category]]="Furniture",Table1[[#This Row],[Sales]]*0.75,
IF(Table1[[#This Row],[Category]]="Clothing",Table1[[#This Row],[Sales]]*0.65,
Table1[[#This Row],[Sales]]*0.7)))</f>
        <v>10124.4</v>
      </c>
      <c r="I700" s="11">
        <f ca="1">Table1[[#This Row],[Sales]]-H700</f>
        <v>5451.6</v>
      </c>
      <c r="J700" s="2">
        <f ca="1">Table1[[#This Row],[Profit]]/Table1[[#This Row],[Sales]]</f>
        <v>0.35000000000000003</v>
      </c>
      <c r="K700" t="str">
        <f ca="1">TEXT(Table1[[#This Row],[Order_Date]],"mmm")</f>
        <v>Nov</v>
      </c>
      <c r="L700">
        <f ca="1">YEAR(Table1[[#This Row],[Order_Date]])</f>
        <v>2023</v>
      </c>
    </row>
    <row r="701" spans="1:12" x14ac:dyDescent="0.3">
      <c r="A701">
        <f t="shared" si="40"/>
        <v>700</v>
      </c>
      <c r="B701" s="1">
        <f t="shared" ca="1" si="41"/>
        <v>45145</v>
      </c>
      <c r="C701" t="s">
        <v>10</v>
      </c>
      <c r="D701" t="str">
        <f t="shared" ca="1" si="42"/>
        <v>Electronics</v>
      </c>
      <c r="E701" t="s">
        <v>74</v>
      </c>
      <c r="F701" s="11">
        <v>6006</v>
      </c>
      <c r="G701">
        <f t="shared" ca="1" si="43"/>
        <v>5</v>
      </c>
      <c r="H701" s="11">
        <f ca="1">IF(Table1[[#This Row],[Category]]="Electronics",Table1[[#This Row],[Sales]]*0.6,
IF(Table1[[#This Row],[Category]]="Furniture",Table1[[#This Row],[Sales]]*0.75,
IF(Table1[[#This Row],[Category]]="Clothing",Table1[[#This Row],[Sales]]*0.65,
Table1[[#This Row],[Sales]]*0.7)))</f>
        <v>3603.6</v>
      </c>
      <c r="I701" s="11">
        <f ca="1">Table1[[#This Row],[Sales]]-H701</f>
        <v>2402.4</v>
      </c>
      <c r="J701" s="2">
        <f ca="1">Table1[[#This Row],[Profit]]/Table1[[#This Row],[Sales]]</f>
        <v>0.4</v>
      </c>
      <c r="K701" t="str">
        <f ca="1">TEXT(Table1[[#This Row],[Order_Date]],"mmm")</f>
        <v>Aug</v>
      </c>
      <c r="L701">
        <f ca="1">YEAR(Table1[[#This Row],[Order_Date]])</f>
        <v>2023</v>
      </c>
    </row>
    <row r="702" spans="1:12" x14ac:dyDescent="0.3">
      <c r="A702">
        <f t="shared" si="40"/>
        <v>701</v>
      </c>
      <c r="B702" s="1">
        <f t="shared" ca="1" si="41"/>
        <v>45051</v>
      </c>
      <c r="C702" t="s">
        <v>7</v>
      </c>
      <c r="D702" t="str">
        <f t="shared" ca="1" si="42"/>
        <v>Clothing</v>
      </c>
      <c r="E702" t="s">
        <v>81</v>
      </c>
      <c r="F702" s="11">
        <v>4695</v>
      </c>
      <c r="G702">
        <f t="shared" ca="1" si="43"/>
        <v>10</v>
      </c>
      <c r="H702" s="11">
        <f ca="1">IF(Table1[[#This Row],[Category]]="Electronics",Table1[[#This Row],[Sales]]*0.6,
IF(Table1[[#This Row],[Category]]="Furniture",Table1[[#This Row],[Sales]]*0.75,
IF(Table1[[#This Row],[Category]]="Clothing",Table1[[#This Row],[Sales]]*0.65,
Table1[[#This Row],[Sales]]*0.7)))</f>
        <v>3051.75</v>
      </c>
      <c r="I702" s="11">
        <f ca="1">Table1[[#This Row],[Sales]]-H702</f>
        <v>1643.25</v>
      </c>
      <c r="J702" s="2">
        <f ca="1">Table1[[#This Row],[Profit]]/Table1[[#This Row],[Sales]]</f>
        <v>0.35</v>
      </c>
      <c r="K702" t="str">
        <f ca="1">TEXT(Table1[[#This Row],[Order_Date]],"mmm")</f>
        <v>May</v>
      </c>
      <c r="L702">
        <f ca="1">YEAR(Table1[[#This Row],[Order_Date]])</f>
        <v>2023</v>
      </c>
    </row>
    <row r="703" spans="1:12" x14ac:dyDescent="0.3">
      <c r="A703">
        <f t="shared" si="40"/>
        <v>702</v>
      </c>
      <c r="B703" s="1">
        <f t="shared" ca="1" si="41"/>
        <v>45242</v>
      </c>
      <c r="C703" t="s">
        <v>8</v>
      </c>
      <c r="D703" t="str">
        <f t="shared" ca="1" si="42"/>
        <v>Electronics</v>
      </c>
      <c r="E703" t="s">
        <v>50</v>
      </c>
      <c r="F703" s="11">
        <v>16711</v>
      </c>
      <c r="G703">
        <f t="shared" ca="1" si="43"/>
        <v>2</v>
      </c>
      <c r="H703" s="11">
        <f ca="1">IF(Table1[[#This Row],[Category]]="Electronics",Table1[[#This Row],[Sales]]*0.6,
IF(Table1[[#This Row],[Category]]="Furniture",Table1[[#This Row],[Sales]]*0.75,
IF(Table1[[#This Row],[Category]]="Clothing",Table1[[#This Row],[Sales]]*0.65,
Table1[[#This Row],[Sales]]*0.7)))</f>
        <v>10026.6</v>
      </c>
      <c r="I703" s="11">
        <f ca="1">Table1[[#This Row],[Sales]]-H703</f>
        <v>6684.4</v>
      </c>
      <c r="J703" s="2">
        <f ca="1">Table1[[#This Row],[Profit]]/Table1[[#This Row],[Sales]]</f>
        <v>0.39999999999999997</v>
      </c>
      <c r="K703" t="str">
        <f ca="1">TEXT(Table1[[#This Row],[Order_Date]],"mmm")</f>
        <v>Nov</v>
      </c>
      <c r="L703">
        <f ca="1">YEAR(Table1[[#This Row],[Order_Date]])</f>
        <v>2023</v>
      </c>
    </row>
    <row r="704" spans="1:12" x14ac:dyDescent="0.3">
      <c r="A704">
        <f t="shared" si="40"/>
        <v>703</v>
      </c>
      <c r="B704" s="1">
        <f t="shared" ca="1" si="41"/>
        <v>45003</v>
      </c>
      <c r="C704" t="s">
        <v>9</v>
      </c>
      <c r="D704" t="str">
        <f t="shared" ca="1" si="42"/>
        <v>Clothing</v>
      </c>
      <c r="E704" t="s">
        <v>50</v>
      </c>
      <c r="F704" s="11">
        <v>3044</v>
      </c>
      <c r="G704">
        <f t="shared" ca="1" si="43"/>
        <v>6</v>
      </c>
      <c r="H704" s="11">
        <f ca="1">IF(Table1[[#This Row],[Category]]="Electronics",Table1[[#This Row],[Sales]]*0.6,
IF(Table1[[#This Row],[Category]]="Furniture",Table1[[#This Row],[Sales]]*0.75,
IF(Table1[[#This Row],[Category]]="Clothing",Table1[[#This Row],[Sales]]*0.65,
Table1[[#This Row],[Sales]]*0.7)))</f>
        <v>1978.6000000000001</v>
      </c>
      <c r="I704" s="11">
        <f ca="1">Table1[[#This Row],[Sales]]-H704</f>
        <v>1065.3999999999999</v>
      </c>
      <c r="J704" s="2">
        <f ca="1">Table1[[#This Row],[Profit]]/Table1[[#This Row],[Sales]]</f>
        <v>0.35</v>
      </c>
      <c r="K704" t="str">
        <f ca="1">TEXT(Table1[[#This Row],[Order_Date]],"mmm")</f>
        <v>Mar</v>
      </c>
      <c r="L704">
        <f ca="1">YEAR(Table1[[#This Row],[Order_Date]])</f>
        <v>2023</v>
      </c>
    </row>
    <row r="705" spans="1:12" x14ac:dyDescent="0.3">
      <c r="A705">
        <f t="shared" si="40"/>
        <v>704</v>
      </c>
      <c r="B705" s="1">
        <f t="shared" ca="1" si="41"/>
        <v>44975</v>
      </c>
      <c r="C705" t="s">
        <v>10</v>
      </c>
      <c r="D705" t="str">
        <f t="shared" ca="1" si="42"/>
        <v>Office Supplies</v>
      </c>
      <c r="E705" t="s">
        <v>52</v>
      </c>
      <c r="F705" s="11">
        <v>7079</v>
      </c>
      <c r="G705">
        <f t="shared" ca="1" si="43"/>
        <v>4</v>
      </c>
      <c r="H705" s="11">
        <f ca="1">IF(Table1[[#This Row],[Category]]="Electronics",Table1[[#This Row],[Sales]]*0.6,
IF(Table1[[#This Row],[Category]]="Furniture",Table1[[#This Row],[Sales]]*0.75,
IF(Table1[[#This Row],[Category]]="Clothing",Table1[[#This Row],[Sales]]*0.65,
Table1[[#This Row],[Sales]]*0.7)))</f>
        <v>4955.2999999999993</v>
      </c>
      <c r="I705" s="11">
        <f ca="1">Table1[[#This Row],[Sales]]-H705</f>
        <v>2123.7000000000007</v>
      </c>
      <c r="J705" s="2">
        <f ca="1">Table1[[#This Row],[Profit]]/Table1[[#This Row],[Sales]]</f>
        <v>0.3000000000000001</v>
      </c>
      <c r="K705" t="str">
        <f ca="1">TEXT(Table1[[#This Row],[Order_Date]],"mmm")</f>
        <v>Feb</v>
      </c>
      <c r="L705">
        <f ca="1">YEAR(Table1[[#This Row],[Order_Date]])</f>
        <v>2023</v>
      </c>
    </row>
    <row r="706" spans="1:12" x14ac:dyDescent="0.3">
      <c r="A706">
        <f t="shared" si="40"/>
        <v>705</v>
      </c>
      <c r="B706" s="1">
        <f t="shared" ca="1" si="41"/>
        <v>45054</v>
      </c>
      <c r="C706" t="s">
        <v>7</v>
      </c>
      <c r="D706" t="str">
        <f t="shared" ca="1" si="42"/>
        <v>Furniture</v>
      </c>
      <c r="E706" t="s">
        <v>40</v>
      </c>
      <c r="F706" s="11">
        <v>16765</v>
      </c>
      <c r="G706">
        <f t="shared" ca="1" si="43"/>
        <v>6</v>
      </c>
      <c r="H706" s="11">
        <f ca="1">IF(Table1[[#This Row],[Category]]="Electronics",Table1[[#This Row],[Sales]]*0.6,
IF(Table1[[#This Row],[Category]]="Furniture",Table1[[#This Row],[Sales]]*0.75,
IF(Table1[[#This Row],[Category]]="Clothing",Table1[[#This Row],[Sales]]*0.65,
Table1[[#This Row],[Sales]]*0.7)))</f>
        <v>12573.75</v>
      </c>
      <c r="I706" s="11">
        <f ca="1">Table1[[#This Row],[Sales]]-H706</f>
        <v>4191.25</v>
      </c>
      <c r="J706" s="2">
        <f ca="1">Table1[[#This Row],[Profit]]/Table1[[#This Row],[Sales]]</f>
        <v>0.25</v>
      </c>
      <c r="K706" t="str">
        <f ca="1">TEXT(Table1[[#This Row],[Order_Date]],"mmm")</f>
        <v>May</v>
      </c>
      <c r="L706">
        <f ca="1">YEAR(Table1[[#This Row],[Order_Date]])</f>
        <v>2023</v>
      </c>
    </row>
    <row r="707" spans="1:12" x14ac:dyDescent="0.3">
      <c r="A707">
        <f t="shared" ref="A707:A770" si="44">ROW()-1</f>
        <v>706</v>
      </c>
      <c r="B707" s="1">
        <f t="shared" ref="B707:B770" ca="1" si="45">DATE(2023, RANDBETWEEN(1,12), RANDBETWEEN(1,28))</f>
        <v>45055</v>
      </c>
      <c r="C707" t="s">
        <v>8</v>
      </c>
      <c r="D707" t="str">
        <f t="shared" ref="D707:D770" ca="1" si="46">CHOOSE(RANDBETWEEN(1,4),"Electronics","Furniture","Clothing","Office Supplies")</f>
        <v>Furniture</v>
      </c>
      <c r="E707" t="s">
        <v>48</v>
      </c>
      <c r="F707" s="11">
        <v>13762</v>
      </c>
      <c r="G707">
        <f t="shared" ref="G707:G770" ca="1" si="47">RANDBETWEEN(1,10)</f>
        <v>9</v>
      </c>
      <c r="H707" s="11">
        <f ca="1">IF(Table1[[#This Row],[Category]]="Electronics",Table1[[#This Row],[Sales]]*0.6,
IF(Table1[[#This Row],[Category]]="Furniture",Table1[[#This Row],[Sales]]*0.75,
IF(Table1[[#This Row],[Category]]="Clothing",Table1[[#This Row],[Sales]]*0.65,
Table1[[#This Row],[Sales]]*0.7)))</f>
        <v>10321.5</v>
      </c>
      <c r="I707" s="11">
        <f ca="1">Table1[[#This Row],[Sales]]-H707</f>
        <v>3440.5</v>
      </c>
      <c r="J707" s="2">
        <f ca="1">Table1[[#This Row],[Profit]]/Table1[[#This Row],[Sales]]</f>
        <v>0.25</v>
      </c>
      <c r="K707" t="str">
        <f ca="1">TEXT(Table1[[#This Row],[Order_Date]],"mmm")</f>
        <v>May</v>
      </c>
      <c r="L707">
        <f ca="1">YEAR(Table1[[#This Row],[Order_Date]])</f>
        <v>2023</v>
      </c>
    </row>
    <row r="708" spans="1:12" x14ac:dyDescent="0.3">
      <c r="A708">
        <f t="shared" si="44"/>
        <v>707</v>
      </c>
      <c r="B708" s="1">
        <f t="shared" ca="1" si="45"/>
        <v>45132</v>
      </c>
      <c r="C708" t="s">
        <v>9</v>
      </c>
      <c r="D708" t="str">
        <f t="shared" ca="1" si="46"/>
        <v>Office Supplies</v>
      </c>
      <c r="E708" t="s">
        <v>52</v>
      </c>
      <c r="F708" s="11">
        <v>1562</v>
      </c>
      <c r="G708">
        <f t="shared" ca="1" si="47"/>
        <v>5</v>
      </c>
      <c r="H708" s="11">
        <f ca="1">IF(Table1[[#This Row],[Category]]="Electronics",Table1[[#This Row],[Sales]]*0.6,
IF(Table1[[#This Row],[Category]]="Furniture",Table1[[#This Row],[Sales]]*0.75,
IF(Table1[[#This Row],[Category]]="Clothing",Table1[[#This Row],[Sales]]*0.65,
Table1[[#This Row],[Sales]]*0.7)))</f>
        <v>1093.3999999999999</v>
      </c>
      <c r="I708" s="11">
        <f ca="1">Table1[[#This Row],[Sales]]-H708</f>
        <v>468.60000000000014</v>
      </c>
      <c r="J708" s="2">
        <f ca="1">Table1[[#This Row],[Profit]]/Table1[[#This Row],[Sales]]</f>
        <v>0.3000000000000001</v>
      </c>
      <c r="K708" t="str">
        <f ca="1">TEXT(Table1[[#This Row],[Order_Date]],"mmm")</f>
        <v>Jul</v>
      </c>
      <c r="L708">
        <f ca="1">YEAR(Table1[[#This Row],[Order_Date]])</f>
        <v>2023</v>
      </c>
    </row>
    <row r="709" spans="1:12" x14ac:dyDescent="0.3">
      <c r="A709">
        <f t="shared" si="44"/>
        <v>708</v>
      </c>
      <c r="B709" s="1">
        <f t="shared" ca="1" si="45"/>
        <v>45265</v>
      </c>
      <c r="C709" t="s">
        <v>10</v>
      </c>
      <c r="D709" t="str">
        <f t="shared" ca="1" si="46"/>
        <v>Office Supplies</v>
      </c>
      <c r="E709" t="s">
        <v>47</v>
      </c>
      <c r="F709" s="11">
        <v>2994</v>
      </c>
      <c r="G709">
        <f t="shared" ca="1" si="47"/>
        <v>2</v>
      </c>
      <c r="H709" s="11">
        <f ca="1">IF(Table1[[#This Row],[Category]]="Electronics",Table1[[#This Row],[Sales]]*0.6,
IF(Table1[[#This Row],[Category]]="Furniture",Table1[[#This Row],[Sales]]*0.75,
IF(Table1[[#This Row],[Category]]="Clothing",Table1[[#This Row],[Sales]]*0.65,
Table1[[#This Row],[Sales]]*0.7)))</f>
        <v>2095.7999999999997</v>
      </c>
      <c r="I709" s="11">
        <f ca="1">Table1[[#This Row],[Sales]]-H709</f>
        <v>898.20000000000027</v>
      </c>
      <c r="J709" s="2">
        <f ca="1">Table1[[#This Row],[Profit]]/Table1[[#This Row],[Sales]]</f>
        <v>0.3000000000000001</v>
      </c>
      <c r="K709" t="str">
        <f ca="1">TEXT(Table1[[#This Row],[Order_Date]],"mmm")</f>
        <v>Dec</v>
      </c>
      <c r="L709">
        <f ca="1">YEAR(Table1[[#This Row],[Order_Date]])</f>
        <v>2023</v>
      </c>
    </row>
    <row r="710" spans="1:12" x14ac:dyDescent="0.3">
      <c r="A710">
        <f t="shared" si="44"/>
        <v>709</v>
      </c>
      <c r="B710" s="1">
        <f t="shared" ca="1" si="45"/>
        <v>45088</v>
      </c>
      <c r="C710" t="s">
        <v>7</v>
      </c>
      <c r="D710" t="str">
        <f t="shared" ca="1" si="46"/>
        <v>Furniture</v>
      </c>
      <c r="E710" t="s">
        <v>64</v>
      </c>
      <c r="F710" s="11">
        <v>6922</v>
      </c>
      <c r="G710">
        <f t="shared" ca="1" si="47"/>
        <v>3</v>
      </c>
      <c r="H710" s="11">
        <f ca="1">IF(Table1[[#This Row],[Category]]="Electronics",Table1[[#This Row],[Sales]]*0.6,
IF(Table1[[#This Row],[Category]]="Furniture",Table1[[#This Row],[Sales]]*0.75,
IF(Table1[[#This Row],[Category]]="Clothing",Table1[[#This Row],[Sales]]*0.65,
Table1[[#This Row],[Sales]]*0.7)))</f>
        <v>5191.5</v>
      </c>
      <c r="I710" s="11">
        <f ca="1">Table1[[#This Row],[Sales]]-H710</f>
        <v>1730.5</v>
      </c>
      <c r="J710" s="2">
        <f ca="1">Table1[[#This Row],[Profit]]/Table1[[#This Row],[Sales]]</f>
        <v>0.25</v>
      </c>
      <c r="K710" t="str">
        <f ca="1">TEXT(Table1[[#This Row],[Order_Date]],"mmm")</f>
        <v>Jun</v>
      </c>
      <c r="L710">
        <f ca="1">YEAR(Table1[[#This Row],[Order_Date]])</f>
        <v>2023</v>
      </c>
    </row>
    <row r="711" spans="1:12" x14ac:dyDescent="0.3">
      <c r="A711">
        <f t="shared" si="44"/>
        <v>710</v>
      </c>
      <c r="B711" s="1">
        <f t="shared" ca="1" si="45"/>
        <v>45082</v>
      </c>
      <c r="C711" t="s">
        <v>8</v>
      </c>
      <c r="D711" t="str">
        <f t="shared" ca="1" si="46"/>
        <v>Furniture</v>
      </c>
      <c r="E711" t="s">
        <v>40</v>
      </c>
      <c r="F711" s="11">
        <v>3717</v>
      </c>
      <c r="G711">
        <f t="shared" ca="1" si="47"/>
        <v>8</v>
      </c>
      <c r="H711" s="11">
        <f ca="1">IF(Table1[[#This Row],[Category]]="Electronics",Table1[[#This Row],[Sales]]*0.6,
IF(Table1[[#This Row],[Category]]="Furniture",Table1[[#This Row],[Sales]]*0.75,
IF(Table1[[#This Row],[Category]]="Clothing",Table1[[#This Row],[Sales]]*0.65,
Table1[[#This Row],[Sales]]*0.7)))</f>
        <v>2787.75</v>
      </c>
      <c r="I711" s="11">
        <f ca="1">Table1[[#This Row],[Sales]]-H711</f>
        <v>929.25</v>
      </c>
      <c r="J711" s="2">
        <f ca="1">Table1[[#This Row],[Profit]]/Table1[[#This Row],[Sales]]</f>
        <v>0.25</v>
      </c>
      <c r="K711" t="str">
        <f ca="1">TEXT(Table1[[#This Row],[Order_Date]],"mmm")</f>
        <v>Jun</v>
      </c>
      <c r="L711">
        <f ca="1">YEAR(Table1[[#This Row],[Order_Date]])</f>
        <v>2023</v>
      </c>
    </row>
    <row r="712" spans="1:12" x14ac:dyDescent="0.3">
      <c r="A712">
        <f t="shared" si="44"/>
        <v>711</v>
      </c>
      <c r="B712" s="1">
        <f t="shared" ca="1" si="45"/>
        <v>45114</v>
      </c>
      <c r="C712" t="s">
        <v>9</v>
      </c>
      <c r="D712" t="str">
        <f t="shared" ca="1" si="46"/>
        <v>Furniture</v>
      </c>
      <c r="E712" t="s">
        <v>57</v>
      </c>
      <c r="F712" s="11">
        <v>17367</v>
      </c>
      <c r="G712">
        <f t="shared" ca="1" si="47"/>
        <v>8</v>
      </c>
      <c r="H712" s="11">
        <f ca="1">IF(Table1[[#This Row],[Category]]="Electronics",Table1[[#This Row],[Sales]]*0.6,
IF(Table1[[#This Row],[Category]]="Furniture",Table1[[#This Row],[Sales]]*0.75,
IF(Table1[[#This Row],[Category]]="Clothing",Table1[[#This Row],[Sales]]*0.65,
Table1[[#This Row],[Sales]]*0.7)))</f>
        <v>13025.25</v>
      </c>
      <c r="I712" s="11">
        <f ca="1">Table1[[#This Row],[Sales]]-H712</f>
        <v>4341.75</v>
      </c>
      <c r="J712" s="2">
        <f ca="1">Table1[[#This Row],[Profit]]/Table1[[#This Row],[Sales]]</f>
        <v>0.25</v>
      </c>
      <c r="K712" t="str">
        <f ca="1">TEXT(Table1[[#This Row],[Order_Date]],"mmm")</f>
        <v>Jul</v>
      </c>
      <c r="L712">
        <f ca="1">YEAR(Table1[[#This Row],[Order_Date]])</f>
        <v>2023</v>
      </c>
    </row>
    <row r="713" spans="1:12" x14ac:dyDescent="0.3">
      <c r="A713">
        <f t="shared" si="44"/>
        <v>712</v>
      </c>
      <c r="B713" s="1">
        <f t="shared" ca="1" si="45"/>
        <v>45252</v>
      </c>
      <c r="C713" t="s">
        <v>10</v>
      </c>
      <c r="D713" t="str">
        <f t="shared" ca="1" si="46"/>
        <v>Office Supplies</v>
      </c>
      <c r="E713" t="s">
        <v>68</v>
      </c>
      <c r="F713" s="11">
        <v>4377</v>
      </c>
      <c r="G713">
        <f t="shared" ca="1" si="47"/>
        <v>2</v>
      </c>
      <c r="H713" s="11">
        <f ca="1">IF(Table1[[#This Row],[Category]]="Electronics",Table1[[#This Row],[Sales]]*0.6,
IF(Table1[[#This Row],[Category]]="Furniture",Table1[[#This Row],[Sales]]*0.75,
IF(Table1[[#This Row],[Category]]="Clothing",Table1[[#This Row],[Sales]]*0.65,
Table1[[#This Row],[Sales]]*0.7)))</f>
        <v>3063.8999999999996</v>
      </c>
      <c r="I713" s="11">
        <f ca="1">Table1[[#This Row],[Sales]]-H713</f>
        <v>1313.1000000000004</v>
      </c>
      <c r="J713" s="2">
        <f ca="1">Table1[[#This Row],[Profit]]/Table1[[#This Row],[Sales]]</f>
        <v>0.3000000000000001</v>
      </c>
      <c r="K713" t="str">
        <f ca="1">TEXT(Table1[[#This Row],[Order_Date]],"mmm")</f>
        <v>Nov</v>
      </c>
      <c r="L713">
        <f ca="1">YEAR(Table1[[#This Row],[Order_Date]])</f>
        <v>2023</v>
      </c>
    </row>
    <row r="714" spans="1:12" x14ac:dyDescent="0.3">
      <c r="A714">
        <f t="shared" si="44"/>
        <v>713</v>
      </c>
      <c r="B714" s="1">
        <f t="shared" ca="1" si="45"/>
        <v>44990</v>
      </c>
      <c r="C714" t="s">
        <v>7</v>
      </c>
      <c r="D714" t="str">
        <f t="shared" ca="1" si="46"/>
        <v>Clothing</v>
      </c>
      <c r="E714" t="s">
        <v>61</v>
      </c>
      <c r="F714" s="11">
        <v>9230</v>
      </c>
      <c r="G714">
        <f t="shared" ca="1" si="47"/>
        <v>6</v>
      </c>
      <c r="H714" s="11">
        <f ca="1">IF(Table1[[#This Row],[Category]]="Electronics",Table1[[#This Row],[Sales]]*0.6,
IF(Table1[[#This Row],[Category]]="Furniture",Table1[[#This Row],[Sales]]*0.75,
IF(Table1[[#This Row],[Category]]="Clothing",Table1[[#This Row],[Sales]]*0.65,
Table1[[#This Row],[Sales]]*0.7)))</f>
        <v>5999.5</v>
      </c>
      <c r="I714" s="11">
        <f ca="1">Table1[[#This Row],[Sales]]-H714</f>
        <v>3230.5</v>
      </c>
      <c r="J714" s="2">
        <f ca="1">Table1[[#This Row],[Profit]]/Table1[[#This Row],[Sales]]</f>
        <v>0.35</v>
      </c>
      <c r="K714" t="str">
        <f ca="1">TEXT(Table1[[#This Row],[Order_Date]],"mmm")</f>
        <v>Mar</v>
      </c>
      <c r="L714">
        <f ca="1">YEAR(Table1[[#This Row],[Order_Date]])</f>
        <v>2023</v>
      </c>
    </row>
    <row r="715" spans="1:12" x14ac:dyDescent="0.3">
      <c r="A715">
        <f t="shared" si="44"/>
        <v>714</v>
      </c>
      <c r="B715" s="1">
        <f t="shared" ca="1" si="45"/>
        <v>44983</v>
      </c>
      <c r="C715" t="s">
        <v>8</v>
      </c>
      <c r="D715" t="str">
        <f t="shared" ca="1" si="46"/>
        <v>Furniture</v>
      </c>
      <c r="E715" t="s">
        <v>38</v>
      </c>
      <c r="F715" s="11">
        <v>12003</v>
      </c>
      <c r="G715">
        <f t="shared" ca="1" si="47"/>
        <v>1</v>
      </c>
      <c r="H715" s="11">
        <f ca="1">IF(Table1[[#This Row],[Category]]="Electronics",Table1[[#This Row],[Sales]]*0.6,
IF(Table1[[#This Row],[Category]]="Furniture",Table1[[#This Row],[Sales]]*0.75,
IF(Table1[[#This Row],[Category]]="Clothing",Table1[[#This Row],[Sales]]*0.65,
Table1[[#This Row],[Sales]]*0.7)))</f>
        <v>9002.25</v>
      </c>
      <c r="I715" s="11">
        <f ca="1">Table1[[#This Row],[Sales]]-H715</f>
        <v>3000.75</v>
      </c>
      <c r="J715" s="2">
        <f ca="1">Table1[[#This Row],[Profit]]/Table1[[#This Row],[Sales]]</f>
        <v>0.25</v>
      </c>
      <c r="K715" t="str">
        <f ca="1">TEXT(Table1[[#This Row],[Order_Date]],"mmm")</f>
        <v>Feb</v>
      </c>
      <c r="L715">
        <f ca="1">YEAR(Table1[[#This Row],[Order_Date]])</f>
        <v>2023</v>
      </c>
    </row>
    <row r="716" spans="1:12" x14ac:dyDescent="0.3">
      <c r="A716">
        <f t="shared" si="44"/>
        <v>715</v>
      </c>
      <c r="B716" s="1">
        <f t="shared" ca="1" si="45"/>
        <v>45127</v>
      </c>
      <c r="C716" t="s">
        <v>9</v>
      </c>
      <c r="D716" t="str">
        <f t="shared" ca="1" si="46"/>
        <v>Clothing</v>
      </c>
      <c r="E716" t="s">
        <v>49</v>
      </c>
      <c r="F716" s="11">
        <v>17096</v>
      </c>
      <c r="G716">
        <f t="shared" ca="1" si="47"/>
        <v>5</v>
      </c>
      <c r="H716" s="11">
        <f ca="1">IF(Table1[[#This Row],[Category]]="Electronics",Table1[[#This Row],[Sales]]*0.6,
IF(Table1[[#This Row],[Category]]="Furniture",Table1[[#This Row],[Sales]]*0.75,
IF(Table1[[#This Row],[Category]]="Clothing",Table1[[#This Row],[Sales]]*0.65,
Table1[[#This Row],[Sales]]*0.7)))</f>
        <v>11112.4</v>
      </c>
      <c r="I716" s="11">
        <f ca="1">Table1[[#This Row],[Sales]]-H716</f>
        <v>5983.6</v>
      </c>
      <c r="J716" s="2">
        <f ca="1">Table1[[#This Row],[Profit]]/Table1[[#This Row],[Sales]]</f>
        <v>0.35000000000000003</v>
      </c>
      <c r="K716" t="str">
        <f ca="1">TEXT(Table1[[#This Row],[Order_Date]],"mmm")</f>
        <v>Jul</v>
      </c>
      <c r="L716">
        <f ca="1">YEAR(Table1[[#This Row],[Order_Date]])</f>
        <v>2023</v>
      </c>
    </row>
    <row r="717" spans="1:12" x14ac:dyDescent="0.3">
      <c r="A717">
        <f t="shared" si="44"/>
        <v>716</v>
      </c>
      <c r="B717" s="1">
        <f t="shared" ca="1" si="45"/>
        <v>45249</v>
      </c>
      <c r="C717" t="s">
        <v>10</v>
      </c>
      <c r="D717" t="str">
        <f t="shared" ca="1" si="46"/>
        <v>Office Supplies</v>
      </c>
      <c r="E717" t="s">
        <v>73</v>
      </c>
      <c r="F717" s="11">
        <v>9811</v>
      </c>
      <c r="G717">
        <f t="shared" ca="1" si="47"/>
        <v>1</v>
      </c>
      <c r="H717" s="11">
        <f ca="1">IF(Table1[[#This Row],[Category]]="Electronics",Table1[[#This Row],[Sales]]*0.6,
IF(Table1[[#This Row],[Category]]="Furniture",Table1[[#This Row],[Sales]]*0.75,
IF(Table1[[#This Row],[Category]]="Clothing",Table1[[#This Row],[Sales]]*0.65,
Table1[[#This Row],[Sales]]*0.7)))</f>
        <v>6867.7</v>
      </c>
      <c r="I717" s="11">
        <f ca="1">Table1[[#This Row],[Sales]]-H717</f>
        <v>2943.3</v>
      </c>
      <c r="J717" s="2">
        <f ca="1">Table1[[#This Row],[Profit]]/Table1[[#This Row],[Sales]]</f>
        <v>0.30000000000000004</v>
      </c>
      <c r="K717" t="str">
        <f ca="1">TEXT(Table1[[#This Row],[Order_Date]],"mmm")</f>
        <v>Nov</v>
      </c>
      <c r="L717">
        <f ca="1">YEAR(Table1[[#This Row],[Order_Date]])</f>
        <v>2023</v>
      </c>
    </row>
    <row r="718" spans="1:12" x14ac:dyDescent="0.3">
      <c r="A718">
        <f t="shared" si="44"/>
        <v>717</v>
      </c>
      <c r="B718" s="1">
        <f t="shared" ca="1" si="45"/>
        <v>45049</v>
      </c>
      <c r="C718" t="s">
        <v>7</v>
      </c>
      <c r="D718" t="str">
        <f t="shared" ca="1" si="46"/>
        <v>Furniture</v>
      </c>
      <c r="E718" t="s">
        <v>52</v>
      </c>
      <c r="F718" s="11">
        <v>2115</v>
      </c>
      <c r="G718">
        <f t="shared" ca="1" si="47"/>
        <v>8</v>
      </c>
      <c r="H718" s="11">
        <f ca="1">IF(Table1[[#This Row],[Category]]="Electronics",Table1[[#This Row],[Sales]]*0.6,
IF(Table1[[#This Row],[Category]]="Furniture",Table1[[#This Row],[Sales]]*0.75,
IF(Table1[[#This Row],[Category]]="Clothing",Table1[[#This Row],[Sales]]*0.65,
Table1[[#This Row],[Sales]]*0.7)))</f>
        <v>1586.25</v>
      </c>
      <c r="I718" s="11">
        <f ca="1">Table1[[#This Row],[Sales]]-H718</f>
        <v>528.75</v>
      </c>
      <c r="J718" s="2">
        <f ca="1">Table1[[#This Row],[Profit]]/Table1[[#This Row],[Sales]]</f>
        <v>0.25</v>
      </c>
      <c r="K718" t="str">
        <f ca="1">TEXT(Table1[[#This Row],[Order_Date]],"mmm")</f>
        <v>May</v>
      </c>
      <c r="L718">
        <f ca="1">YEAR(Table1[[#This Row],[Order_Date]])</f>
        <v>2023</v>
      </c>
    </row>
    <row r="719" spans="1:12" x14ac:dyDescent="0.3">
      <c r="A719">
        <f t="shared" si="44"/>
        <v>718</v>
      </c>
      <c r="B719" s="1">
        <f t="shared" ca="1" si="45"/>
        <v>44929</v>
      </c>
      <c r="C719" t="s">
        <v>8</v>
      </c>
      <c r="D719" t="str">
        <f t="shared" ca="1" si="46"/>
        <v>Electronics</v>
      </c>
      <c r="E719" t="s">
        <v>83</v>
      </c>
      <c r="F719" s="11">
        <v>5584</v>
      </c>
      <c r="G719">
        <f t="shared" ca="1" si="47"/>
        <v>6</v>
      </c>
      <c r="H719" s="11">
        <f ca="1">IF(Table1[[#This Row],[Category]]="Electronics",Table1[[#This Row],[Sales]]*0.6,
IF(Table1[[#This Row],[Category]]="Furniture",Table1[[#This Row],[Sales]]*0.75,
IF(Table1[[#This Row],[Category]]="Clothing",Table1[[#This Row],[Sales]]*0.65,
Table1[[#This Row],[Sales]]*0.7)))</f>
        <v>3350.4</v>
      </c>
      <c r="I719" s="11">
        <f ca="1">Table1[[#This Row],[Sales]]-H719</f>
        <v>2233.6</v>
      </c>
      <c r="J719" s="2">
        <f ca="1">Table1[[#This Row],[Profit]]/Table1[[#This Row],[Sales]]</f>
        <v>0.39999999999999997</v>
      </c>
      <c r="K719" t="str">
        <f ca="1">TEXT(Table1[[#This Row],[Order_Date]],"mmm")</f>
        <v>Jan</v>
      </c>
      <c r="L719">
        <f ca="1">YEAR(Table1[[#This Row],[Order_Date]])</f>
        <v>2023</v>
      </c>
    </row>
    <row r="720" spans="1:12" x14ac:dyDescent="0.3">
      <c r="A720">
        <f t="shared" si="44"/>
        <v>719</v>
      </c>
      <c r="B720" s="1">
        <f t="shared" ca="1" si="45"/>
        <v>45176</v>
      </c>
      <c r="C720" t="s">
        <v>9</v>
      </c>
      <c r="D720" t="str">
        <f t="shared" ca="1" si="46"/>
        <v>Furniture</v>
      </c>
      <c r="E720" t="s">
        <v>77</v>
      </c>
      <c r="F720" s="11">
        <v>8066</v>
      </c>
      <c r="G720">
        <f t="shared" ca="1" si="47"/>
        <v>8</v>
      </c>
      <c r="H720" s="11">
        <f ca="1">IF(Table1[[#This Row],[Category]]="Electronics",Table1[[#This Row],[Sales]]*0.6,
IF(Table1[[#This Row],[Category]]="Furniture",Table1[[#This Row],[Sales]]*0.75,
IF(Table1[[#This Row],[Category]]="Clothing",Table1[[#This Row],[Sales]]*0.65,
Table1[[#This Row],[Sales]]*0.7)))</f>
        <v>6049.5</v>
      </c>
      <c r="I720" s="11">
        <f ca="1">Table1[[#This Row],[Sales]]-H720</f>
        <v>2016.5</v>
      </c>
      <c r="J720" s="2">
        <f ca="1">Table1[[#This Row],[Profit]]/Table1[[#This Row],[Sales]]</f>
        <v>0.25</v>
      </c>
      <c r="K720" t="str">
        <f ca="1">TEXT(Table1[[#This Row],[Order_Date]],"mmm")</f>
        <v>Sep</v>
      </c>
      <c r="L720">
        <f ca="1">YEAR(Table1[[#This Row],[Order_Date]])</f>
        <v>2023</v>
      </c>
    </row>
    <row r="721" spans="1:12" x14ac:dyDescent="0.3">
      <c r="A721">
        <f t="shared" si="44"/>
        <v>720</v>
      </c>
      <c r="B721" s="1">
        <f t="shared" ca="1" si="45"/>
        <v>44993</v>
      </c>
      <c r="C721" t="s">
        <v>10</v>
      </c>
      <c r="D721" t="str">
        <f t="shared" ca="1" si="46"/>
        <v>Office Supplies</v>
      </c>
      <c r="E721" t="s">
        <v>48</v>
      </c>
      <c r="F721" s="11">
        <v>15534</v>
      </c>
      <c r="G721">
        <f t="shared" ca="1" si="47"/>
        <v>4</v>
      </c>
      <c r="H721" s="11">
        <f ca="1">IF(Table1[[#This Row],[Category]]="Electronics",Table1[[#This Row],[Sales]]*0.6,
IF(Table1[[#This Row],[Category]]="Furniture",Table1[[#This Row],[Sales]]*0.75,
IF(Table1[[#This Row],[Category]]="Clothing",Table1[[#This Row],[Sales]]*0.65,
Table1[[#This Row],[Sales]]*0.7)))</f>
        <v>10873.8</v>
      </c>
      <c r="I721" s="11">
        <f ca="1">Table1[[#This Row],[Sales]]-H721</f>
        <v>4660.2000000000007</v>
      </c>
      <c r="J721" s="2">
        <f ca="1">Table1[[#This Row],[Profit]]/Table1[[#This Row],[Sales]]</f>
        <v>0.30000000000000004</v>
      </c>
      <c r="K721" t="str">
        <f ca="1">TEXT(Table1[[#This Row],[Order_Date]],"mmm")</f>
        <v>Mar</v>
      </c>
      <c r="L721">
        <f ca="1">YEAR(Table1[[#This Row],[Order_Date]])</f>
        <v>2023</v>
      </c>
    </row>
    <row r="722" spans="1:12" x14ac:dyDescent="0.3">
      <c r="A722">
        <f t="shared" si="44"/>
        <v>721</v>
      </c>
      <c r="B722" s="1">
        <f t="shared" ca="1" si="45"/>
        <v>45202</v>
      </c>
      <c r="C722" t="s">
        <v>7</v>
      </c>
      <c r="D722" t="str">
        <f t="shared" ca="1" si="46"/>
        <v>Clothing</v>
      </c>
      <c r="E722" t="s">
        <v>63</v>
      </c>
      <c r="F722" s="11">
        <v>15203</v>
      </c>
      <c r="G722">
        <f t="shared" ca="1" si="47"/>
        <v>6</v>
      </c>
      <c r="H722" s="11">
        <f ca="1">IF(Table1[[#This Row],[Category]]="Electronics",Table1[[#This Row],[Sales]]*0.6,
IF(Table1[[#This Row],[Category]]="Furniture",Table1[[#This Row],[Sales]]*0.75,
IF(Table1[[#This Row],[Category]]="Clothing",Table1[[#This Row],[Sales]]*0.65,
Table1[[#This Row],[Sales]]*0.7)))</f>
        <v>9881.9500000000007</v>
      </c>
      <c r="I722" s="11">
        <f ca="1">Table1[[#This Row],[Sales]]-H722</f>
        <v>5321.0499999999993</v>
      </c>
      <c r="J722" s="2">
        <f ca="1">Table1[[#This Row],[Profit]]/Table1[[#This Row],[Sales]]</f>
        <v>0.35</v>
      </c>
      <c r="K722" t="str">
        <f ca="1">TEXT(Table1[[#This Row],[Order_Date]],"mmm")</f>
        <v>Oct</v>
      </c>
      <c r="L722">
        <f ca="1">YEAR(Table1[[#This Row],[Order_Date]])</f>
        <v>2023</v>
      </c>
    </row>
    <row r="723" spans="1:12" x14ac:dyDescent="0.3">
      <c r="A723">
        <f t="shared" si="44"/>
        <v>722</v>
      </c>
      <c r="B723" s="1">
        <f t="shared" ca="1" si="45"/>
        <v>45272</v>
      </c>
      <c r="C723" t="s">
        <v>8</v>
      </c>
      <c r="D723" t="str">
        <f t="shared" ca="1" si="46"/>
        <v>Electronics</v>
      </c>
      <c r="E723" t="s">
        <v>78</v>
      </c>
      <c r="F723" s="11">
        <v>3605</v>
      </c>
      <c r="G723">
        <f t="shared" ca="1" si="47"/>
        <v>9</v>
      </c>
      <c r="H723" s="11">
        <f ca="1">IF(Table1[[#This Row],[Category]]="Electronics",Table1[[#This Row],[Sales]]*0.6,
IF(Table1[[#This Row],[Category]]="Furniture",Table1[[#This Row],[Sales]]*0.75,
IF(Table1[[#This Row],[Category]]="Clothing",Table1[[#This Row],[Sales]]*0.65,
Table1[[#This Row],[Sales]]*0.7)))</f>
        <v>2163</v>
      </c>
      <c r="I723" s="11">
        <f ca="1">Table1[[#This Row],[Sales]]-H723</f>
        <v>1442</v>
      </c>
      <c r="J723" s="2">
        <f ca="1">Table1[[#This Row],[Profit]]/Table1[[#This Row],[Sales]]</f>
        <v>0.4</v>
      </c>
      <c r="K723" t="str">
        <f ca="1">TEXT(Table1[[#This Row],[Order_Date]],"mmm")</f>
        <v>Dec</v>
      </c>
      <c r="L723">
        <f ca="1">YEAR(Table1[[#This Row],[Order_Date]])</f>
        <v>2023</v>
      </c>
    </row>
    <row r="724" spans="1:12" x14ac:dyDescent="0.3">
      <c r="A724">
        <f t="shared" si="44"/>
        <v>723</v>
      </c>
      <c r="B724" s="1">
        <f t="shared" ca="1" si="45"/>
        <v>45151</v>
      </c>
      <c r="C724" t="s">
        <v>9</v>
      </c>
      <c r="D724" t="str">
        <f t="shared" ca="1" si="46"/>
        <v>Furniture</v>
      </c>
      <c r="E724" t="s">
        <v>69</v>
      </c>
      <c r="F724" s="11">
        <v>5522</v>
      </c>
      <c r="G724">
        <f t="shared" ca="1" si="47"/>
        <v>7</v>
      </c>
      <c r="H724" s="11">
        <f ca="1">IF(Table1[[#This Row],[Category]]="Electronics",Table1[[#This Row],[Sales]]*0.6,
IF(Table1[[#This Row],[Category]]="Furniture",Table1[[#This Row],[Sales]]*0.75,
IF(Table1[[#This Row],[Category]]="Clothing",Table1[[#This Row],[Sales]]*0.65,
Table1[[#This Row],[Sales]]*0.7)))</f>
        <v>4141.5</v>
      </c>
      <c r="I724" s="11">
        <f ca="1">Table1[[#This Row],[Sales]]-H724</f>
        <v>1380.5</v>
      </c>
      <c r="J724" s="2">
        <f ca="1">Table1[[#This Row],[Profit]]/Table1[[#This Row],[Sales]]</f>
        <v>0.25</v>
      </c>
      <c r="K724" t="str">
        <f ca="1">TEXT(Table1[[#This Row],[Order_Date]],"mmm")</f>
        <v>Aug</v>
      </c>
      <c r="L724">
        <f ca="1">YEAR(Table1[[#This Row],[Order_Date]])</f>
        <v>2023</v>
      </c>
    </row>
    <row r="725" spans="1:12" x14ac:dyDescent="0.3">
      <c r="A725">
        <f t="shared" si="44"/>
        <v>724</v>
      </c>
      <c r="B725" s="1">
        <f t="shared" ca="1" si="45"/>
        <v>45110</v>
      </c>
      <c r="C725" t="s">
        <v>10</v>
      </c>
      <c r="D725" t="str">
        <f t="shared" ca="1" si="46"/>
        <v>Electronics</v>
      </c>
      <c r="E725" t="s">
        <v>40</v>
      </c>
      <c r="F725" s="11">
        <v>15071</v>
      </c>
      <c r="G725">
        <f t="shared" ca="1" si="47"/>
        <v>3</v>
      </c>
      <c r="H725" s="11">
        <f ca="1">IF(Table1[[#This Row],[Category]]="Electronics",Table1[[#This Row],[Sales]]*0.6,
IF(Table1[[#This Row],[Category]]="Furniture",Table1[[#This Row],[Sales]]*0.75,
IF(Table1[[#This Row],[Category]]="Clothing",Table1[[#This Row],[Sales]]*0.65,
Table1[[#This Row],[Sales]]*0.7)))</f>
        <v>9042.6</v>
      </c>
      <c r="I725" s="11">
        <f ca="1">Table1[[#This Row],[Sales]]-H725</f>
        <v>6028.4</v>
      </c>
      <c r="J725" s="2">
        <f ca="1">Table1[[#This Row],[Profit]]/Table1[[#This Row],[Sales]]</f>
        <v>0.39999999999999997</v>
      </c>
      <c r="K725" t="str">
        <f ca="1">TEXT(Table1[[#This Row],[Order_Date]],"mmm")</f>
        <v>Jul</v>
      </c>
      <c r="L725">
        <f ca="1">YEAR(Table1[[#This Row],[Order_Date]])</f>
        <v>2023</v>
      </c>
    </row>
    <row r="726" spans="1:12" x14ac:dyDescent="0.3">
      <c r="A726">
        <f t="shared" si="44"/>
        <v>725</v>
      </c>
      <c r="B726" s="1">
        <f t="shared" ca="1" si="45"/>
        <v>45007</v>
      </c>
      <c r="C726" t="s">
        <v>7</v>
      </c>
      <c r="D726" t="str">
        <f t="shared" ca="1" si="46"/>
        <v>Clothing</v>
      </c>
      <c r="E726" t="s">
        <v>71</v>
      </c>
      <c r="F726" s="11">
        <v>880</v>
      </c>
      <c r="G726">
        <f t="shared" ca="1" si="47"/>
        <v>9</v>
      </c>
      <c r="H726" s="11">
        <f ca="1">IF(Table1[[#This Row],[Category]]="Electronics",Table1[[#This Row],[Sales]]*0.6,
IF(Table1[[#This Row],[Category]]="Furniture",Table1[[#This Row],[Sales]]*0.75,
IF(Table1[[#This Row],[Category]]="Clothing",Table1[[#This Row],[Sales]]*0.65,
Table1[[#This Row],[Sales]]*0.7)))</f>
        <v>572</v>
      </c>
      <c r="I726" s="11">
        <f ca="1">Table1[[#This Row],[Sales]]-H726</f>
        <v>308</v>
      </c>
      <c r="J726" s="2">
        <f ca="1">Table1[[#This Row],[Profit]]/Table1[[#This Row],[Sales]]</f>
        <v>0.35</v>
      </c>
      <c r="K726" t="str">
        <f ca="1">TEXT(Table1[[#This Row],[Order_Date]],"mmm")</f>
        <v>Mar</v>
      </c>
      <c r="L726">
        <f ca="1">YEAR(Table1[[#This Row],[Order_Date]])</f>
        <v>2023</v>
      </c>
    </row>
    <row r="727" spans="1:12" x14ac:dyDescent="0.3">
      <c r="A727">
        <f t="shared" si="44"/>
        <v>726</v>
      </c>
      <c r="B727" s="1">
        <f t="shared" ca="1" si="45"/>
        <v>45126</v>
      </c>
      <c r="C727" t="s">
        <v>8</v>
      </c>
      <c r="D727" t="str">
        <f t="shared" ca="1" si="46"/>
        <v>Furniture</v>
      </c>
      <c r="E727" t="s">
        <v>80</v>
      </c>
      <c r="F727" s="11">
        <v>18604</v>
      </c>
      <c r="G727">
        <f t="shared" ca="1" si="47"/>
        <v>3</v>
      </c>
      <c r="H727" s="11">
        <f ca="1">IF(Table1[[#This Row],[Category]]="Electronics",Table1[[#This Row],[Sales]]*0.6,
IF(Table1[[#This Row],[Category]]="Furniture",Table1[[#This Row],[Sales]]*0.75,
IF(Table1[[#This Row],[Category]]="Clothing",Table1[[#This Row],[Sales]]*0.65,
Table1[[#This Row],[Sales]]*0.7)))</f>
        <v>13953</v>
      </c>
      <c r="I727" s="11">
        <f ca="1">Table1[[#This Row],[Sales]]-H727</f>
        <v>4651</v>
      </c>
      <c r="J727" s="2">
        <f ca="1">Table1[[#This Row],[Profit]]/Table1[[#This Row],[Sales]]</f>
        <v>0.25</v>
      </c>
      <c r="K727" t="str">
        <f ca="1">TEXT(Table1[[#This Row],[Order_Date]],"mmm")</f>
        <v>Jul</v>
      </c>
      <c r="L727">
        <f ca="1">YEAR(Table1[[#This Row],[Order_Date]])</f>
        <v>2023</v>
      </c>
    </row>
    <row r="728" spans="1:12" x14ac:dyDescent="0.3">
      <c r="A728">
        <f t="shared" si="44"/>
        <v>727</v>
      </c>
      <c r="B728" s="1">
        <f t="shared" ca="1" si="45"/>
        <v>45059</v>
      </c>
      <c r="C728" t="s">
        <v>9</v>
      </c>
      <c r="D728" t="str">
        <f t="shared" ca="1" si="46"/>
        <v>Clothing</v>
      </c>
      <c r="E728" t="s">
        <v>48</v>
      </c>
      <c r="F728" s="11">
        <v>18545</v>
      </c>
      <c r="G728">
        <f t="shared" ca="1" si="47"/>
        <v>9</v>
      </c>
      <c r="H728" s="11">
        <f ca="1">IF(Table1[[#This Row],[Category]]="Electronics",Table1[[#This Row],[Sales]]*0.6,
IF(Table1[[#This Row],[Category]]="Furniture",Table1[[#This Row],[Sales]]*0.75,
IF(Table1[[#This Row],[Category]]="Clothing",Table1[[#This Row],[Sales]]*0.65,
Table1[[#This Row],[Sales]]*0.7)))</f>
        <v>12054.25</v>
      </c>
      <c r="I728" s="11">
        <f ca="1">Table1[[#This Row],[Sales]]-H728</f>
        <v>6490.75</v>
      </c>
      <c r="J728" s="2">
        <f ca="1">Table1[[#This Row],[Profit]]/Table1[[#This Row],[Sales]]</f>
        <v>0.35</v>
      </c>
      <c r="K728" t="str">
        <f ca="1">TEXT(Table1[[#This Row],[Order_Date]],"mmm")</f>
        <v>May</v>
      </c>
      <c r="L728">
        <f ca="1">YEAR(Table1[[#This Row],[Order_Date]])</f>
        <v>2023</v>
      </c>
    </row>
    <row r="729" spans="1:12" x14ac:dyDescent="0.3">
      <c r="A729">
        <f t="shared" si="44"/>
        <v>728</v>
      </c>
      <c r="B729" s="1">
        <f t="shared" ca="1" si="45"/>
        <v>45160</v>
      </c>
      <c r="C729" t="s">
        <v>10</v>
      </c>
      <c r="D729" t="str">
        <f t="shared" ca="1" si="46"/>
        <v>Electronics</v>
      </c>
      <c r="E729" t="s">
        <v>59</v>
      </c>
      <c r="F729" s="11">
        <v>8058</v>
      </c>
      <c r="G729">
        <f t="shared" ca="1" si="47"/>
        <v>9</v>
      </c>
      <c r="H729" s="11">
        <f ca="1">IF(Table1[[#This Row],[Category]]="Electronics",Table1[[#This Row],[Sales]]*0.6,
IF(Table1[[#This Row],[Category]]="Furniture",Table1[[#This Row],[Sales]]*0.75,
IF(Table1[[#This Row],[Category]]="Clothing",Table1[[#This Row],[Sales]]*0.65,
Table1[[#This Row],[Sales]]*0.7)))</f>
        <v>4834.8</v>
      </c>
      <c r="I729" s="11">
        <f ca="1">Table1[[#This Row],[Sales]]-H729</f>
        <v>3223.2</v>
      </c>
      <c r="J729" s="2">
        <f ca="1">Table1[[#This Row],[Profit]]/Table1[[#This Row],[Sales]]</f>
        <v>0.39999999999999997</v>
      </c>
      <c r="K729" t="str">
        <f ca="1">TEXT(Table1[[#This Row],[Order_Date]],"mmm")</f>
        <v>Aug</v>
      </c>
      <c r="L729">
        <f ca="1">YEAR(Table1[[#This Row],[Order_Date]])</f>
        <v>2023</v>
      </c>
    </row>
    <row r="730" spans="1:12" x14ac:dyDescent="0.3">
      <c r="A730">
        <f t="shared" si="44"/>
        <v>729</v>
      </c>
      <c r="B730" s="1">
        <f t="shared" ca="1" si="45"/>
        <v>45019</v>
      </c>
      <c r="C730" t="s">
        <v>7</v>
      </c>
      <c r="D730" t="str">
        <f t="shared" ca="1" si="46"/>
        <v>Electronics</v>
      </c>
      <c r="E730" t="s">
        <v>66</v>
      </c>
      <c r="F730" s="11">
        <v>5405</v>
      </c>
      <c r="G730">
        <f t="shared" ca="1" si="47"/>
        <v>3</v>
      </c>
      <c r="H730" s="11">
        <f ca="1">IF(Table1[[#This Row],[Category]]="Electronics",Table1[[#This Row],[Sales]]*0.6,
IF(Table1[[#This Row],[Category]]="Furniture",Table1[[#This Row],[Sales]]*0.75,
IF(Table1[[#This Row],[Category]]="Clothing",Table1[[#This Row],[Sales]]*0.65,
Table1[[#This Row],[Sales]]*0.7)))</f>
        <v>3243</v>
      </c>
      <c r="I730" s="11">
        <f ca="1">Table1[[#This Row],[Sales]]-H730</f>
        <v>2162</v>
      </c>
      <c r="J730" s="2">
        <f ca="1">Table1[[#This Row],[Profit]]/Table1[[#This Row],[Sales]]</f>
        <v>0.4</v>
      </c>
      <c r="K730" t="str">
        <f ca="1">TEXT(Table1[[#This Row],[Order_Date]],"mmm")</f>
        <v>Apr</v>
      </c>
      <c r="L730">
        <f ca="1">YEAR(Table1[[#This Row],[Order_Date]])</f>
        <v>2023</v>
      </c>
    </row>
    <row r="731" spans="1:12" x14ac:dyDescent="0.3">
      <c r="A731">
        <f t="shared" si="44"/>
        <v>730</v>
      </c>
      <c r="B731" s="1">
        <f t="shared" ca="1" si="45"/>
        <v>45052</v>
      </c>
      <c r="C731" t="s">
        <v>8</v>
      </c>
      <c r="D731" t="str">
        <f t="shared" ca="1" si="46"/>
        <v>Electronics</v>
      </c>
      <c r="E731" t="s">
        <v>41</v>
      </c>
      <c r="F731" s="11">
        <v>9287</v>
      </c>
      <c r="G731">
        <f t="shared" ca="1" si="47"/>
        <v>2</v>
      </c>
      <c r="H731" s="11">
        <f ca="1">IF(Table1[[#This Row],[Category]]="Electronics",Table1[[#This Row],[Sales]]*0.6,
IF(Table1[[#This Row],[Category]]="Furniture",Table1[[#This Row],[Sales]]*0.75,
IF(Table1[[#This Row],[Category]]="Clothing",Table1[[#This Row],[Sales]]*0.65,
Table1[[#This Row],[Sales]]*0.7)))</f>
        <v>5572.2</v>
      </c>
      <c r="I731" s="11">
        <f ca="1">Table1[[#This Row],[Sales]]-H731</f>
        <v>3714.8</v>
      </c>
      <c r="J731" s="2">
        <f ca="1">Table1[[#This Row],[Profit]]/Table1[[#This Row],[Sales]]</f>
        <v>0.4</v>
      </c>
      <c r="K731" t="str">
        <f ca="1">TEXT(Table1[[#This Row],[Order_Date]],"mmm")</f>
        <v>May</v>
      </c>
      <c r="L731">
        <f ca="1">YEAR(Table1[[#This Row],[Order_Date]])</f>
        <v>2023</v>
      </c>
    </row>
    <row r="732" spans="1:12" x14ac:dyDescent="0.3">
      <c r="A732">
        <f t="shared" si="44"/>
        <v>731</v>
      </c>
      <c r="B732" s="1">
        <f t="shared" ca="1" si="45"/>
        <v>45144</v>
      </c>
      <c r="C732" t="s">
        <v>9</v>
      </c>
      <c r="D732" t="str">
        <f t="shared" ca="1" si="46"/>
        <v>Electronics</v>
      </c>
      <c r="E732" t="s">
        <v>48</v>
      </c>
      <c r="F732" s="11">
        <v>2547</v>
      </c>
      <c r="G732">
        <f t="shared" ca="1" si="47"/>
        <v>7</v>
      </c>
      <c r="H732" s="11">
        <f ca="1">IF(Table1[[#This Row],[Category]]="Electronics",Table1[[#This Row],[Sales]]*0.6,
IF(Table1[[#This Row],[Category]]="Furniture",Table1[[#This Row],[Sales]]*0.75,
IF(Table1[[#This Row],[Category]]="Clothing",Table1[[#This Row],[Sales]]*0.65,
Table1[[#This Row],[Sales]]*0.7)))</f>
        <v>1528.2</v>
      </c>
      <c r="I732" s="11">
        <f ca="1">Table1[[#This Row],[Sales]]-H732</f>
        <v>1018.8</v>
      </c>
      <c r="J732" s="2">
        <f ca="1">Table1[[#This Row],[Profit]]/Table1[[#This Row],[Sales]]</f>
        <v>0.39999999999999997</v>
      </c>
      <c r="K732" t="str">
        <f ca="1">TEXT(Table1[[#This Row],[Order_Date]],"mmm")</f>
        <v>Aug</v>
      </c>
      <c r="L732">
        <f ca="1">YEAR(Table1[[#This Row],[Order_Date]])</f>
        <v>2023</v>
      </c>
    </row>
    <row r="733" spans="1:12" x14ac:dyDescent="0.3">
      <c r="A733">
        <f t="shared" si="44"/>
        <v>732</v>
      </c>
      <c r="B733" s="1">
        <f t="shared" ca="1" si="45"/>
        <v>45196</v>
      </c>
      <c r="C733" t="s">
        <v>10</v>
      </c>
      <c r="D733" t="str">
        <f t="shared" ca="1" si="46"/>
        <v>Clothing</v>
      </c>
      <c r="E733" t="s">
        <v>49</v>
      </c>
      <c r="F733" s="11">
        <v>17036</v>
      </c>
      <c r="G733">
        <f t="shared" ca="1" si="47"/>
        <v>5</v>
      </c>
      <c r="H733" s="11">
        <f ca="1">IF(Table1[[#This Row],[Category]]="Electronics",Table1[[#This Row],[Sales]]*0.6,
IF(Table1[[#This Row],[Category]]="Furniture",Table1[[#This Row],[Sales]]*0.75,
IF(Table1[[#This Row],[Category]]="Clothing",Table1[[#This Row],[Sales]]*0.65,
Table1[[#This Row],[Sales]]*0.7)))</f>
        <v>11073.4</v>
      </c>
      <c r="I733" s="11">
        <f ca="1">Table1[[#This Row],[Sales]]-H733</f>
        <v>5962.6</v>
      </c>
      <c r="J733" s="2">
        <f ca="1">Table1[[#This Row],[Profit]]/Table1[[#This Row],[Sales]]</f>
        <v>0.35000000000000003</v>
      </c>
      <c r="K733" t="str">
        <f ca="1">TEXT(Table1[[#This Row],[Order_Date]],"mmm")</f>
        <v>Sep</v>
      </c>
      <c r="L733">
        <f ca="1">YEAR(Table1[[#This Row],[Order_Date]])</f>
        <v>2023</v>
      </c>
    </row>
    <row r="734" spans="1:12" x14ac:dyDescent="0.3">
      <c r="A734">
        <f t="shared" si="44"/>
        <v>733</v>
      </c>
      <c r="B734" s="1">
        <f t="shared" ca="1" si="45"/>
        <v>45151</v>
      </c>
      <c r="C734" t="s">
        <v>7</v>
      </c>
      <c r="D734" t="str">
        <f t="shared" ca="1" si="46"/>
        <v>Furniture</v>
      </c>
      <c r="E734" t="s">
        <v>64</v>
      </c>
      <c r="F734" s="11">
        <v>2753</v>
      </c>
      <c r="G734">
        <f t="shared" ca="1" si="47"/>
        <v>8</v>
      </c>
      <c r="H734" s="11">
        <f ca="1">IF(Table1[[#This Row],[Category]]="Electronics",Table1[[#This Row],[Sales]]*0.6,
IF(Table1[[#This Row],[Category]]="Furniture",Table1[[#This Row],[Sales]]*0.75,
IF(Table1[[#This Row],[Category]]="Clothing",Table1[[#This Row],[Sales]]*0.65,
Table1[[#This Row],[Sales]]*0.7)))</f>
        <v>2064.75</v>
      </c>
      <c r="I734" s="11">
        <f ca="1">Table1[[#This Row],[Sales]]-H734</f>
        <v>688.25</v>
      </c>
      <c r="J734" s="2">
        <f ca="1">Table1[[#This Row],[Profit]]/Table1[[#This Row],[Sales]]</f>
        <v>0.25</v>
      </c>
      <c r="K734" t="str">
        <f ca="1">TEXT(Table1[[#This Row],[Order_Date]],"mmm")</f>
        <v>Aug</v>
      </c>
      <c r="L734">
        <f ca="1">YEAR(Table1[[#This Row],[Order_Date]])</f>
        <v>2023</v>
      </c>
    </row>
    <row r="735" spans="1:12" x14ac:dyDescent="0.3">
      <c r="A735">
        <f t="shared" si="44"/>
        <v>734</v>
      </c>
      <c r="B735" s="1">
        <f t="shared" ca="1" si="45"/>
        <v>45020</v>
      </c>
      <c r="C735" t="s">
        <v>8</v>
      </c>
      <c r="D735" t="str">
        <f t="shared" ca="1" si="46"/>
        <v>Electronics</v>
      </c>
      <c r="E735" t="s">
        <v>80</v>
      </c>
      <c r="F735" s="11">
        <v>19883</v>
      </c>
      <c r="G735">
        <f t="shared" ca="1" si="47"/>
        <v>10</v>
      </c>
      <c r="H735" s="11">
        <f ca="1">IF(Table1[[#This Row],[Category]]="Electronics",Table1[[#This Row],[Sales]]*0.6,
IF(Table1[[#This Row],[Category]]="Furniture",Table1[[#This Row],[Sales]]*0.75,
IF(Table1[[#This Row],[Category]]="Clothing",Table1[[#This Row],[Sales]]*0.65,
Table1[[#This Row],[Sales]]*0.7)))</f>
        <v>11929.8</v>
      </c>
      <c r="I735" s="11">
        <f ca="1">Table1[[#This Row],[Sales]]-H735</f>
        <v>7953.2000000000007</v>
      </c>
      <c r="J735" s="2">
        <f ca="1">Table1[[#This Row],[Profit]]/Table1[[#This Row],[Sales]]</f>
        <v>0.4</v>
      </c>
      <c r="K735" t="str">
        <f ca="1">TEXT(Table1[[#This Row],[Order_Date]],"mmm")</f>
        <v>Apr</v>
      </c>
      <c r="L735">
        <f ca="1">YEAR(Table1[[#This Row],[Order_Date]])</f>
        <v>2023</v>
      </c>
    </row>
    <row r="736" spans="1:12" x14ac:dyDescent="0.3">
      <c r="A736">
        <f t="shared" si="44"/>
        <v>735</v>
      </c>
      <c r="B736" s="1">
        <f t="shared" ca="1" si="45"/>
        <v>45224</v>
      </c>
      <c r="C736" t="s">
        <v>9</v>
      </c>
      <c r="D736" t="str">
        <f t="shared" ca="1" si="46"/>
        <v>Clothing</v>
      </c>
      <c r="E736" t="s">
        <v>45</v>
      </c>
      <c r="F736" s="11">
        <v>569</v>
      </c>
      <c r="G736">
        <f t="shared" ca="1" si="47"/>
        <v>6</v>
      </c>
      <c r="H736" s="11">
        <f ca="1">IF(Table1[[#This Row],[Category]]="Electronics",Table1[[#This Row],[Sales]]*0.6,
IF(Table1[[#This Row],[Category]]="Furniture",Table1[[#This Row],[Sales]]*0.75,
IF(Table1[[#This Row],[Category]]="Clothing",Table1[[#This Row],[Sales]]*0.65,
Table1[[#This Row],[Sales]]*0.7)))</f>
        <v>369.85</v>
      </c>
      <c r="I736" s="11">
        <f ca="1">Table1[[#This Row],[Sales]]-H736</f>
        <v>199.14999999999998</v>
      </c>
      <c r="J736" s="2">
        <f ca="1">Table1[[#This Row],[Profit]]/Table1[[#This Row],[Sales]]</f>
        <v>0.35</v>
      </c>
      <c r="K736" t="str">
        <f ca="1">TEXT(Table1[[#This Row],[Order_Date]],"mmm")</f>
        <v>Oct</v>
      </c>
      <c r="L736">
        <f ca="1">YEAR(Table1[[#This Row],[Order_Date]])</f>
        <v>2023</v>
      </c>
    </row>
    <row r="737" spans="1:12" x14ac:dyDescent="0.3">
      <c r="A737">
        <f t="shared" si="44"/>
        <v>736</v>
      </c>
      <c r="B737" s="1">
        <f t="shared" ca="1" si="45"/>
        <v>45235</v>
      </c>
      <c r="C737" t="s">
        <v>10</v>
      </c>
      <c r="D737" t="str">
        <f t="shared" ca="1" si="46"/>
        <v>Office Supplies</v>
      </c>
      <c r="E737" t="s">
        <v>45</v>
      </c>
      <c r="F737" s="11">
        <v>12785</v>
      </c>
      <c r="G737">
        <f t="shared" ca="1" si="47"/>
        <v>9</v>
      </c>
      <c r="H737" s="11">
        <f ca="1">IF(Table1[[#This Row],[Category]]="Electronics",Table1[[#This Row],[Sales]]*0.6,
IF(Table1[[#This Row],[Category]]="Furniture",Table1[[#This Row],[Sales]]*0.75,
IF(Table1[[#This Row],[Category]]="Clothing",Table1[[#This Row],[Sales]]*0.65,
Table1[[#This Row],[Sales]]*0.7)))</f>
        <v>8949.5</v>
      </c>
      <c r="I737" s="11">
        <f ca="1">Table1[[#This Row],[Sales]]-H737</f>
        <v>3835.5</v>
      </c>
      <c r="J737" s="2">
        <f ca="1">Table1[[#This Row],[Profit]]/Table1[[#This Row],[Sales]]</f>
        <v>0.3</v>
      </c>
      <c r="K737" t="str">
        <f ca="1">TEXT(Table1[[#This Row],[Order_Date]],"mmm")</f>
        <v>Nov</v>
      </c>
      <c r="L737">
        <f ca="1">YEAR(Table1[[#This Row],[Order_Date]])</f>
        <v>2023</v>
      </c>
    </row>
    <row r="738" spans="1:12" x14ac:dyDescent="0.3">
      <c r="A738">
        <f t="shared" si="44"/>
        <v>737</v>
      </c>
      <c r="B738" s="1">
        <f t="shared" ca="1" si="45"/>
        <v>45164</v>
      </c>
      <c r="C738" t="s">
        <v>7</v>
      </c>
      <c r="D738" t="str">
        <f t="shared" ca="1" si="46"/>
        <v>Clothing</v>
      </c>
      <c r="E738" t="s">
        <v>57</v>
      </c>
      <c r="F738" s="11">
        <v>14478</v>
      </c>
      <c r="G738">
        <f t="shared" ca="1" si="47"/>
        <v>10</v>
      </c>
      <c r="H738" s="11">
        <f ca="1">IF(Table1[[#This Row],[Category]]="Electronics",Table1[[#This Row],[Sales]]*0.6,
IF(Table1[[#This Row],[Category]]="Furniture",Table1[[#This Row],[Sales]]*0.75,
IF(Table1[[#This Row],[Category]]="Clothing",Table1[[#This Row],[Sales]]*0.65,
Table1[[#This Row],[Sales]]*0.7)))</f>
        <v>9410.7000000000007</v>
      </c>
      <c r="I738" s="11">
        <f ca="1">Table1[[#This Row],[Sales]]-H738</f>
        <v>5067.2999999999993</v>
      </c>
      <c r="J738" s="2">
        <f ca="1">Table1[[#This Row],[Profit]]/Table1[[#This Row],[Sales]]</f>
        <v>0.34999999999999992</v>
      </c>
      <c r="K738" t="str">
        <f ca="1">TEXT(Table1[[#This Row],[Order_Date]],"mmm")</f>
        <v>Aug</v>
      </c>
      <c r="L738">
        <f ca="1">YEAR(Table1[[#This Row],[Order_Date]])</f>
        <v>2023</v>
      </c>
    </row>
    <row r="739" spans="1:12" x14ac:dyDescent="0.3">
      <c r="A739">
        <f t="shared" si="44"/>
        <v>738</v>
      </c>
      <c r="B739" s="1">
        <f t="shared" ca="1" si="45"/>
        <v>45133</v>
      </c>
      <c r="C739" t="s">
        <v>8</v>
      </c>
      <c r="D739" t="str">
        <f t="shared" ca="1" si="46"/>
        <v>Office Supplies</v>
      </c>
      <c r="E739" t="s">
        <v>65</v>
      </c>
      <c r="F739" s="11">
        <v>10224</v>
      </c>
      <c r="G739">
        <f t="shared" ca="1" si="47"/>
        <v>9</v>
      </c>
      <c r="H739" s="11">
        <f ca="1">IF(Table1[[#This Row],[Category]]="Electronics",Table1[[#This Row],[Sales]]*0.6,
IF(Table1[[#This Row],[Category]]="Furniture",Table1[[#This Row],[Sales]]*0.75,
IF(Table1[[#This Row],[Category]]="Clothing",Table1[[#This Row],[Sales]]*0.65,
Table1[[#This Row],[Sales]]*0.7)))</f>
        <v>7156.7999999999993</v>
      </c>
      <c r="I739" s="11">
        <f ca="1">Table1[[#This Row],[Sales]]-H739</f>
        <v>3067.2000000000007</v>
      </c>
      <c r="J739" s="2">
        <f ca="1">Table1[[#This Row],[Profit]]/Table1[[#This Row],[Sales]]</f>
        <v>0.30000000000000004</v>
      </c>
      <c r="K739" t="str">
        <f ca="1">TEXT(Table1[[#This Row],[Order_Date]],"mmm")</f>
        <v>Jul</v>
      </c>
      <c r="L739">
        <f ca="1">YEAR(Table1[[#This Row],[Order_Date]])</f>
        <v>2023</v>
      </c>
    </row>
    <row r="740" spans="1:12" x14ac:dyDescent="0.3">
      <c r="A740">
        <f t="shared" si="44"/>
        <v>739</v>
      </c>
      <c r="B740" s="1">
        <f t="shared" ca="1" si="45"/>
        <v>45238</v>
      </c>
      <c r="C740" t="s">
        <v>9</v>
      </c>
      <c r="D740" t="str">
        <f t="shared" ca="1" si="46"/>
        <v>Clothing</v>
      </c>
      <c r="E740" t="s">
        <v>37</v>
      </c>
      <c r="F740" s="11">
        <v>10165</v>
      </c>
      <c r="G740">
        <f t="shared" ca="1" si="47"/>
        <v>4</v>
      </c>
      <c r="H740" s="11">
        <f ca="1">IF(Table1[[#This Row],[Category]]="Electronics",Table1[[#This Row],[Sales]]*0.6,
IF(Table1[[#This Row],[Category]]="Furniture",Table1[[#This Row],[Sales]]*0.75,
IF(Table1[[#This Row],[Category]]="Clothing",Table1[[#This Row],[Sales]]*0.65,
Table1[[#This Row],[Sales]]*0.7)))</f>
        <v>6607.25</v>
      </c>
      <c r="I740" s="11">
        <f ca="1">Table1[[#This Row],[Sales]]-H740</f>
        <v>3557.75</v>
      </c>
      <c r="J740" s="2">
        <f ca="1">Table1[[#This Row],[Profit]]/Table1[[#This Row],[Sales]]</f>
        <v>0.35</v>
      </c>
      <c r="K740" t="str">
        <f ca="1">TEXT(Table1[[#This Row],[Order_Date]],"mmm")</f>
        <v>Nov</v>
      </c>
      <c r="L740">
        <f ca="1">YEAR(Table1[[#This Row],[Order_Date]])</f>
        <v>2023</v>
      </c>
    </row>
    <row r="741" spans="1:12" x14ac:dyDescent="0.3">
      <c r="A741">
        <f t="shared" si="44"/>
        <v>740</v>
      </c>
      <c r="B741" s="1">
        <f t="shared" ca="1" si="45"/>
        <v>45226</v>
      </c>
      <c r="C741" t="s">
        <v>10</v>
      </c>
      <c r="D741" t="str">
        <f t="shared" ca="1" si="46"/>
        <v>Electronics</v>
      </c>
      <c r="E741" t="s">
        <v>74</v>
      </c>
      <c r="F741" s="11">
        <v>14548</v>
      </c>
      <c r="G741">
        <f t="shared" ca="1" si="47"/>
        <v>5</v>
      </c>
      <c r="H741" s="11">
        <f ca="1">IF(Table1[[#This Row],[Category]]="Electronics",Table1[[#This Row],[Sales]]*0.6,
IF(Table1[[#This Row],[Category]]="Furniture",Table1[[#This Row],[Sales]]*0.75,
IF(Table1[[#This Row],[Category]]="Clothing",Table1[[#This Row],[Sales]]*0.65,
Table1[[#This Row],[Sales]]*0.7)))</f>
        <v>8728.7999999999993</v>
      </c>
      <c r="I741" s="11">
        <f ca="1">Table1[[#This Row],[Sales]]-H741</f>
        <v>5819.2000000000007</v>
      </c>
      <c r="J741" s="2">
        <f ca="1">Table1[[#This Row],[Profit]]/Table1[[#This Row],[Sales]]</f>
        <v>0.40000000000000008</v>
      </c>
      <c r="K741" t="str">
        <f ca="1">TEXT(Table1[[#This Row],[Order_Date]],"mmm")</f>
        <v>Oct</v>
      </c>
      <c r="L741">
        <f ca="1">YEAR(Table1[[#This Row],[Order_Date]])</f>
        <v>2023</v>
      </c>
    </row>
    <row r="742" spans="1:12" x14ac:dyDescent="0.3">
      <c r="A742">
        <f t="shared" si="44"/>
        <v>741</v>
      </c>
      <c r="B742" s="1">
        <f t="shared" ca="1" si="45"/>
        <v>45216</v>
      </c>
      <c r="C742" t="s">
        <v>7</v>
      </c>
      <c r="D742" t="str">
        <f t="shared" ca="1" si="46"/>
        <v>Clothing</v>
      </c>
      <c r="E742" t="s">
        <v>55</v>
      </c>
      <c r="F742" s="11">
        <v>15029</v>
      </c>
      <c r="G742">
        <f t="shared" ca="1" si="47"/>
        <v>5</v>
      </c>
      <c r="H742" s="11">
        <f ca="1">IF(Table1[[#This Row],[Category]]="Electronics",Table1[[#This Row],[Sales]]*0.6,
IF(Table1[[#This Row],[Category]]="Furniture",Table1[[#This Row],[Sales]]*0.75,
IF(Table1[[#This Row],[Category]]="Clothing",Table1[[#This Row],[Sales]]*0.65,
Table1[[#This Row],[Sales]]*0.7)))</f>
        <v>9768.85</v>
      </c>
      <c r="I742" s="11">
        <f ca="1">Table1[[#This Row],[Sales]]-H742</f>
        <v>5260.15</v>
      </c>
      <c r="J742" s="2">
        <f ca="1">Table1[[#This Row],[Profit]]/Table1[[#This Row],[Sales]]</f>
        <v>0.35</v>
      </c>
      <c r="K742" t="str">
        <f ca="1">TEXT(Table1[[#This Row],[Order_Date]],"mmm")</f>
        <v>Oct</v>
      </c>
      <c r="L742">
        <f ca="1">YEAR(Table1[[#This Row],[Order_Date]])</f>
        <v>2023</v>
      </c>
    </row>
    <row r="743" spans="1:12" x14ac:dyDescent="0.3">
      <c r="A743">
        <f t="shared" si="44"/>
        <v>742</v>
      </c>
      <c r="B743" s="1">
        <f t="shared" ca="1" si="45"/>
        <v>45262</v>
      </c>
      <c r="C743" t="s">
        <v>8</v>
      </c>
      <c r="D743" t="str">
        <f t="shared" ca="1" si="46"/>
        <v>Office Supplies</v>
      </c>
      <c r="E743" t="s">
        <v>74</v>
      </c>
      <c r="F743" s="11">
        <v>15212</v>
      </c>
      <c r="G743">
        <f t="shared" ca="1" si="47"/>
        <v>4</v>
      </c>
      <c r="H743" s="11">
        <f ca="1">IF(Table1[[#This Row],[Category]]="Electronics",Table1[[#This Row],[Sales]]*0.6,
IF(Table1[[#This Row],[Category]]="Furniture",Table1[[#This Row],[Sales]]*0.75,
IF(Table1[[#This Row],[Category]]="Clothing",Table1[[#This Row],[Sales]]*0.65,
Table1[[#This Row],[Sales]]*0.7)))</f>
        <v>10648.4</v>
      </c>
      <c r="I743" s="11">
        <f ca="1">Table1[[#This Row],[Sales]]-H743</f>
        <v>4563.6000000000004</v>
      </c>
      <c r="J743" s="2">
        <f ca="1">Table1[[#This Row],[Profit]]/Table1[[#This Row],[Sales]]</f>
        <v>0.30000000000000004</v>
      </c>
      <c r="K743" t="str">
        <f ca="1">TEXT(Table1[[#This Row],[Order_Date]],"mmm")</f>
        <v>Dec</v>
      </c>
      <c r="L743">
        <f ca="1">YEAR(Table1[[#This Row],[Order_Date]])</f>
        <v>2023</v>
      </c>
    </row>
    <row r="744" spans="1:12" x14ac:dyDescent="0.3">
      <c r="A744">
        <f t="shared" si="44"/>
        <v>743</v>
      </c>
      <c r="B744" s="1">
        <f t="shared" ca="1" si="45"/>
        <v>45200</v>
      </c>
      <c r="C744" t="s">
        <v>9</v>
      </c>
      <c r="D744" t="str">
        <f t="shared" ca="1" si="46"/>
        <v>Furniture</v>
      </c>
      <c r="E744" t="s">
        <v>83</v>
      </c>
      <c r="F744" s="11">
        <v>18252</v>
      </c>
      <c r="G744">
        <f t="shared" ca="1" si="47"/>
        <v>9</v>
      </c>
      <c r="H744" s="11">
        <f ca="1">IF(Table1[[#This Row],[Category]]="Electronics",Table1[[#This Row],[Sales]]*0.6,
IF(Table1[[#This Row],[Category]]="Furniture",Table1[[#This Row],[Sales]]*0.75,
IF(Table1[[#This Row],[Category]]="Clothing",Table1[[#This Row],[Sales]]*0.65,
Table1[[#This Row],[Sales]]*0.7)))</f>
        <v>13689</v>
      </c>
      <c r="I744" s="11">
        <f ca="1">Table1[[#This Row],[Sales]]-H744</f>
        <v>4563</v>
      </c>
      <c r="J744" s="2">
        <f ca="1">Table1[[#This Row],[Profit]]/Table1[[#This Row],[Sales]]</f>
        <v>0.25</v>
      </c>
      <c r="K744" t="str">
        <f ca="1">TEXT(Table1[[#This Row],[Order_Date]],"mmm")</f>
        <v>Oct</v>
      </c>
      <c r="L744">
        <f ca="1">YEAR(Table1[[#This Row],[Order_Date]])</f>
        <v>2023</v>
      </c>
    </row>
    <row r="745" spans="1:12" x14ac:dyDescent="0.3">
      <c r="A745">
        <f t="shared" si="44"/>
        <v>744</v>
      </c>
      <c r="B745" s="1">
        <f t="shared" ca="1" si="45"/>
        <v>45248</v>
      </c>
      <c r="C745" t="s">
        <v>10</v>
      </c>
      <c r="D745" t="str">
        <f t="shared" ca="1" si="46"/>
        <v>Electronics</v>
      </c>
      <c r="E745" t="s">
        <v>68</v>
      </c>
      <c r="F745" s="11">
        <v>19661</v>
      </c>
      <c r="G745">
        <f t="shared" ca="1" si="47"/>
        <v>3</v>
      </c>
      <c r="H745" s="11">
        <f ca="1">IF(Table1[[#This Row],[Category]]="Electronics",Table1[[#This Row],[Sales]]*0.6,
IF(Table1[[#This Row],[Category]]="Furniture",Table1[[#This Row],[Sales]]*0.75,
IF(Table1[[#This Row],[Category]]="Clothing",Table1[[#This Row],[Sales]]*0.65,
Table1[[#This Row],[Sales]]*0.7)))</f>
        <v>11796.6</v>
      </c>
      <c r="I745" s="11">
        <f ca="1">Table1[[#This Row],[Sales]]-H745</f>
        <v>7864.4</v>
      </c>
      <c r="J745" s="2">
        <f ca="1">Table1[[#This Row],[Profit]]/Table1[[#This Row],[Sales]]</f>
        <v>0.39999999999999997</v>
      </c>
      <c r="K745" t="str">
        <f ca="1">TEXT(Table1[[#This Row],[Order_Date]],"mmm")</f>
        <v>Nov</v>
      </c>
      <c r="L745">
        <f ca="1">YEAR(Table1[[#This Row],[Order_Date]])</f>
        <v>2023</v>
      </c>
    </row>
    <row r="746" spans="1:12" x14ac:dyDescent="0.3">
      <c r="A746">
        <f t="shared" si="44"/>
        <v>745</v>
      </c>
      <c r="B746" s="1">
        <f t="shared" ca="1" si="45"/>
        <v>45224</v>
      </c>
      <c r="C746" t="s">
        <v>7</v>
      </c>
      <c r="D746" t="str">
        <f t="shared" ca="1" si="46"/>
        <v>Clothing</v>
      </c>
      <c r="E746" t="s">
        <v>36</v>
      </c>
      <c r="F746" s="11">
        <v>19449</v>
      </c>
      <c r="G746">
        <f t="shared" ca="1" si="47"/>
        <v>1</v>
      </c>
      <c r="H746" s="11">
        <f ca="1">IF(Table1[[#This Row],[Category]]="Electronics",Table1[[#This Row],[Sales]]*0.6,
IF(Table1[[#This Row],[Category]]="Furniture",Table1[[#This Row],[Sales]]*0.75,
IF(Table1[[#This Row],[Category]]="Clothing",Table1[[#This Row],[Sales]]*0.65,
Table1[[#This Row],[Sales]]*0.7)))</f>
        <v>12641.85</v>
      </c>
      <c r="I746" s="11">
        <f ca="1">Table1[[#This Row],[Sales]]-H746</f>
        <v>6807.15</v>
      </c>
      <c r="J746" s="2">
        <f ca="1">Table1[[#This Row],[Profit]]/Table1[[#This Row],[Sales]]</f>
        <v>0.35</v>
      </c>
      <c r="K746" t="str">
        <f ca="1">TEXT(Table1[[#This Row],[Order_Date]],"mmm")</f>
        <v>Oct</v>
      </c>
      <c r="L746">
        <f ca="1">YEAR(Table1[[#This Row],[Order_Date]])</f>
        <v>2023</v>
      </c>
    </row>
    <row r="747" spans="1:12" x14ac:dyDescent="0.3">
      <c r="A747">
        <f t="shared" si="44"/>
        <v>746</v>
      </c>
      <c r="B747" s="1">
        <f t="shared" ca="1" si="45"/>
        <v>45094</v>
      </c>
      <c r="C747" t="s">
        <v>8</v>
      </c>
      <c r="D747" t="str">
        <f t="shared" ca="1" si="46"/>
        <v>Office Supplies</v>
      </c>
      <c r="E747" t="s">
        <v>39</v>
      </c>
      <c r="F747" s="11">
        <v>15876</v>
      </c>
      <c r="G747">
        <f t="shared" ca="1" si="47"/>
        <v>3</v>
      </c>
      <c r="H747" s="11">
        <f ca="1">IF(Table1[[#This Row],[Category]]="Electronics",Table1[[#This Row],[Sales]]*0.6,
IF(Table1[[#This Row],[Category]]="Furniture",Table1[[#This Row],[Sales]]*0.75,
IF(Table1[[#This Row],[Category]]="Clothing",Table1[[#This Row],[Sales]]*0.65,
Table1[[#This Row],[Sales]]*0.7)))</f>
        <v>11113.199999999999</v>
      </c>
      <c r="I747" s="11">
        <f ca="1">Table1[[#This Row],[Sales]]-H747</f>
        <v>4762.8000000000011</v>
      </c>
      <c r="J747" s="2">
        <f ca="1">Table1[[#This Row],[Profit]]/Table1[[#This Row],[Sales]]</f>
        <v>0.30000000000000004</v>
      </c>
      <c r="K747" t="str">
        <f ca="1">TEXT(Table1[[#This Row],[Order_Date]],"mmm")</f>
        <v>Jun</v>
      </c>
      <c r="L747">
        <f ca="1">YEAR(Table1[[#This Row],[Order_Date]])</f>
        <v>2023</v>
      </c>
    </row>
    <row r="748" spans="1:12" x14ac:dyDescent="0.3">
      <c r="A748">
        <f t="shared" si="44"/>
        <v>747</v>
      </c>
      <c r="B748" s="1">
        <f t="shared" ca="1" si="45"/>
        <v>45223</v>
      </c>
      <c r="C748" t="s">
        <v>9</v>
      </c>
      <c r="D748" t="str">
        <f t="shared" ca="1" si="46"/>
        <v>Furniture</v>
      </c>
      <c r="E748" t="s">
        <v>71</v>
      </c>
      <c r="F748" s="11">
        <v>8230</v>
      </c>
      <c r="G748">
        <f t="shared" ca="1" si="47"/>
        <v>7</v>
      </c>
      <c r="H748" s="11">
        <f ca="1">IF(Table1[[#This Row],[Category]]="Electronics",Table1[[#This Row],[Sales]]*0.6,
IF(Table1[[#This Row],[Category]]="Furniture",Table1[[#This Row],[Sales]]*0.75,
IF(Table1[[#This Row],[Category]]="Clothing",Table1[[#This Row],[Sales]]*0.65,
Table1[[#This Row],[Sales]]*0.7)))</f>
        <v>6172.5</v>
      </c>
      <c r="I748" s="11">
        <f ca="1">Table1[[#This Row],[Sales]]-H748</f>
        <v>2057.5</v>
      </c>
      <c r="J748" s="2">
        <f ca="1">Table1[[#This Row],[Profit]]/Table1[[#This Row],[Sales]]</f>
        <v>0.25</v>
      </c>
      <c r="K748" t="str">
        <f ca="1">TEXT(Table1[[#This Row],[Order_Date]],"mmm")</f>
        <v>Oct</v>
      </c>
      <c r="L748">
        <f ca="1">YEAR(Table1[[#This Row],[Order_Date]])</f>
        <v>2023</v>
      </c>
    </row>
    <row r="749" spans="1:12" x14ac:dyDescent="0.3">
      <c r="A749">
        <f t="shared" si="44"/>
        <v>748</v>
      </c>
      <c r="B749" s="1">
        <f t="shared" ca="1" si="45"/>
        <v>45139</v>
      </c>
      <c r="C749" t="s">
        <v>10</v>
      </c>
      <c r="D749" t="str">
        <f t="shared" ca="1" si="46"/>
        <v>Electronics</v>
      </c>
      <c r="E749" t="s">
        <v>55</v>
      </c>
      <c r="F749" s="11">
        <v>5831</v>
      </c>
      <c r="G749">
        <f t="shared" ca="1" si="47"/>
        <v>7</v>
      </c>
      <c r="H749" s="11">
        <f ca="1">IF(Table1[[#This Row],[Category]]="Electronics",Table1[[#This Row],[Sales]]*0.6,
IF(Table1[[#This Row],[Category]]="Furniture",Table1[[#This Row],[Sales]]*0.75,
IF(Table1[[#This Row],[Category]]="Clothing",Table1[[#This Row],[Sales]]*0.65,
Table1[[#This Row],[Sales]]*0.7)))</f>
        <v>3498.6</v>
      </c>
      <c r="I749" s="11">
        <f ca="1">Table1[[#This Row],[Sales]]-H749</f>
        <v>2332.4</v>
      </c>
      <c r="J749" s="2">
        <f ca="1">Table1[[#This Row],[Profit]]/Table1[[#This Row],[Sales]]</f>
        <v>0.4</v>
      </c>
      <c r="K749" t="str">
        <f ca="1">TEXT(Table1[[#This Row],[Order_Date]],"mmm")</f>
        <v>Aug</v>
      </c>
      <c r="L749">
        <f ca="1">YEAR(Table1[[#This Row],[Order_Date]])</f>
        <v>2023</v>
      </c>
    </row>
    <row r="750" spans="1:12" x14ac:dyDescent="0.3">
      <c r="A750">
        <f t="shared" si="44"/>
        <v>749</v>
      </c>
      <c r="B750" s="1">
        <f t="shared" ca="1" si="45"/>
        <v>45012</v>
      </c>
      <c r="C750" t="s">
        <v>7</v>
      </c>
      <c r="D750" t="str">
        <f t="shared" ca="1" si="46"/>
        <v>Furniture</v>
      </c>
      <c r="E750" t="s">
        <v>70</v>
      </c>
      <c r="F750" s="11">
        <v>16488</v>
      </c>
      <c r="G750">
        <f t="shared" ca="1" si="47"/>
        <v>5</v>
      </c>
      <c r="H750" s="11">
        <f ca="1">IF(Table1[[#This Row],[Category]]="Electronics",Table1[[#This Row],[Sales]]*0.6,
IF(Table1[[#This Row],[Category]]="Furniture",Table1[[#This Row],[Sales]]*0.75,
IF(Table1[[#This Row],[Category]]="Clothing",Table1[[#This Row],[Sales]]*0.65,
Table1[[#This Row],[Sales]]*0.7)))</f>
        <v>12366</v>
      </c>
      <c r="I750" s="11">
        <f ca="1">Table1[[#This Row],[Sales]]-H750</f>
        <v>4122</v>
      </c>
      <c r="J750" s="2">
        <f ca="1">Table1[[#This Row],[Profit]]/Table1[[#This Row],[Sales]]</f>
        <v>0.25</v>
      </c>
      <c r="K750" t="str">
        <f ca="1">TEXT(Table1[[#This Row],[Order_Date]],"mmm")</f>
        <v>Mar</v>
      </c>
      <c r="L750">
        <f ca="1">YEAR(Table1[[#This Row],[Order_Date]])</f>
        <v>2023</v>
      </c>
    </row>
    <row r="751" spans="1:12" x14ac:dyDescent="0.3">
      <c r="A751">
        <f t="shared" si="44"/>
        <v>750</v>
      </c>
      <c r="B751" s="1">
        <f t="shared" ca="1" si="45"/>
        <v>44990</v>
      </c>
      <c r="C751" t="s">
        <v>8</v>
      </c>
      <c r="D751" t="str">
        <f t="shared" ca="1" si="46"/>
        <v>Office Supplies</v>
      </c>
      <c r="E751" t="s">
        <v>75</v>
      </c>
      <c r="F751" s="11">
        <v>1184</v>
      </c>
      <c r="G751">
        <f t="shared" ca="1" si="47"/>
        <v>2</v>
      </c>
      <c r="H751" s="11">
        <f ca="1">IF(Table1[[#This Row],[Category]]="Electronics",Table1[[#This Row],[Sales]]*0.6,
IF(Table1[[#This Row],[Category]]="Furniture",Table1[[#This Row],[Sales]]*0.75,
IF(Table1[[#This Row],[Category]]="Clothing",Table1[[#This Row],[Sales]]*0.65,
Table1[[#This Row],[Sales]]*0.7)))</f>
        <v>828.8</v>
      </c>
      <c r="I751" s="11">
        <f ca="1">Table1[[#This Row],[Sales]]-H751</f>
        <v>355.20000000000005</v>
      </c>
      <c r="J751" s="2">
        <f ca="1">Table1[[#This Row],[Profit]]/Table1[[#This Row],[Sales]]</f>
        <v>0.30000000000000004</v>
      </c>
      <c r="K751" t="str">
        <f ca="1">TEXT(Table1[[#This Row],[Order_Date]],"mmm")</f>
        <v>Mar</v>
      </c>
      <c r="L751">
        <f ca="1">YEAR(Table1[[#This Row],[Order_Date]])</f>
        <v>2023</v>
      </c>
    </row>
    <row r="752" spans="1:12" x14ac:dyDescent="0.3">
      <c r="A752">
        <f t="shared" si="44"/>
        <v>751</v>
      </c>
      <c r="B752" s="1">
        <f t="shared" ca="1" si="45"/>
        <v>45254</v>
      </c>
      <c r="C752" t="s">
        <v>9</v>
      </c>
      <c r="D752" t="str">
        <f t="shared" ca="1" si="46"/>
        <v>Furniture</v>
      </c>
      <c r="E752" t="s">
        <v>82</v>
      </c>
      <c r="F752" s="11">
        <v>15912</v>
      </c>
      <c r="G752">
        <f t="shared" ca="1" si="47"/>
        <v>4</v>
      </c>
      <c r="H752" s="11">
        <f ca="1">IF(Table1[[#This Row],[Category]]="Electronics",Table1[[#This Row],[Sales]]*0.6,
IF(Table1[[#This Row],[Category]]="Furniture",Table1[[#This Row],[Sales]]*0.75,
IF(Table1[[#This Row],[Category]]="Clothing",Table1[[#This Row],[Sales]]*0.65,
Table1[[#This Row],[Sales]]*0.7)))</f>
        <v>11934</v>
      </c>
      <c r="I752" s="11">
        <f ca="1">Table1[[#This Row],[Sales]]-H752</f>
        <v>3978</v>
      </c>
      <c r="J752" s="2">
        <f ca="1">Table1[[#This Row],[Profit]]/Table1[[#This Row],[Sales]]</f>
        <v>0.25</v>
      </c>
      <c r="K752" t="str">
        <f ca="1">TEXT(Table1[[#This Row],[Order_Date]],"mmm")</f>
        <v>Nov</v>
      </c>
      <c r="L752">
        <f ca="1">YEAR(Table1[[#This Row],[Order_Date]])</f>
        <v>2023</v>
      </c>
    </row>
    <row r="753" spans="1:12" x14ac:dyDescent="0.3">
      <c r="A753">
        <f t="shared" si="44"/>
        <v>752</v>
      </c>
      <c r="B753" s="1">
        <f t="shared" ca="1" si="45"/>
        <v>45234</v>
      </c>
      <c r="C753" t="s">
        <v>10</v>
      </c>
      <c r="D753" t="str">
        <f t="shared" ca="1" si="46"/>
        <v>Office Supplies</v>
      </c>
      <c r="E753" t="s">
        <v>39</v>
      </c>
      <c r="F753" s="11">
        <v>4522</v>
      </c>
      <c r="G753">
        <f t="shared" ca="1" si="47"/>
        <v>6</v>
      </c>
      <c r="H753" s="11">
        <f ca="1">IF(Table1[[#This Row],[Category]]="Electronics",Table1[[#This Row],[Sales]]*0.6,
IF(Table1[[#This Row],[Category]]="Furniture",Table1[[#This Row],[Sales]]*0.75,
IF(Table1[[#This Row],[Category]]="Clothing",Table1[[#This Row],[Sales]]*0.65,
Table1[[#This Row],[Sales]]*0.7)))</f>
        <v>3165.3999999999996</v>
      </c>
      <c r="I753" s="11">
        <f ca="1">Table1[[#This Row],[Sales]]-H753</f>
        <v>1356.6000000000004</v>
      </c>
      <c r="J753" s="2">
        <f ca="1">Table1[[#This Row],[Profit]]/Table1[[#This Row],[Sales]]</f>
        <v>0.3000000000000001</v>
      </c>
      <c r="K753" t="str">
        <f ca="1">TEXT(Table1[[#This Row],[Order_Date]],"mmm")</f>
        <v>Nov</v>
      </c>
      <c r="L753">
        <f ca="1">YEAR(Table1[[#This Row],[Order_Date]])</f>
        <v>2023</v>
      </c>
    </row>
    <row r="754" spans="1:12" x14ac:dyDescent="0.3">
      <c r="A754">
        <f t="shared" si="44"/>
        <v>753</v>
      </c>
      <c r="B754" s="1">
        <f t="shared" ca="1" si="45"/>
        <v>45147</v>
      </c>
      <c r="C754" t="s">
        <v>7</v>
      </c>
      <c r="D754" t="str">
        <f t="shared" ca="1" si="46"/>
        <v>Office Supplies</v>
      </c>
      <c r="E754" t="s">
        <v>36</v>
      </c>
      <c r="F754" s="11">
        <v>19565</v>
      </c>
      <c r="G754">
        <f t="shared" ca="1" si="47"/>
        <v>10</v>
      </c>
      <c r="H754" s="11">
        <f ca="1">IF(Table1[[#This Row],[Category]]="Electronics",Table1[[#This Row],[Sales]]*0.6,
IF(Table1[[#This Row],[Category]]="Furniture",Table1[[#This Row],[Sales]]*0.75,
IF(Table1[[#This Row],[Category]]="Clothing",Table1[[#This Row],[Sales]]*0.65,
Table1[[#This Row],[Sales]]*0.7)))</f>
        <v>13695.5</v>
      </c>
      <c r="I754" s="11">
        <f ca="1">Table1[[#This Row],[Sales]]-H754</f>
        <v>5869.5</v>
      </c>
      <c r="J754" s="2">
        <f ca="1">Table1[[#This Row],[Profit]]/Table1[[#This Row],[Sales]]</f>
        <v>0.3</v>
      </c>
      <c r="K754" t="str">
        <f ca="1">TEXT(Table1[[#This Row],[Order_Date]],"mmm")</f>
        <v>Aug</v>
      </c>
      <c r="L754">
        <f ca="1">YEAR(Table1[[#This Row],[Order_Date]])</f>
        <v>2023</v>
      </c>
    </row>
    <row r="755" spans="1:12" x14ac:dyDescent="0.3">
      <c r="A755">
        <f t="shared" si="44"/>
        <v>754</v>
      </c>
      <c r="B755" s="1">
        <f t="shared" ca="1" si="45"/>
        <v>45079</v>
      </c>
      <c r="C755" t="s">
        <v>8</v>
      </c>
      <c r="D755" t="str">
        <f t="shared" ca="1" si="46"/>
        <v>Clothing</v>
      </c>
      <c r="E755" t="s">
        <v>48</v>
      </c>
      <c r="F755" s="11">
        <v>6450</v>
      </c>
      <c r="G755">
        <f t="shared" ca="1" si="47"/>
        <v>8</v>
      </c>
      <c r="H755" s="11">
        <f ca="1">IF(Table1[[#This Row],[Category]]="Electronics",Table1[[#This Row],[Sales]]*0.6,
IF(Table1[[#This Row],[Category]]="Furniture",Table1[[#This Row],[Sales]]*0.75,
IF(Table1[[#This Row],[Category]]="Clothing",Table1[[#This Row],[Sales]]*0.65,
Table1[[#This Row],[Sales]]*0.7)))</f>
        <v>4192.5</v>
      </c>
      <c r="I755" s="11">
        <f ca="1">Table1[[#This Row],[Sales]]-H755</f>
        <v>2257.5</v>
      </c>
      <c r="J755" s="2">
        <f ca="1">Table1[[#This Row],[Profit]]/Table1[[#This Row],[Sales]]</f>
        <v>0.35</v>
      </c>
      <c r="K755" t="str">
        <f ca="1">TEXT(Table1[[#This Row],[Order_Date]],"mmm")</f>
        <v>Jun</v>
      </c>
      <c r="L755">
        <f ca="1">YEAR(Table1[[#This Row],[Order_Date]])</f>
        <v>2023</v>
      </c>
    </row>
    <row r="756" spans="1:12" x14ac:dyDescent="0.3">
      <c r="A756">
        <f t="shared" si="44"/>
        <v>755</v>
      </c>
      <c r="B756" s="1">
        <f t="shared" ca="1" si="45"/>
        <v>45084</v>
      </c>
      <c r="C756" t="s">
        <v>9</v>
      </c>
      <c r="D756" t="str">
        <f t="shared" ca="1" si="46"/>
        <v>Clothing</v>
      </c>
      <c r="E756" t="s">
        <v>84</v>
      </c>
      <c r="F756" s="11">
        <v>3550</v>
      </c>
      <c r="G756">
        <f t="shared" ca="1" si="47"/>
        <v>5</v>
      </c>
      <c r="H756" s="11">
        <f ca="1">IF(Table1[[#This Row],[Category]]="Electronics",Table1[[#This Row],[Sales]]*0.6,
IF(Table1[[#This Row],[Category]]="Furniture",Table1[[#This Row],[Sales]]*0.75,
IF(Table1[[#This Row],[Category]]="Clothing",Table1[[#This Row],[Sales]]*0.65,
Table1[[#This Row],[Sales]]*0.7)))</f>
        <v>2307.5</v>
      </c>
      <c r="I756" s="11">
        <f ca="1">Table1[[#This Row],[Sales]]-H756</f>
        <v>1242.5</v>
      </c>
      <c r="J756" s="2">
        <f ca="1">Table1[[#This Row],[Profit]]/Table1[[#This Row],[Sales]]</f>
        <v>0.35</v>
      </c>
      <c r="K756" t="str">
        <f ca="1">TEXT(Table1[[#This Row],[Order_Date]],"mmm")</f>
        <v>Jun</v>
      </c>
      <c r="L756">
        <f ca="1">YEAR(Table1[[#This Row],[Order_Date]])</f>
        <v>2023</v>
      </c>
    </row>
    <row r="757" spans="1:12" x14ac:dyDescent="0.3">
      <c r="A757">
        <f t="shared" si="44"/>
        <v>756</v>
      </c>
      <c r="B757" s="1">
        <f t="shared" ca="1" si="45"/>
        <v>45244</v>
      </c>
      <c r="C757" t="s">
        <v>10</v>
      </c>
      <c r="D757" t="str">
        <f t="shared" ca="1" si="46"/>
        <v>Furniture</v>
      </c>
      <c r="E757" t="s">
        <v>49</v>
      </c>
      <c r="F757" s="11">
        <v>17451</v>
      </c>
      <c r="G757">
        <f t="shared" ca="1" si="47"/>
        <v>6</v>
      </c>
      <c r="H757" s="11">
        <f ca="1">IF(Table1[[#This Row],[Category]]="Electronics",Table1[[#This Row],[Sales]]*0.6,
IF(Table1[[#This Row],[Category]]="Furniture",Table1[[#This Row],[Sales]]*0.75,
IF(Table1[[#This Row],[Category]]="Clothing",Table1[[#This Row],[Sales]]*0.65,
Table1[[#This Row],[Sales]]*0.7)))</f>
        <v>13088.25</v>
      </c>
      <c r="I757" s="11">
        <f ca="1">Table1[[#This Row],[Sales]]-H757</f>
        <v>4362.75</v>
      </c>
      <c r="J757" s="2">
        <f ca="1">Table1[[#This Row],[Profit]]/Table1[[#This Row],[Sales]]</f>
        <v>0.25</v>
      </c>
      <c r="K757" t="str">
        <f ca="1">TEXT(Table1[[#This Row],[Order_Date]],"mmm")</f>
        <v>Nov</v>
      </c>
      <c r="L757">
        <f ca="1">YEAR(Table1[[#This Row],[Order_Date]])</f>
        <v>2023</v>
      </c>
    </row>
    <row r="758" spans="1:12" x14ac:dyDescent="0.3">
      <c r="A758">
        <f t="shared" si="44"/>
        <v>757</v>
      </c>
      <c r="B758" s="1">
        <f t="shared" ca="1" si="45"/>
        <v>45110</v>
      </c>
      <c r="C758" t="s">
        <v>7</v>
      </c>
      <c r="D758" t="str">
        <f t="shared" ca="1" si="46"/>
        <v>Office Supplies</v>
      </c>
      <c r="E758" t="s">
        <v>36</v>
      </c>
      <c r="F758" s="11">
        <v>1685</v>
      </c>
      <c r="G758">
        <f t="shared" ca="1" si="47"/>
        <v>5</v>
      </c>
      <c r="H758" s="11">
        <f ca="1">IF(Table1[[#This Row],[Category]]="Electronics",Table1[[#This Row],[Sales]]*0.6,
IF(Table1[[#This Row],[Category]]="Furniture",Table1[[#This Row],[Sales]]*0.75,
IF(Table1[[#This Row],[Category]]="Clothing",Table1[[#This Row],[Sales]]*0.65,
Table1[[#This Row],[Sales]]*0.7)))</f>
        <v>1179.5</v>
      </c>
      <c r="I758" s="11">
        <f ca="1">Table1[[#This Row],[Sales]]-H758</f>
        <v>505.5</v>
      </c>
      <c r="J758" s="2">
        <f ca="1">Table1[[#This Row],[Profit]]/Table1[[#This Row],[Sales]]</f>
        <v>0.3</v>
      </c>
      <c r="K758" t="str">
        <f ca="1">TEXT(Table1[[#This Row],[Order_Date]],"mmm")</f>
        <v>Jul</v>
      </c>
      <c r="L758">
        <f ca="1">YEAR(Table1[[#This Row],[Order_Date]])</f>
        <v>2023</v>
      </c>
    </row>
    <row r="759" spans="1:12" x14ac:dyDescent="0.3">
      <c r="A759">
        <f t="shared" si="44"/>
        <v>758</v>
      </c>
      <c r="B759" s="1">
        <f t="shared" ca="1" si="45"/>
        <v>45037</v>
      </c>
      <c r="C759" t="s">
        <v>8</v>
      </c>
      <c r="D759" t="str">
        <f t="shared" ca="1" si="46"/>
        <v>Clothing</v>
      </c>
      <c r="E759" t="s">
        <v>69</v>
      </c>
      <c r="F759" s="11">
        <v>19833</v>
      </c>
      <c r="G759">
        <f t="shared" ca="1" si="47"/>
        <v>2</v>
      </c>
      <c r="H759" s="11">
        <f ca="1">IF(Table1[[#This Row],[Category]]="Electronics",Table1[[#This Row],[Sales]]*0.6,
IF(Table1[[#This Row],[Category]]="Furniture",Table1[[#This Row],[Sales]]*0.75,
IF(Table1[[#This Row],[Category]]="Clothing",Table1[[#This Row],[Sales]]*0.65,
Table1[[#This Row],[Sales]]*0.7)))</f>
        <v>12891.45</v>
      </c>
      <c r="I759" s="11">
        <f ca="1">Table1[[#This Row],[Sales]]-H759</f>
        <v>6941.5499999999993</v>
      </c>
      <c r="J759" s="2">
        <f ca="1">Table1[[#This Row],[Profit]]/Table1[[#This Row],[Sales]]</f>
        <v>0.35</v>
      </c>
      <c r="K759" t="str">
        <f ca="1">TEXT(Table1[[#This Row],[Order_Date]],"mmm")</f>
        <v>Apr</v>
      </c>
      <c r="L759">
        <f ca="1">YEAR(Table1[[#This Row],[Order_Date]])</f>
        <v>2023</v>
      </c>
    </row>
    <row r="760" spans="1:12" x14ac:dyDescent="0.3">
      <c r="A760">
        <f t="shared" si="44"/>
        <v>759</v>
      </c>
      <c r="B760" s="1">
        <f t="shared" ca="1" si="45"/>
        <v>44962</v>
      </c>
      <c r="C760" t="s">
        <v>9</v>
      </c>
      <c r="D760" t="str">
        <f t="shared" ca="1" si="46"/>
        <v>Electronics</v>
      </c>
      <c r="E760" t="s">
        <v>51</v>
      </c>
      <c r="F760" s="11">
        <v>4271</v>
      </c>
      <c r="G760">
        <f t="shared" ca="1" si="47"/>
        <v>8</v>
      </c>
      <c r="H760" s="11">
        <f ca="1">IF(Table1[[#This Row],[Category]]="Electronics",Table1[[#This Row],[Sales]]*0.6,
IF(Table1[[#This Row],[Category]]="Furniture",Table1[[#This Row],[Sales]]*0.75,
IF(Table1[[#This Row],[Category]]="Clothing",Table1[[#This Row],[Sales]]*0.65,
Table1[[#This Row],[Sales]]*0.7)))</f>
        <v>2562.6</v>
      </c>
      <c r="I760" s="11">
        <f ca="1">Table1[[#This Row],[Sales]]-H760</f>
        <v>1708.4</v>
      </c>
      <c r="J760" s="2">
        <f ca="1">Table1[[#This Row],[Profit]]/Table1[[#This Row],[Sales]]</f>
        <v>0.4</v>
      </c>
      <c r="K760" t="str">
        <f ca="1">TEXT(Table1[[#This Row],[Order_Date]],"mmm")</f>
        <v>Feb</v>
      </c>
      <c r="L760">
        <f ca="1">YEAR(Table1[[#This Row],[Order_Date]])</f>
        <v>2023</v>
      </c>
    </row>
    <row r="761" spans="1:12" x14ac:dyDescent="0.3">
      <c r="A761">
        <f t="shared" si="44"/>
        <v>760</v>
      </c>
      <c r="B761" s="1">
        <f t="shared" ca="1" si="45"/>
        <v>45286</v>
      </c>
      <c r="C761" t="s">
        <v>10</v>
      </c>
      <c r="D761" t="str">
        <f t="shared" ca="1" si="46"/>
        <v>Office Supplies</v>
      </c>
      <c r="E761" t="s">
        <v>76</v>
      </c>
      <c r="F761" s="11">
        <v>13908</v>
      </c>
      <c r="G761">
        <f t="shared" ca="1" si="47"/>
        <v>5</v>
      </c>
      <c r="H761" s="11">
        <f ca="1">IF(Table1[[#This Row],[Category]]="Electronics",Table1[[#This Row],[Sales]]*0.6,
IF(Table1[[#This Row],[Category]]="Furniture",Table1[[#This Row],[Sales]]*0.75,
IF(Table1[[#This Row],[Category]]="Clothing",Table1[[#This Row],[Sales]]*0.65,
Table1[[#This Row],[Sales]]*0.7)))</f>
        <v>9735.5999999999985</v>
      </c>
      <c r="I761" s="11">
        <f ca="1">Table1[[#This Row],[Sales]]-H761</f>
        <v>4172.4000000000015</v>
      </c>
      <c r="J761" s="2">
        <f ca="1">Table1[[#This Row],[Profit]]/Table1[[#This Row],[Sales]]</f>
        <v>0.3000000000000001</v>
      </c>
      <c r="K761" t="str">
        <f ca="1">TEXT(Table1[[#This Row],[Order_Date]],"mmm")</f>
        <v>Dec</v>
      </c>
      <c r="L761">
        <f ca="1">YEAR(Table1[[#This Row],[Order_Date]])</f>
        <v>2023</v>
      </c>
    </row>
    <row r="762" spans="1:12" x14ac:dyDescent="0.3">
      <c r="A762">
        <f t="shared" si="44"/>
        <v>761</v>
      </c>
      <c r="B762" s="1">
        <f t="shared" ca="1" si="45"/>
        <v>45043</v>
      </c>
      <c r="C762" t="s">
        <v>7</v>
      </c>
      <c r="D762" t="str">
        <f t="shared" ca="1" si="46"/>
        <v>Clothing</v>
      </c>
      <c r="E762" t="s">
        <v>37</v>
      </c>
      <c r="F762" s="11">
        <v>9376</v>
      </c>
      <c r="G762">
        <f t="shared" ca="1" si="47"/>
        <v>2</v>
      </c>
      <c r="H762" s="11">
        <f ca="1">IF(Table1[[#This Row],[Category]]="Electronics",Table1[[#This Row],[Sales]]*0.6,
IF(Table1[[#This Row],[Category]]="Furniture",Table1[[#This Row],[Sales]]*0.75,
IF(Table1[[#This Row],[Category]]="Clothing",Table1[[#This Row],[Sales]]*0.65,
Table1[[#This Row],[Sales]]*0.7)))</f>
        <v>6094.4000000000005</v>
      </c>
      <c r="I762" s="11">
        <f ca="1">Table1[[#This Row],[Sales]]-H762</f>
        <v>3281.5999999999995</v>
      </c>
      <c r="J762" s="2">
        <f ca="1">Table1[[#This Row],[Profit]]/Table1[[#This Row],[Sales]]</f>
        <v>0.34999999999999992</v>
      </c>
      <c r="K762" t="str">
        <f ca="1">TEXT(Table1[[#This Row],[Order_Date]],"mmm")</f>
        <v>Apr</v>
      </c>
      <c r="L762">
        <f ca="1">YEAR(Table1[[#This Row],[Order_Date]])</f>
        <v>2023</v>
      </c>
    </row>
    <row r="763" spans="1:12" x14ac:dyDescent="0.3">
      <c r="A763">
        <f t="shared" si="44"/>
        <v>762</v>
      </c>
      <c r="B763" s="1">
        <f t="shared" ca="1" si="45"/>
        <v>45236</v>
      </c>
      <c r="C763" t="s">
        <v>8</v>
      </c>
      <c r="D763" t="str">
        <f t="shared" ca="1" si="46"/>
        <v>Office Supplies</v>
      </c>
      <c r="E763" t="s">
        <v>52</v>
      </c>
      <c r="F763" s="11">
        <v>18695</v>
      </c>
      <c r="G763">
        <f t="shared" ca="1" si="47"/>
        <v>1</v>
      </c>
      <c r="H763" s="11">
        <f ca="1">IF(Table1[[#This Row],[Category]]="Electronics",Table1[[#This Row],[Sales]]*0.6,
IF(Table1[[#This Row],[Category]]="Furniture",Table1[[#This Row],[Sales]]*0.75,
IF(Table1[[#This Row],[Category]]="Clothing",Table1[[#This Row],[Sales]]*0.65,
Table1[[#This Row],[Sales]]*0.7)))</f>
        <v>13086.5</v>
      </c>
      <c r="I763" s="11">
        <f ca="1">Table1[[#This Row],[Sales]]-H763</f>
        <v>5608.5</v>
      </c>
      <c r="J763" s="2">
        <f ca="1">Table1[[#This Row],[Profit]]/Table1[[#This Row],[Sales]]</f>
        <v>0.3</v>
      </c>
      <c r="K763" t="str">
        <f ca="1">TEXT(Table1[[#This Row],[Order_Date]],"mmm")</f>
        <v>Nov</v>
      </c>
      <c r="L763">
        <f ca="1">YEAR(Table1[[#This Row],[Order_Date]])</f>
        <v>2023</v>
      </c>
    </row>
    <row r="764" spans="1:12" x14ac:dyDescent="0.3">
      <c r="A764">
        <f t="shared" si="44"/>
        <v>763</v>
      </c>
      <c r="B764" s="1">
        <f t="shared" ca="1" si="45"/>
        <v>45240</v>
      </c>
      <c r="C764" t="s">
        <v>9</v>
      </c>
      <c r="D764" t="str">
        <f t="shared" ca="1" si="46"/>
        <v>Office Supplies</v>
      </c>
      <c r="E764" t="s">
        <v>66</v>
      </c>
      <c r="F764" s="11">
        <v>3176</v>
      </c>
      <c r="G764">
        <f t="shared" ca="1" si="47"/>
        <v>5</v>
      </c>
      <c r="H764" s="11">
        <f ca="1">IF(Table1[[#This Row],[Category]]="Electronics",Table1[[#This Row],[Sales]]*0.6,
IF(Table1[[#This Row],[Category]]="Furniture",Table1[[#This Row],[Sales]]*0.75,
IF(Table1[[#This Row],[Category]]="Clothing",Table1[[#This Row],[Sales]]*0.65,
Table1[[#This Row],[Sales]]*0.7)))</f>
        <v>2223.1999999999998</v>
      </c>
      <c r="I764" s="11">
        <f ca="1">Table1[[#This Row],[Sales]]-H764</f>
        <v>952.80000000000018</v>
      </c>
      <c r="J764" s="2">
        <f ca="1">Table1[[#This Row],[Profit]]/Table1[[#This Row],[Sales]]</f>
        <v>0.30000000000000004</v>
      </c>
      <c r="K764" t="str">
        <f ca="1">TEXT(Table1[[#This Row],[Order_Date]],"mmm")</f>
        <v>Nov</v>
      </c>
      <c r="L764">
        <f ca="1">YEAR(Table1[[#This Row],[Order_Date]])</f>
        <v>2023</v>
      </c>
    </row>
    <row r="765" spans="1:12" x14ac:dyDescent="0.3">
      <c r="A765">
        <f t="shared" si="44"/>
        <v>764</v>
      </c>
      <c r="B765" s="1">
        <f t="shared" ca="1" si="45"/>
        <v>45018</v>
      </c>
      <c r="C765" t="s">
        <v>10</v>
      </c>
      <c r="D765" t="str">
        <f t="shared" ca="1" si="46"/>
        <v>Office Supplies</v>
      </c>
      <c r="E765" t="s">
        <v>76</v>
      </c>
      <c r="F765" s="11">
        <v>9215</v>
      </c>
      <c r="G765">
        <f t="shared" ca="1" si="47"/>
        <v>4</v>
      </c>
      <c r="H765" s="11">
        <f ca="1">IF(Table1[[#This Row],[Category]]="Electronics",Table1[[#This Row],[Sales]]*0.6,
IF(Table1[[#This Row],[Category]]="Furniture",Table1[[#This Row],[Sales]]*0.75,
IF(Table1[[#This Row],[Category]]="Clothing",Table1[[#This Row],[Sales]]*0.65,
Table1[[#This Row],[Sales]]*0.7)))</f>
        <v>6450.5</v>
      </c>
      <c r="I765" s="11">
        <f ca="1">Table1[[#This Row],[Sales]]-H765</f>
        <v>2764.5</v>
      </c>
      <c r="J765" s="2">
        <f ca="1">Table1[[#This Row],[Profit]]/Table1[[#This Row],[Sales]]</f>
        <v>0.3</v>
      </c>
      <c r="K765" t="str">
        <f ca="1">TEXT(Table1[[#This Row],[Order_Date]],"mmm")</f>
        <v>Apr</v>
      </c>
      <c r="L765">
        <f ca="1">YEAR(Table1[[#This Row],[Order_Date]])</f>
        <v>2023</v>
      </c>
    </row>
    <row r="766" spans="1:12" x14ac:dyDescent="0.3">
      <c r="A766">
        <f t="shared" si="44"/>
        <v>765</v>
      </c>
      <c r="B766" s="1">
        <f t="shared" ca="1" si="45"/>
        <v>44952</v>
      </c>
      <c r="C766" t="s">
        <v>7</v>
      </c>
      <c r="D766" t="str">
        <f t="shared" ca="1" si="46"/>
        <v>Furniture</v>
      </c>
      <c r="E766" t="s">
        <v>56</v>
      </c>
      <c r="F766" s="11">
        <v>11974</v>
      </c>
      <c r="G766">
        <f t="shared" ca="1" si="47"/>
        <v>7</v>
      </c>
      <c r="H766" s="11">
        <f ca="1">IF(Table1[[#This Row],[Category]]="Electronics",Table1[[#This Row],[Sales]]*0.6,
IF(Table1[[#This Row],[Category]]="Furniture",Table1[[#This Row],[Sales]]*0.75,
IF(Table1[[#This Row],[Category]]="Clothing",Table1[[#This Row],[Sales]]*0.65,
Table1[[#This Row],[Sales]]*0.7)))</f>
        <v>8980.5</v>
      </c>
      <c r="I766" s="11">
        <f ca="1">Table1[[#This Row],[Sales]]-H766</f>
        <v>2993.5</v>
      </c>
      <c r="J766" s="2">
        <f ca="1">Table1[[#This Row],[Profit]]/Table1[[#This Row],[Sales]]</f>
        <v>0.25</v>
      </c>
      <c r="K766" t="str">
        <f ca="1">TEXT(Table1[[#This Row],[Order_Date]],"mmm")</f>
        <v>Jan</v>
      </c>
      <c r="L766">
        <f ca="1">YEAR(Table1[[#This Row],[Order_Date]])</f>
        <v>2023</v>
      </c>
    </row>
    <row r="767" spans="1:12" x14ac:dyDescent="0.3">
      <c r="A767">
        <f t="shared" si="44"/>
        <v>766</v>
      </c>
      <c r="B767" s="1">
        <f t="shared" ca="1" si="45"/>
        <v>45120</v>
      </c>
      <c r="C767" t="s">
        <v>8</v>
      </c>
      <c r="D767" t="str">
        <f t="shared" ca="1" si="46"/>
        <v>Electronics</v>
      </c>
      <c r="E767" t="s">
        <v>62</v>
      </c>
      <c r="F767" s="11">
        <v>7794</v>
      </c>
      <c r="G767">
        <f t="shared" ca="1" si="47"/>
        <v>1</v>
      </c>
      <c r="H767" s="11">
        <f ca="1">IF(Table1[[#This Row],[Category]]="Electronics",Table1[[#This Row],[Sales]]*0.6,
IF(Table1[[#This Row],[Category]]="Furniture",Table1[[#This Row],[Sales]]*0.75,
IF(Table1[[#This Row],[Category]]="Clothing",Table1[[#This Row],[Sales]]*0.65,
Table1[[#This Row],[Sales]]*0.7)))</f>
        <v>4676.3999999999996</v>
      </c>
      <c r="I767" s="11">
        <f ca="1">Table1[[#This Row],[Sales]]-H767</f>
        <v>3117.6000000000004</v>
      </c>
      <c r="J767" s="2">
        <f ca="1">Table1[[#This Row],[Profit]]/Table1[[#This Row],[Sales]]</f>
        <v>0.4</v>
      </c>
      <c r="K767" t="str">
        <f ca="1">TEXT(Table1[[#This Row],[Order_Date]],"mmm")</f>
        <v>Jul</v>
      </c>
      <c r="L767">
        <f ca="1">YEAR(Table1[[#This Row],[Order_Date]])</f>
        <v>2023</v>
      </c>
    </row>
    <row r="768" spans="1:12" x14ac:dyDescent="0.3">
      <c r="A768">
        <f t="shared" si="44"/>
        <v>767</v>
      </c>
      <c r="B768" s="1">
        <f t="shared" ca="1" si="45"/>
        <v>45108</v>
      </c>
      <c r="C768" t="s">
        <v>9</v>
      </c>
      <c r="D768" t="str">
        <f t="shared" ca="1" si="46"/>
        <v>Electronics</v>
      </c>
      <c r="E768" t="s">
        <v>51</v>
      </c>
      <c r="F768" s="11">
        <v>11413</v>
      </c>
      <c r="G768">
        <f t="shared" ca="1" si="47"/>
        <v>9</v>
      </c>
      <c r="H768" s="11">
        <f ca="1">IF(Table1[[#This Row],[Category]]="Electronics",Table1[[#This Row],[Sales]]*0.6,
IF(Table1[[#This Row],[Category]]="Furniture",Table1[[#This Row],[Sales]]*0.75,
IF(Table1[[#This Row],[Category]]="Clothing",Table1[[#This Row],[Sales]]*0.65,
Table1[[#This Row],[Sales]]*0.7)))</f>
        <v>6847.8</v>
      </c>
      <c r="I768" s="11">
        <f ca="1">Table1[[#This Row],[Sales]]-H768</f>
        <v>4565.2</v>
      </c>
      <c r="J768" s="2">
        <f ca="1">Table1[[#This Row],[Profit]]/Table1[[#This Row],[Sales]]</f>
        <v>0.39999999999999997</v>
      </c>
      <c r="K768" t="str">
        <f ca="1">TEXT(Table1[[#This Row],[Order_Date]],"mmm")</f>
        <v>Jul</v>
      </c>
      <c r="L768">
        <f ca="1">YEAR(Table1[[#This Row],[Order_Date]])</f>
        <v>2023</v>
      </c>
    </row>
    <row r="769" spans="1:12" x14ac:dyDescent="0.3">
      <c r="A769">
        <f t="shared" si="44"/>
        <v>768</v>
      </c>
      <c r="B769" s="1">
        <f t="shared" ca="1" si="45"/>
        <v>45205</v>
      </c>
      <c r="C769" t="s">
        <v>10</v>
      </c>
      <c r="D769" t="str">
        <f t="shared" ca="1" si="46"/>
        <v>Clothing</v>
      </c>
      <c r="E769" t="s">
        <v>60</v>
      </c>
      <c r="F769" s="11">
        <v>4356</v>
      </c>
      <c r="G769">
        <f t="shared" ca="1" si="47"/>
        <v>5</v>
      </c>
      <c r="H769" s="11">
        <f ca="1">IF(Table1[[#This Row],[Category]]="Electronics",Table1[[#This Row],[Sales]]*0.6,
IF(Table1[[#This Row],[Category]]="Furniture",Table1[[#This Row],[Sales]]*0.75,
IF(Table1[[#This Row],[Category]]="Clothing",Table1[[#This Row],[Sales]]*0.65,
Table1[[#This Row],[Sales]]*0.7)))</f>
        <v>2831.4</v>
      </c>
      <c r="I769" s="11">
        <f ca="1">Table1[[#This Row],[Sales]]-H769</f>
        <v>1524.6</v>
      </c>
      <c r="J769" s="2">
        <f ca="1">Table1[[#This Row],[Profit]]/Table1[[#This Row],[Sales]]</f>
        <v>0.35</v>
      </c>
      <c r="K769" t="str">
        <f ca="1">TEXT(Table1[[#This Row],[Order_Date]],"mmm")</f>
        <v>Oct</v>
      </c>
      <c r="L769">
        <f ca="1">YEAR(Table1[[#This Row],[Order_Date]])</f>
        <v>2023</v>
      </c>
    </row>
    <row r="770" spans="1:12" x14ac:dyDescent="0.3">
      <c r="A770">
        <f t="shared" si="44"/>
        <v>769</v>
      </c>
      <c r="B770" s="1">
        <f t="shared" ca="1" si="45"/>
        <v>44991</v>
      </c>
      <c r="C770" t="s">
        <v>7</v>
      </c>
      <c r="D770" t="str">
        <f t="shared" ca="1" si="46"/>
        <v>Clothing</v>
      </c>
      <c r="E770" t="s">
        <v>83</v>
      </c>
      <c r="F770" s="11">
        <v>17648</v>
      </c>
      <c r="G770">
        <f t="shared" ca="1" si="47"/>
        <v>10</v>
      </c>
      <c r="H770" s="11">
        <f ca="1">IF(Table1[[#This Row],[Category]]="Electronics",Table1[[#This Row],[Sales]]*0.6,
IF(Table1[[#This Row],[Category]]="Furniture",Table1[[#This Row],[Sales]]*0.75,
IF(Table1[[#This Row],[Category]]="Clothing",Table1[[#This Row],[Sales]]*0.65,
Table1[[#This Row],[Sales]]*0.7)))</f>
        <v>11471.2</v>
      </c>
      <c r="I770" s="11">
        <f ca="1">Table1[[#This Row],[Sales]]-H770</f>
        <v>6176.7999999999993</v>
      </c>
      <c r="J770" s="2">
        <f ca="1">Table1[[#This Row],[Profit]]/Table1[[#This Row],[Sales]]</f>
        <v>0.35</v>
      </c>
      <c r="K770" t="str">
        <f ca="1">TEXT(Table1[[#This Row],[Order_Date]],"mmm")</f>
        <v>Mar</v>
      </c>
      <c r="L770">
        <f ca="1">YEAR(Table1[[#This Row],[Order_Date]])</f>
        <v>2023</v>
      </c>
    </row>
    <row r="771" spans="1:12" x14ac:dyDescent="0.3">
      <c r="A771">
        <f t="shared" ref="A771:A834" si="48">ROW()-1</f>
        <v>770</v>
      </c>
      <c r="B771" s="1">
        <f t="shared" ref="B771:B834" ca="1" si="49">DATE(2023, RANDBETWEEN(1,12), RANDBETWEEN(1,28))</f>
        <v>44930</v>
      </c>
      <c r="C771" t="s">
        <v>8</v>
      </c>
      <c r="D771" t="str">
        <f t="shared" ref="D771:D834" ca="1" si="50">CHOOSE(RANDBETWEEN(1,4),"Electronics","Furniture","Clothing","Office Supplies")</f>
        <v>Furniture</v>
      </c>
      <c r="E771" t="s">
        <v>47</v>
      </c>
      <c r="F771" s="11">
        <v>7717</v>
      </c>
      <c r="G771">
        <f t="shared" ref="G771:G834" ca="1" si="51">RANDBETWEEN(1,10)</f>
        <v>4</v>
      </c>
      <c r="H771" s="11">
        <f ca="1">IF(Table1[[#This Row],[Category]]="Electronics",Table1[[#This Row],[Sales]]*0.6,
IF(Table1[[#This Row],[Category]]="Furniture",Table1[[#This Row],[Sales]]*0.75,
IF(Table1[[#This Row],[Category]]="Clothing",Table1[[#This Row],[Sales]]*0.65,
Table1[[#This Row],[Sales]]*0.7)))</f>
        <v>5787.75</v>
      </c>
      <c r="I771" s="11">
        <f ca="1">Table1[[#This Row],[Sales]]-H771</f>
        <v>1929.25</v>
      </c>
      <c r="J771" s="2">
        <f ca="1">Table1[[#This Row],[Profit]]/Table1[[#This Row],[Sales]]</f>
        <v>0.25</v>
      </c>
      <c r="K771" t="str">
        <f ca="1">TEXT(Table1[[#This Row],[Order_Date]],"mmm")</f>
        <v>Jan</v>
      </c>
      <c r="L771">
        <f ca="1">YEAR(Table1[[#This Row],[Order_Date]])</f>
        <v>2023</v>
      </c>
    </row>
    <row r="772" spans="1:12" x14ac:dyDescent="0.3">
      <c r="A772">
        <f t="shared" si="48"/>
        <v>771</v>
      </c>
      <c r="B772" s="1">
        <f t="shared" ca="1" si="49"/>
        <v>44936</v>
      </c>
      <c r="C772" t="s">
        <v>9</v>
      </c>
      <c r="D772" t="str">
        <f t="shared" ca="1" si="50"/>
        <v>Office Supplies</v>
      </c>
      <c r="E772" t="s">
        <v>40</v>
      </c>
      <c r="F772" s="11">
        <v>862</v>
      </c>
      <c r="G772">
        <f t="shared" ca="1" si="51"/>
        <v>9</v>
      </c>
      <c r="H772" s="11">
        <f ca="1">IF(Table1[[#This Row],[Category]]="Electronics",Table1[[#This Row],[Sales]]*0.6,
IF(Table1[[#This Row],[Category]]="Furniture",Table1[[#This Row],[Sales]]*0.75,
IF(Table1[[#This Row],[Category]]="Clothing",Table1[[#This Row],[Sales]]*0.65,
Table1[[#This Row],[Sales]]*0.7)))</f>
        <v>603.4</v>
      </c>
      <c r="I772" s="11">
        <f ca="1">Table1[[#This Row],[Sales]]-H772</f>
        <v>258.60000000000002</v>
      </c>
      <c r="J772" s="2">
        <f ca="1">Table1[[#This Row],[Profit]]/Table1[[#This Row],[Sales]]</f>
        <v>0.30000000000000004</v>
      </c>
      <c r="K772" t="str">
        <f ca="1">TEXT(Table1[[#This Row],[Order_Date]],"mmm")</f>
        <v>Jan</v>
      </c>
      <c r="L772">
        <f ca="1">YEAR(Table1[[#This Row],[Order_Date]])</f>
        <v>2023</v>
      </c>
    </row>
    <row r="773" spans="1:12" x14ac:dyDescent="0.3">
      <c r="A773">
        <f t="shared" si="48"/>
        <v>772</v>
      </c>
      <c r="B773" s="1">
        <f t="shared" ca="1" si="49"/>
        <v>45099</v>
      </c>
      <c r="C773" t="s">
        <v>10</v>
      </c>
      <c r="D773" t="str">
        <f t="shared" ca="1" si="50"/>
        <v>Clothing</v>
      </c>
      <c r="E773" t="s">
        <v>41</v>
      </c>
      <c r="F773" s="11">
        <v>14102</v>
      </c>
      <c r="G773">
        <f t="shared" ca="1" si="51"/>
        <v>10</v>
      </c>
      <c r="H773" s="11">
        <f ca="1">IF(Table1[[#This Row],[Category]]="Electronics",Table1[[#This Row],[Sales]]*0.6,
IF(Table1[[#This Row],[Category]]="Furniture",Table1[[#This Row],[Sales]]*0.75,
IF(Table1[[#This Row],[Category]]="Clothing",Table1[[#This Row],[Sales]]*0.65,
Table1[[#This Row],[Sales]]*0.7)))</f>
        <v>9166.3000000000011</v>
      </c>
      <c r="I773" s="11">
        <f ca="1">Table1[[#This Row],[Sales]]-H773</f>
        <v>4935.6999999999989</v>
      </c>
      <c r="J773" s="2">
        <f ca="1">Table1[[#This Row],[Profit]]/Table1[[#This Row],[Sales]]</f>
        <v>0.34999999999999992</v>
      </c>
      <c r="K773" t="str">
        <f ca="1">TEXT(Table1[[#This Row],[Order_Date]],"mmm")</f>
        <v>Jun</v>
      </c>
      <c r="L773">
        <f ca="1">YEAR(Table1[[#This Row],[Order_Date]])</f>
        <v>2023</v>
      </c>
    </row>
    <row r="774" spans="1:12" x14ac:dyDescent="0.3">
      <c r="A774">
        <f t="shared" si="48"/>
        <v>773</v>
      </c>
      <c r="B774" s="1">
        <f t="shared" ca="1" si="49"/>
        <v>45186</v>
      </c>
      <c r="C774" t="s">
        <v>7</v>
      </c>
      <c r="D774" t="str">
        <f t="shared" ca="1" si="50"/>
        <v>Office Supplies</v>
      </c>
      <c r="E774" t="s">
        <v>65</v>
      </c>
      <c r="F774" s="11">
        <v>11233</v>
      </c>
      <c r="G774">
        <f t="shared" ca="1" si="51"/>
        <v>1</v>
      </c>
      <c r="H774" s="11">
        <f ca="1">IF(Table1[[#This Row],[Category]]="Electronics",Table1[[#This Row],[Sales]]*0.6,
IF(Table1[[#This Row],[Category]]="Furniture",Table1[[#This Row],[Sales]]*0.75,
IF(Table1[[#This Row],[Category]]="Clothing",Table1[[#This Row],[Sales]]*0.65,
Table1[[#This Row],[Sales]]*0.7)))</f>
        <v>7863.0999999999995</v>
      </c>
      <c r="I774" s="11">
        <f ca="1">Table1[[#This Row],[Sales]]-H774</f>
        <v>3369.9000000000005</v>
      </c>
      <c r="J774" s="2">
        <f ca="1">Table1[[#This Row],[Profit]]/Table1[[#This Row],[Sales]]</f>
        <v>0.30000000000000004</v>
      </c>
      <c r="K774" t="str">
        <f ca="1">TEXT(Table1[[#This Row],[Order_Date]],"mmm")</f>
        <v>Sep</v>
      </c>
      <c r="L774">
        <f ca="1">YEAR(Table1[[#This Row],[Order_Date]])</f>
        <v>2023</v>
      </c>
    </row>
    <row r="775" spans="1:12" x14ac:dyDescent="0.3">
      <c r="A775">
        <f t="shared" si="48"/>
        <v>774</v>
      </c>
      <c r="B775" s="1">
        <f t="shared" ca="1" si="49"/>
        <v>45073</v>
      </c>
      <c r="C775" t="s">
        <v>8</v>
      </c>
      <c r="D775" t="str">
        <f t="shared" ca="1" si="50"/>
        <v>Furniture</v>
      </c>
      <c r="E775" t="s">
        <v>61</v>
      </c>
      <c r="F775" s="11">
        <v>11515</v>
      </c>
      <c r="G775">
        <f t="shared" ca="1" si="51"/>
        <v>4</v>
      </c>
      <c r="H775" s="11">
        <f ca="1">IF(Table1[[#This Row],[Category]]="Electronics",Table1[[#This Row],[Sales]]*0.6,
IF(Table1[[#This Row],[Category]]="Furniture",Table1[[#This Row],[Sales]]*0.75,
IF(Table1[[#This Row],[Category]]="Clothing",Table1[[#This Row],[Sales]]*0.65,
Table1[[#This Row],[Sales]]*0.7)))</f>
        <v>8636.25</v>
      </c>
      <c r="I775" s="11">
        <f ca="1">Table1[[#This Row],[Sales]]-H775</f>
        <v>2878.75</v>
      </c>
      <c r="J775" s="2">
        <f ca="1">Table1[[#This Row],[Profit]]/Table1[[#This Row],[Sales]]</f>
        <v>0.25</v>
      </c>
      <c r="K775" t="str">
        <f ca="1">TEXT(Table1[[#This Row],[Order_Date]],"mmm")</f>
        <v>May</v>
      </c>
      <c r="L775">
        <f ca="1">YEAR(Table1[[#This Row],[Order_Date]])</f>
        <v>2023</v>
      </c>
    </row>
    <row r="776" spans="1:12" x14ac:dyDescent="0.3">
      <c r="A776">
        <f t="shared" si="48"/>
        <v>775</v>
      </c>
      <c r="B776" s="1">
        <f t="shared" ca="1" si="49"/>
        <v>45197</v>
      </c>
      <c r="C776" t="s">
        <v>9</v>
      </c>
      <c r="D776" t="str">
        <f t="shared" ca="1" si="50"/>
        <v>Furniture</v>
      </c>
      <c r="E776" t="s">
        <v>72</v>
      </c>
      <c r="F776" s="11">
        <v>13836</v>
      </c>
      <c r="G776">
        <f t="shared" ca="1" si="51"/>
        <v>2</v>
      </c>
      <c r="H776" s="11">
        <f ca="1">IF(Table1[[#This Row],[Category]]="Electronics",Table1[[#This Row],[Sales]]*0.6,
IF(Table1[[#This Row],[Category]]="Furniture",Table1[[#This Row],[Sales]]*0.75,
IF(Table1[[#This Row],[Category]]="Clothing",Table1[[#This Row],[Sales]]*0.65,
Table1[[#This Row],[Sales]]*0.7)))</f>
        <v>10377</v>
      </c>
      <c r="I776" s="11">
        <f ca="1">Table1[[#This Row],[Sales]]-H776</f>
        <v>3459</v>
      </c>
      <c r="J776" s="2">
        <f ca="1">Table1[[#This Row],[Profit]]/Table1[[#This Row],[Sales]]</f>
        <v>0.25</v>
      </c>
      <c r="K776" t="str">
        <f ca="1">TEXT(Table1[[#This Row],[Order_Date]],"mmm")</f>
        <v>Sep</v>
      </c>
      <c r="L776">
        <f ca="1">YEAR(Table1[[#This Row],[Order_Date]])</f>
        <v>2023</v>
      </c>
    </row>
    <row r="777" spans="1:12" x14ac:dyDescent="0.3">
      <c r="A777">
        <f t="shared" si="48"/>
        <v>776</v>
      </c>
      <c r="B777" s="1">
        <f t="shared" ca="1" si="49"/>
        <v>45003</v>
      </c>
      <c r="C777" t="s">
        <v>10</v>
      </c>
      <c r="D777" t="str">
        <f t="shared" ca="1" si="50"/>
        <v>Electronics</v>
      </c>
      <c r="E777" t="s">
        <v>39</v>
      </c>
      <c r="F777" s="11">
        <v>14140</v>
      </c>
      <c r="G777">
        <f t="shared" ca="1" si="51"/>
        <v>8</v>
      </c>
      <c r="H777" s="11">
        <f ca="1">IF(Table1[[#This Row],[Category]]="Electronics",Table1[[#This Row],[Sales]]*0.6,
IF(Table1[[#This Row],[Category]]="Furniture",Table1[[#This Row],[Sales]]*0.75,
IF(Table1[[#This Row],[Category]]="Clothing",Table1[[#This Row],[Sales]]*0.65,
Table1[[#This Row],[Sales]]*0.7)))</f>
        <v>8484</v>
      </c>
      <c r="I777" s="11">
        <f ca="1">Table1[[#This Row],[Sales]]-H777</f>
        <v>5656</v>
      </c>
      <c r="J777" s="2">
        <f ca="1">Table1[[#This Row],[Profit]]/Table1[[#This Row],[Sales]]</f>
        <v>0.4</v>
      </c>
      <c r="K777" t="str">
        <f ca="1">TEXT(Table1[[#This Row],[Order_Date]],"mmm")</f>
        <v>Mar</v>
      </c>
      <c r="L777">
        <f ca="1">YEAR(Table1[[#This Row],[Order_Date]])</f>
        <v>2023</v>
      </c>
    </row>
    <row r="778" spans="1:12" x14ac:dyDescent="0.3">
      <c r="A778">
        <f t="shared" si="48"/>
        <v>777</v>
      </c>
      <c r="B778" s="1">
        <f t="shared" ca="1" si="49"/>
        <v>45221</v>
      </c>
      <c r="C778" t="s">
        <v>7</v>
      </c>
      <c r="D778" t="str">
        <f t="shared" ca="1" si="50"/>
        <v>Office Supplies</v>
      </c>
      <c r="E778" t="s">
        <v>65</v>
      </c>
      <c r="F778" s="11">
        <v>10595</v>
      </c>
      <c r="G778">
        <f t="shared" ca="1" si="51"/>
        <v>8</v>
      </c>
      <c r="H778" s="11">
        <f ca="1">IF(Table1[[#This Row],[Category]]="Electronics",Table1[[#This Row],[Sales]]*0.6,
IF(Table1[[#This Row],[Category]]="Furniture",Table1[[#This Row],[Sales]]*0.75,
IF(Table1[[#This Row],[Category]]="Clothing",Table1[[#This Row],[Sales]]*0.65,
Table1[[#This Row],[Sales]]*0.7)))</f>
        <v>7416.4999999999991</v>
      </c>
      <c r="I778" s="11">
        <f ca="1">Table1[[#This Row],[Sales]]-H778</f>
        <v>3178.5000000000009</v>
      </c>
      <c r="J778" s="2">
        <f ca="1">Table1[[#This Row],[Profit]]/Table1[[#This Row],[Sales]]</f>
        <v>0.3000000000000001</v>
      </c>
      <c r="K778" t="str">
        <f ca="1">TEXT(Table1[[#This Row],[Order_Date]],"mmm")</f>
        <v>Oct</v>
      </c>
      <c r="L778">
        <f ca="1">YEAR(Table1[[#This Row],[Order_Date]])</f>
        <v>2023</v>
      </c>
    </row>
    <row r="779" spans="1:12" x14ac:dyDescent="0.3">
      <c r="A779">
        <f t="shared" si="48"/>
        <v>778</v>
      </c>
      <c r="B779" s="1">
        <f t="shared" ca="1" si="49"/>
        <v>45287</v>
      </c>
      <c r="C779" t="s">
        <v>8</v>
      </c>
      <c r="D779" t="str">
        <f t="shared" ca="1" si="50"/>
        <v>Electronics</v>
      </c>
      <c r="E779" t="s">
        <v>83</v>
      </c>
      <c r="F779" s="11">
        <v>1248</v>
      </c>
      <c r="G779">
        <f t="shared" ca="1" si="51"/>
        <v>5</v>
      </c>
      <c r="H779" s="11">
        <f ca="1">IF(Table1[[#This Row],[Category]]="Electronics",Table1[[#This Row],[Sales]]*0.6,
IF(Table1[[#This Row],[Category]]="Furniture",Table1[[#This Row],[Sales]]*0.75,
IF(Table1[[#This Row],[Category]]="Clothing",Table1[[#This Row],[Sales]]*0.65,
Table1[[#This Row],[Sales]]*0.7)))</f>
        <v>748.8</v>
      </c>
      <c r="I779" s="11">
        <f ca="1">Table1[[#This Row],[Sales]]-H779</f>
        <v>499.20000000000005</v>
      </c>
      <c r="J779" s="2">
        <f ca="1">Table1[[#This Row],[Profit]]/Table1[[#This Row],[Sales]]</f>
        <v>0.4</v>
      </c>
      <c r="K779" t="str">
        <f ca="1">TEXT(Table1[[#This Row],[Order_Date]],"mmm")</f>
        <v>Dec</v>
      </c>
      <c r="L779">
        <f ca="1">YEAR(Table1[[#This Row],[Order_Date]])</f>
        <v>2023</v>
      </c>
    </row>
    <row r="780" spans="1:12" x14ac:dyDescent="0.3">
      <c r="A780">
        <f t="shared" si="48"/>
        <v>779</v>
      </c>
      <c r="B780" s="1">
        <f t="shared" ca="1" si="49"/>
        <v>45117</v>
      </c>
      <c r="C780" t="s">
        <v>9</v>
      </c>
      <c r="D780" t="str">
        <f t="shared" ca="1" si="50"/>
        <v>Electronics</v>
      </c>
      <c r="E780" t="s">
        <v>52</v>
      </c>
      <c r="F780" s="11">
        <v>14174</v>
      </c>
      <c r="G780">
        <f t="shared" ca="1" si="51"/>
        <v>5</v>
      </c>
      <c r="H780" s="11">
        <f ca="1">IF(Table1[[#This Row],[Category]]="Electronics",Table1[[#This Row],[Sales]]*0.6,
IF(Table1[[#This Row],[Category]]="Furniture",Table1[[#This Row],[Sales]]*0.75,
IF(Table1[[#This Row],[Category]]="Clothing",Table1[[#This Row],[Sales]]*0.65,
Table1[[#This Row],[Sales]]*0.7)))</f>
        <v>8504.4</v>
      </c>
      <c r="I780" s="11">
        <f ca="1">Table1[[#This Row],[Sales]]-H780</f>
        <v>5669.6</v>
      </c>
      <c r="J780" s="2">
        <f ca="1">Table1[[#This Row],[Profit]]/Table1[[#This Row],[Sales]]</f>
        <v>0.4</v>
      </c>
      <c r="K780" t="str">
        <f ca="1">TEXT(Table1[[#This Row],[Order_Date]],"mmm")</f>
        <v>Jul</v>
      </c>
      <c r="L780">
        <f ca="1">YEAR(Table1[[#This Row],[Order_Date]])</f>
        <v>2023</v>
      </c>
    </row>
    <row r="781" spans="1:12" x14ac:dyDescent="0.3">
      <c r="A781">
        <f t="shared" si="48"/>
        <v>780</v>
      </c>
      <c r="B781" s="1">
        <f t="shared" ca="1" si="49"/>
        <v>44984</v>
      </c>
      <c r="C781" t="s">
        <v>10</v>
      </c>
      <c r="D781" t="str">
        <f t="shared" ca="1" si="50"/>
        <v>Furniture</v>
      </c>
      <c r="E781" t="s">
        <v>80</v>
      </c>
      <c r="F781" s="11">
        <v>18649</v>
      </c>
      <c r="G781">
        <f t="shared" ca="1" si="51"/>
        <v>6</v>
      </c>
      <c r="H781" s="11">
        <f ca="1">IF(Table1[[#This Row],[Category]]="Electronics",Table1[[#This Row],[Sales]]*0.6,
IF(Table1[[#This Row],[Category]]="Furniture",Table1[[#This Row],[Sales]]*0.75,
IF(Table1[[#This Row],[Category]]="Clothing",Table1[[#This Row],[Sales]]*0.65,
Table1[[#This Row],[Sales]]*0.7)))</f>
        <v>13986.75</v>
      </c>
      <c r="I781" s="11">
        <f ca="1">Table1[[#This Row],[Sales]]-H781</f>
        <v>4662.25</v>
      </c>
      <c r="J781" s="2">
        <f ca="1">Table1[[#This Row],[Profit]]/Table1[[#This Row],[Sales]]</f>
        <v>0.25</v>
      </c>
      <c r="K781" t="str">
        <f ca="1">TEXT(Table1[[#This Row],[Order_Date]],"mmm")</f>
        <v>Feb</v>
      </c>
      <c r="L781">
        <f ca="1">YEAR(Table1[[#This Row],[Order_Date]])</f>
        <v>2023</v>
      </c>
    </row>
    <row r="782" spans="1:12" x14ac:dyDescent="0.3">
      <c r="A782">
        <f t="shared" si="48"/>
        <v>781</v>
      </c>
      <c r="B782" s="1">
        <f t="shared" ca="1" si="49"/>
        <v>44930</v>
      </c>
      <c r="C782" t="s">
        <v>7</v>
      </c>
      <c r="D782" t="str">
        <f t="shared" ca="1" si="50"/>
        <v>Furniture</v>
      </c>
      <c r="E782" t="s">
        <v>80</v>
      </c>
      <c r="F782" s="11">
        <v>1126</v>
      </c>
      <c r="G782">
        <f t="shared" ca="1" si="51"/>
        <v>2</v>
      </c>
      <c r="H782" s="11">
        <f ca="1">IF(Table1[[#This Row],[Category]]="Electronics",Table1[[#This Row],[Sales]]*0.6,
IF(Table1[[#This Row],[Category]]="Furniture",Table1[[#This Row],[Sales]]*0.75,
IF(Table1[[#This Row],[Category]]="Clothing",Table1[[#This Row],[Sales]]*0.65,
Table1[[#This Row],[Sales]]*0.7)))</f>
        <v>844.5</v>
      </c>
      <c r="I782" s="11">
        <f ca="1">Table1[[#This Row],[Sales]]-H782</f>
        <v>281.5</v>
      </c>
      <c r="J782" s="2">
        <f ca="1">Table1[[#This Row],[Profit]]/Table1[[#This Row],[Sales]]</f>
        <v>0.25</v>
      </c>
      <c r="K782" t="str">
        <f ca="1">TEXT(Table1[[#This Row],[Order_Date]],"mmm")</f>
        <v>Jan</v>
      </c>
      <c r="L782">
        <f ca="1">YEAR(Table1[[#This Row],[Order_Date]])</f>
        <v>2023</v>
      </c>
    </row>
    <row r="783" spans="1:12" x14ac:dyDescent="0.3">
      <c r="A783">
        <f t="shared" si="48"/>
        <v>782</v>
      </c>
      <c r="B783" s="1">
        <f t="shared" ca="1" si="49"/>
        <v>44985</v>
      </c>
      <c r="C783" t="s">
        <v>8</v>
      </c>
      <c r="D783" t="str">
        <f t="shared" ca="1" si="50"/>
        <v>Electronics</v>
      </c>
      <c r="E783" t="s">
        <v>54</v>
      </c>
      <c r="F783" s="11">
        <v>523</v>
      </c>
      <c r="G783">
        <f t="shared" ca="1" si="51"/>
        <v>8</v>
      </c>
      <c r="H783" s="11">
        <f ca="1">IF(Table1[[#This Row],[Category]]="Electronics",Table1[[#This Row],[Sales]]*0.6,
IF(Table1[[#This Row],[Category]]="Furniture",Table1[[#This Row],[Sales]]*0.75,
IF(Table1[[#This Row],[Category]]="Clothing",Table1[[#This Row],[Sales]]*0.65,
Table1[[#This Row],[Sales]]*0.7)))</f>
        <v>313.8</v>
      </c>
      <c r="I783" s="11">
        <f ca="1">Table1[[#This Row],[Sales]]-H783</f>
        <v>209.2</v>
      </c>
      <c r="J783" s="2">
        <f ca="1">Table1[[#This Row],[Profit]]/Table1[[#This Row],[Sales]]</f>
        <v>0.39999999999999997</v>
      </c>
      <c r="K783" t="str">
        <f ca="1">TEXT(Table1[[#This Row],[Order_Date]],"mmm")</f>
        <v>Feb</v>
      </c>
      <c r="L783">
        <f ca="1">YEAR(Table1[[#This Row],[Order_Date]])</f>
        <v>2023</v>
      </c>
    </row>
    <row r="784" spans="1:12" x14ac:dyDescent="0.3">
      <c r="A784">
        <f t="shared" si="48"/>
        <v>783</v>
      </c>
      <c r="B784" s="1">
        <f t="shared" ca="1" si="49"/>
        <v>45129</v>
      </c>
      <c r="C784" t="s">
        <v>9</v>
      </c>
      <c r="D784" t="str">
        <f t="shared" ca="1" si="50"/>
        <v>Office Supplies</v>
      </c>
      <c r="E784" t="s">
        <v>67</v>
      </c>
      <c r="F784" s="11">
        <v>5543</v>
      </c>
      <c r="G784">
        <f t="shared" ca="1" si="51"/>
        <v>5</v>
      </c>
      <c r="H784" s="11">
        <f ca="1">IF(Table1[[#This Row],[Category]]="Electronics",Table1[[#This Row],[Sales]]*0.6,
IF(Table1[[#This Row],[Category]]="Furniture",Table1[[#This Row],[Sales]]*0.75,
IF(Table1[[#This Row],[Category]]="Clothing",Table1[[#This Row],[Sales]]*0.65,
Table1[[#This Row],[Sales]]*0.7)))</f>
        <v>3880.1</v>
      </c>
      <c r="I784" s="11">
        <f ca="1">Table1[[#This Row],[Sales]]-H784</f>
        <v>1662.9</v>
      </c>
      <c r="J784" s="2">
        <f ca="1">Table1[[#This Row],[Profit]]/Table1[[#This Row],[Sales]]</f>
        <v>0.3</v>
      </c>
      <c r="K784" t="str">
        <f ca="1">TEXT(Table1[[#This Row],[Order_Date]],"mmm")</f>
        <v>Jul</v>
      </c>
      <c r="L784">
        <f ca="1">YEAR(Table1[[#This Row],[Order_Date]])</f>
        <v>2023</v>
      </c>
    </row>
    <row r="785" spans="1:12" x14ac:dyDescent="0.3">
      <c r="A785">
        <f t="shared" si="48"/>
        <v>784</v>
      </c>
      <c r="B785" s="1">
        <f t="shared" ca="1" si="49"/>
        <v>44933</v>
      </c>
      <c r="C785" t="s">
        <v>10</v>
      </c>
      <c r="D785" t="str">
        <f t="shared" ca="1" si="50"/>
        <v>Electronics</v>
      </c>
      <c r="E785" t="s">
        <v>59</v>
      </c>
      <c r="F785" s="11">
        <v>10830</v>
      </c>
      <c r="G785">
        <f t="shared" ca="1" si="51"/>
        <v>5</v>
      </c>
      <c r="H785" s="11">
        <f ca="1">IF(Table1[[#This Row],[Category]]="Electronics",Table1[[#This Row],[Sales]]*0.6,
IF(Table1[[#This Row],[Category]]="Furniture",Table1[[#This Row],[Sales]]*0.75,
IF(Table1[[#This Row],[Category]]="Clothing",Table1[[#This Row],[Sales]]*0.65,
Table1[[#This Row],[Sales]]*0.7)))</f>
        <v>6498</v>
      </c>
      <c r="I785" s="11">
        <f ca="1">Table1[[#This Row],[Sales]]-H785</f>
        <v>4332</v>
      </c>
      <c r="J785" s="2">
        <f ca="1">Table1[[#This Row],[Profit]]/Table1[[#This Row],[Sales]]</f>
        <v>0.4</v>
      </c>
      <c r="K785" t="str">
        <f ca="1">TEXT(Table1[[#This Row],[Order_Date]],"mmm")</f>
        <v>Jan</v>
      </c>
      <c r="L785">
        <f ca="1">YEAR(Table1[[#This Row],[Order_Date]])</f>
        <v>2023</v>
      </c>
    </row>
    <row r="786" spans="1:12" x14ac:dyDescent="0.3">
      <c r="A786">
        <f t="shared" si="48"/>
        <v>785</v>
      </c>
      <c r="B786" s="1">
        <f t="shared" ca="1" si="49"/>
        <v>44969</v>
      </c>
      <c r="C786" t="s">
        <v>7</v>
      </c>
      <c r="D786" t="str">
        <f t="shared" ca="1" si="50"/>
        <v>Clothing</v>
      </c>
      <c r="E786" t="s">
        <v>79</v>
      </c>
      <c r="F786" s="11">
        <v>15409</v>
      </c>
      <c r="G786">
        <f t="shared" ca="1" si="51"/>
        <v>9</v>
      </c>
      <c r="H786" s="11">
        <f ca="1">IF(Table1[[#This Row],[Category]]="Electronics",Table1[[#This Row],[Sales]]*0.6,
IF(Table1[[#This Row],[Category]]="Furniture",Table1[[#This Row],[Sales]]*0.75,
IF(Table1[[#This Row],[Category]]="Clothing",Table1[[#This Row],[Sales]]*0.65,
Table1[[#This Row],[Sales]]*0.7)))</f>
        <v>10015.85</v>
      </c>
      <c r="I786" s="11">
        <f ca="1">Table1[[#This Row],[Sales]]-H786</f>
        <v>5393.15</v>
      </c>
      <c r="J786" s="2">
        <f ca="1">Table1[[#This Row],[Profit]]/Table1[[#This Row],[Sales]]</f>
        <v>0.35</v>
      </c>
      <c r="K786" t="str">
        <f ca="1">TEXT(Table1[[#This Row],[Order_Date]],"mmm")</f>
        <v>Feb</v>
      </c>
      <c r="L786">
        <f ca="1">YEAR(Table1[[#This Row],[Order_Date]])</f>
        <v>2023</v>
      </c>
    </row>
    <row r="787" spans="1:12" x14ac:dyDescent="0.3">
      <c r="A787">
        <f t="shared" si="48"/>
        <v>786</v>
      </c>
      <c r="B787" s="1">
        <f t="shared" ca="1" si="49"/>
        <v>45162</v>
      </c>
      <c r="C787" t="s">
        <v>8</v>
      </c>
      <c r="D787" t="str">
        <f t="shared" ca="1" si="50"/>
        <v>Furniture</v>
      </c>
      <c r="E787" t="s">
        <v>84</v>
      </c>
      <c r="F787" s="11">
        <v>13310</v>
      </c>
      <c r="G787">
        <f t="shared" ca="1" si="51"/>
        <v>7</v>
      </c>
      <c r="H787" s="11">
        <f ca="1">IF(Table1[[#This Row],[Category]]="Electronics",Table1[[#This Row],[Sales]]*0.6,
IF(Table1[[#This Row],[Category]]="Furniture",Table1[[#This Row],[Sales]]*0.75,
IF(Table1[[#This Row],[Category]]="Clothing",Table1[[#This Row],[Sales]]*0.65,
Table1[[#This Row],[Sales]]*0.7)))</f>
        <v>9982.5</v>
      </c>
      <c r="I787" s="11">
        <f ca="1">Table1[[#This Row],[Sales]]-H787</f>
        <v>3327.5</v>
      </c>
      <c r="J787" s="2">
        <f ca="1">Table1[[#This Row],[Profit]]/Table1[[#This Row],[Sales]]</f>
        <v>0.25</v>
      </c>
      <c r="K787" t="str">
        <f ca="1">TEXT(Table1[[#This Row],[Order_Date]],"mmm")</f>
        <v>Aug</v>
      </c>
      <c r="L787">
        <f ca="1">YEAR(Table1[[#This Row],[Order_Date]])</f>
        <v>2023</v>
      </c>
    </row>
    <row r="788" spans="1:12" x14ac:dyDescent="0.3">
      <c r="A788">
        <f t="shared" si="48"/>
        <v>787</v>
      </c>
      <c r="B788" s="1">
        <f t="shared" ca="1" si="49"/>
        <v>44948</v>
      </c>
      <c r="C788" t="s">
        <v>9</v>
      </c>
      <c r="D788" t="str">
        <f t="shared" ca="1" si="50"/>
        <v>Office Supplies</v>
      </c>
      <c r="E788" t="s">
        <v>53</v>
      </c>
      <c r="F788" s="11">
        <v>12780</v>
      </c>
      <c r="G788">
        <f t="shared" ca="1" si="51"/>
        <v>9</v>
      </c>
      <c r="H788" s="11">
        <f ca="1">IF(Table1[[#This Row],[Category]]="Electronics",Table1[[#This Row],[Sales]]*0.6,
IF(Table1[[#This Row],[Category]]="Furniture",Table1[[#This Row],[Sales]]*0.75,
IF(Table1[[#This Row],[Category]]="Clothing",Table1[[#This Row],[Sales]]*0.65,
Table1[[#This Row],[Sales]]*0.7)))</f>
        <v>8946</v>
      </c>
      <c r="I788" s="11">
        <f ca="1">Table1[[#This Row],[Sales]]-H788</f>
        <v>3834</v>
      </c>
      <c r="J788" s="2">
        <f ca="1">Table1[[#This Row],[Profit]]/Table1[[#This Row],[Sales]]</f>
        <v>0.3</v>
      </c>
      <c r="K788" t="str">
        <f ca="1">TEXT(Table1[[#This Row],[Order_Date]],"mmm")</f>
        <v>Jan</v>
      </c>
      <c r="L788">
        <f ca="1">YEAR(Table1[[#This Row],[Order_Date]])</f>
        <v>2023</v>
      </c>
    </row>
    <row r="789" spans="1:12" x14ac:dyDescent="0.3">
      <c r="A789">
        <f t="shared" si="48"/>
        <v>788</v>
      </c>
      <c r="B789" s="1">
        <f t="shared" ca="1" si="49"/>
        <v>45113</v>
      </c>
      <c r="C789" t="s">
        <v>10</v>
      </c>
      <c r="D789" t="str">
        <f t="shared" ca="1" si="50"/>
        <v>Office Supplies</v>
      </c>
      <c r="E789" t="s">
        <v>75</v>
      </c>
      <c r="F789" s="11">
        <v>13154</v>
      </c>
      <c r="G789">
        <f t="shared" ca="1" si="51"/>
        <v>6</v>
      </c>
      <c r="H789" s="11">
        <f ca="1">IF(Table1[[#This Row],[Category]]="Electronics",Table1[[#This Row],[Sales]]*0.6,
IF(Table1[[#This Row],[Category]]="Furniture",Table1[[#This Row],[Sales]]*0.75,
IF(Table1[[#This Row],[Category]]="Clothing",Table1[[#This Row],[Sales]]*0.65,
Table1[[#This Row],[Sales]]*0.7)))</f>
        <v>9207.7999999999993</v>
      </c>
      <c r="I789" s="11">
        <f ca="1">Table1[[#This Row],[Sales]]-H789</f>
        <v>3946.2000000000007</v>
      </c>
      <c r="J789" s="2">
        <f ca="1">Table1[[#This Row],[Profit]]/Table1[[#This Row],[Sales]]</f>
        <v>0.30000000000000004</v>
      </c>
      <c r="K789" t="str">
        <f ca="1">TEXT(Table1[[#This Row],[Order_Date]],"mmm")</f>
        <v>Jul</v>
      </c>
      <c r="L789">
        <f ca="1">YEAR(Table1[[#This Row],[Order_Date]])</f>
        <v>2023</v>
      </c>
    </row>
    <row r="790" spans="1:12" x14ac:dyDescent="0.3">
      <c r="A790">
        <f t="shared" si="48"/>
        <v>789</v>
      </c>
      <c r="B790" s="1">
        <f t="shared" ca="1" si="49"/>
        <v>45212</v>
      </c>
      <c r="C790" t="s">
        <v>7</v>
      </c>
      <c r="D790" t="str">
        <f t="shared" ca="1" si="50"/>
        <v>Office Supplies</v>
      </c>
      <c r="E790" t="s">
        <v>73</v>
      </c>
      <c r="F790" s="11">
        <v>3110</v>
      </c>
      <c r="G790">
        <f t="shared" ca="1" si="51"/>
        <v>8</v>
      </c>
      <c r="H790" s="11">
        <f ca="1">IF(Table1[[#This Row],[Category]]="Electronics",Table1[[#This Row],[Sales]]*0.6,
IF(Table1[[#This Row],[Category]]="Furniture",Table1[[#This Row],[Sales]]*0.75,
IF(Table1[[#This Row],[Category]]="Clothing",Table1[[#This Row],[Sales]]*0.65,
Table1[[#This Row],[Sales]]*0.7)))</f>
        <v>2177</v>
      </c>
      <c r="I790" s="11">
        <f ca="1">Table1[[#This Row],[Sales]]-H790</f>
        <v>933</v>
      </c>
      <c r="J790" s="2">
        <f ca="1">Table1[[#This Row],[Profit]]/Table1[[#This Row],[Sales]]</f>
        <v>0.3</v>
      </c>
      <c r="K790" t="str">
        <f ca="1">TEXT(Table1[[#This Row],[Order_Date]],"mmm")</f>
        <v>Oct</v>
      </c>
      <c r="L790">
        <f ca="1">YEAR(Table1[[#This Row],[Order_Date]])</f>
        <v>2023</v>
      </c>
    </row>
    <row r="791" spans="1:12" x14ac:dyDescent="0.3">
      <c r="A791">
        <f t="shared" si="48"/>
        <v>790</v>
      </c>
      <c r="B791" s="1">
        <f t="shared" ca="1" si="49"/>
        <v>44943</v>
      </c>
      <c r="C791" t="s">
        <v>8</v>
      </c>
      <c r="D791" t="str">
        <f t="shared" ca="1" si="50"/>
        <v>Clothing</v>
      </c>
      <c r="E791" t="s">
        <v>60</v>
      </c>
      <c r="F791" s="11">
        <v>11450</v>
      </c>
      <c r="G791">
        <f t="shared" ca="1" si="51"/>
        <v>6</v>
      </c>
      <c r="H791" s="11">
        <f ca="1">IF(Table1[[#This Row],[Category]]="Electronics",Table1[[#This Row],[Sales]]*0.6,
IF(Table1[[#This Row],[Category]]="Furniture",Table1[[#This Row],[Sales]]*0.75,
IF(Table1[[#This Row],[Category]]="Clothing",Table1[[#This Row],[Sales]]*0.65,
Table1[[#This Row],[Sales]]*0.7)))</f>
        <v>7442.5</v>
      </c>
      <c r="I791" s="11">
        <f ca="1">Table1[[#This Row],[Sales]]-H791</f>
        <v>4007.5</v>
      </c>
      <c r="J791" s="2">
        <f ca="1">Table1[[#This Row],[Profit]]/Table1[[#This Row],[Sales]]</f>
        <v>0.35</v>
      </c>
      <c r="K791" t="str">
        <f ca="1">TEXT(Table1[[#This Row],[Order_Date]],"mmm")</f>
        <v>Jan</v>
      </c>
      <c r="L791">
        <f ca="1">YEAR(Table1[[#This Row],[Order_Date]])</f>
        <v>2023</v>
      </c>
    </row>
    <row r="792" spans="1:12" x14ac:dyDescent="0.3">
      <c r="A792">
        <f t="shared" si="48"/>
        <v>791</v>
      </c>
      <c r="B792" s="1">
        <f t="shared" ca="1" si="49"/>
        <v>45085</v>
      </c>
      <c r="C792" t="s">
        <v>9</v>
      </c>
      <c r="D792" t="str">
        <f t="shared" ca="1" si="50"/>
        <v>Electronics</v>
      </c>
      <c r="E792" t="s">
        <v>60</v>
      </c>
      <c r="F792" s="11">
        <v>17150</v>
      </c>
      <c r="G792">
        <f t="shared" ca="1" si="51"/>
        <v>6</v>
      </c>
      <c r="H792" s="11">
        <f ca="1">IF(Table1[[#This Row],[Category]]="Electronics",Table1[[#This Row],[Sales]]*0.6,
IF(Table1[[#This Row],[Category]]="Furniture",Table1[[#This Row],[Sales]]*0.75,
IF(Table1[[#This Row],[Category]]="Clothing",Table1[[#This Row],[Sales]]*0.65,
Table1[[#This Row],[Sales]]*0.7)))</f>
        <v>10290</v>
      </c>
      <c r="I792" s="11">
        <f ca="1">Table1[[#This Row],[Sales]]-H792</f>
        <v>6860</v>
      </c>
      <c r="J792" s="2">
        <f ca="1">Table1[[#This Row],[Profit]]/Table1[[#This Row],[Sales]]</f>
        <v>0.4</v>
      </c>
      <c r="K792" t="str">
        <f ca="1">TEXT(Table1[[#This Row],[Order_Date]],"mmm")</f>
        <v>Jun</v>
      </c>
      <c r="L792">
        <f ca="1">YEAR(Table1[[#This Row],[Order_Date]])</f>
        <v>2023</v>
      </c>
    </row>
    <row r="793" spans="1:12" x14ac:dyDescent="0.3">
      <c r="A793">
        <f t="shared" si="48"/>
        <v>792</v>
      </c>
      <c r="B793" s="1">
        <f t="shared" ca="1" si="49"/>
        <v>45204</v>
      </c>
      <c r="C793" t="s">
        <v>10</v>
      </c>
      <c r="D793" t="str">
        <f t="shared" ca="1" si="50"/>
        <v>Clothing</v>
      </c>
      <c r="E793" t="s">
        <v>43</v>
      </c>
      <c r="F793" s="11">
        <v>11831</v>
      </c>
      <c r="G793">
        <f t="shared" ca="1" si="51"/>
        <v>6</v>
      </c>
      <c r="H793" s="11">
        <f ca="1">IF(Table1[[#This Row],[Category]]="Electronics",Table1[[#This Row],[Sales]]*0.6,
IF(Table1[[#This Row],[Category]]="Furniture",Table1[[#This Row],[Sales]]*0.75,
IF(Table1[[#This Row],[Category]]="Clothing",Table1[[#This Row],[Sales]]*0.65,
Table1[[#This Row],[Sales]]*0.7)))</f>
        <v>7690.1500000000005</v>
      </c>
      <c r="I793" s="11">
        <f ca="1">Table1[[#This Row],[Sales]]-H793</f>
        <v>4140.8499999999995</v>
      </c>
      <c r="J793" s="2">
        <f ca="1">Table1[[#This Row],[Profit]]/Table1[[#This Row],[Sales]]</f>
        <v>0.35</v>
      </c>
      <c r="K793" t="str">
        <f ca="1">TEXT(Table1[[#This Row],[Order_Date]],"mmm")</f>
        <v>Oct</v>
      </c>
      <c r="L793">
        <f ca="1">YEAR(Table1[[#This Row],[Order_Date]])</f>
        <v>2023</v>
      </c>
    </row>
    <row r="794" spans="1:12" x14ac:dyDescent="0.3">
      <c r="A794">
        <f t="shared" si="48"/>
        <v>793</v>
      </c>
      <c r="B794" s="1">
        <f t="shared" ca="1" si="49"/>
        <v>45251</v>
      </c>
      <c r="C794" t="s">
        <v>7</v>
      </c>
      <c r="D794" t="str">
        <f t="shared" ca="1" si="50"/>
        <v>Furniture</v>
      </c>
      <c r="E794" t="s">
        <v>46</v>
      </c>
      <c r="F794" s="11">
        <v>3608</v>
      </c>
      <c r="G794">
        <f t="shared" ca="1" si="51"/>
        <v>2</v>
      </c>
      <c r="H794" s="11">
        <f ca="1">IF(Table1[[#This Row],[Category]]="Electronics",Table1[[#This Row],[Sales]]*0.6,
IF(Table1[[#This Row],[Category]]="Furniture",Table1[[#This Row],[Sales]]*0.75,
IF(Table1[[#This Row],[Category]]="Clothing",Table1[[#This Row],[Sales]]*0.65,
Table1[[#This Row],[Sales]]*0.7)))</f>
        <v>2706</v>
      </c>
      <c r="I794" s="11">
        <f ca="1">Table1[[#This Row],[Sales]]-H794</f>
        <v>902</v>
      </c>
      <c r="J794" s="2">
        <f ca="1">Table1[[#This Row],[Profit]]/Table1[[#This Row],[Sales]]</f>
        <v>0.25</v>
      </c>
      <c r="K794" t="str">
        <f ca="1">TEXT(Table1[[#This Row],[Order_Date]],"mmm")</f>
        <v>Nov</v>
      </c>
      <c r="L794">
        <f ca="1">YEAR(Table1[[#This Row],[Order_Date]])</f>
        <v>2023</v>
      </c>
    </row>
    <row r="795" spans="1:12" x14ac:dyDescent="0.3">
      <c r="A795">
        <f t="shared" si="48"/>
        <v>794</v>
      </c>
      <c r="B795" s="1">
        <f t="shared" ca="1" si="49"/>
        <v>45202</v>
      </c>
      <c r="C795" t="s">
        <v>8</v>
      </c>
      <c r="D795" t="str">
        <f t="shared" ca="1" si="50"/>
        <v>Electronics</v>
      </c>
      <c r="E795" t="s">
        <v>67</v>
      </c>
      <c r="F795" s="11">
        <v>7775</v>
      </c>
      <c r="G795">
        <f t="shared" ca="1" si="51"/>
        <v>7</v>
      </c>
      <c r="H795" s="11">
        <f ca="1">IF(Table1[[#This Row],[Category]]="Electronics",Table1[[#This Row],[Sales]]*0.6,
IF(Table1[[#This Row],[Category]]="Furniture",Table1[[#This Row],[Sales]]*0.75,
IF(Table1[[#This Row],[Category]]="Clothing",Table1[[#This Row],[Sales]]*0.65,
Table1[[#This Row],[Sales]]*0.7)))</f>
        <v>4665</v>
      </c>
      <c r="I795" s="11">
        <f ca="1">Table1[[#This Row],[Sales]]-H795</f>
        <v>3110</v>
      </c>
      <c r="J795" s="2">
        <f ca="1">Table1[[#This Row],[Profit]]/Table1[[#This Row],[Sales]]</f>
        <v>0.4</v>
      </c>
      <c r="K795" t="str">
        <f ca="1">TEXT(Table1[[#This Row],[Order_Date]],"mmm")</f>
        <v>Oct</v>
      </c>
      <c r="L795">
        <f ca="1">YEAR(Table1[[#This Row],[Order_Date]])</f>
        <v>2023</v>
      </c>
    </row>
    <row r="796" spans="1:12" x14ac:dyDescent="0.3">
      <c r="A796">
        <f t="shared" si="48"/>
        <v>795</v>
      </c>
      <c r="B796" s="1">
        <f t="shared" ca="1" si="49"/>
        <v>45155</v>
      </c>
      <c r="C796" t="s">
        <v>9</v>
      </c>
      <c r="D796" t="str">
        <f t="shared" ca="1" si="50"/>
        <v>Electronics</v>
      </c>
      <c r="E796" t="s">
        <v>38</v>
      </c>
      <c r="F796" s="11">
        <v>13833</v>
      </c>
      <c r="G796">
        <f t="shared" ca="1" si="51"/>
        <v>3</v>
      </c>
      <c r="H796" s="11">
        <f ca="1">IF(Table1[[#This Row],[Category]]="Electronics",Table1[[#This Row],[Sales]]*0.6,
IF(Table1[[#This Row],[Category]]="Furniture",Table1[[#This Row],[Sales]]*0.75,
IF(Table1[[#This Row],[Category]]="Clothing",Table1[[#This Row],[Sales]]*0.65,
Table1[[#This Row],[Sales]]*0.7)))</f>
        <v>8299.7999999999993</v>
      </c>
      <c r="I796" s="11">
        <f ca="1">Table1[[#This Row],[Sales]]-H796</f>
        <v>5533.2000000000007</v>
      </c>
      <c r="J796" s="2">
        <f ca="1">Table1[[#This Row],[Profit]]/Table1[[#This Row],[Sales]]</f>
        <v>0.40000000000000008</v>
      </c>
      <c r="K796" t="str">
        <f ca="1">TEXT(Table1[[#This Row],[Order_Date]],"mmm")</f>
        <v>Aug</v>
      </c>
      <c r="L796">
        <f ca="1">YEAR(Table1[[#This Row],[Order_Date]])</f>
        <v>2023</v>
      </c>
    </row>
    <row r="797" spans="1:12" x14ac:dyDescent="0.3">
      <c r="A797">
        <f t="shared" si="48"/>
        <v>796</v>
      </c>
      <c r="B797" s="1">
        <f t="shared" ca="1" si="49"/>
        <v>45047</v>
      </c>
      <c r="C797" t="s">
        <v>10</v>
      </c>
      <c r="D797" t="str">
        <f t="shared" ca="1" si="50"/>
        <v>Clothing</v>
      </c>
      <c r="E797" t="s">
        <v>43</v>
      </c>
      <c r="F797" s="11">
        <v>2800</v>
      </c>
      <c r="G797">
        <f t="shared" ca="1" si="51"/>
        <v>1</v>
      </c>
      <c r="H797" s="11">
        <f ca="1">IF(Table1[[#This Row],[Category]]="Electronics",Table1[[#This Row],[Sales]]*0.6,
IF(Table1[[#This Row],[Category]]="Furniture",Table1[[#This Row],[Sales]]*0.75,
IF(Table1[[#This Row],[Category]]="Clothing",Table1[[#This Row],[Sales]]*0.65,
Table1[[#This Row],[Sales]]*0.7)))</f>
        <v>1820</v>
      </c>
      <c r="I797" s="11">
        <f ca="1">Table1[[#This Row],[Sales]]-H797</f>
        <v>980</v>
      </c>
      <c r="J797" s="2">
        <f ca="1">Table1[[#This Row],[Profit]]/Table1[[#This Row],[Sales]]</f>
        <v>0.35</v>
      </c>
      <c r="K797" t="str">
        <f ca="1">TEXT(Table1[[#This Row],[Order_Date]],"mmm")</f>
        <v>May</v>
      </c>
      <c r="L797">
        <f ca="1">YEAR(Table1[[#This Row],[Order_Date]])</f>
        <v>2023</v>
      </c>
    </row>
    <row r="798" spans="1:12" x14ac:dyDescent="0.3">
      <c r="A798">
        <f t="shared" si="48"/>
        <v>797</v>
      </c>
      <c r="B798" s="1">
        <f t="shared" ca="1" si="49"/>
        <v>45215</v>
      </c>
      <c r="C798" t="s">
        <v>7</v>
      </c>
      <c r="D798" t="str">
        <f t="shared" ca="1" si="50"/>
        <v>Electronics</v>
      </c>
      <c r="E798" t="s">
        <v>81</v>
      </c>
      <c r="F798" s="11">
        <v>8137</v>
      </c>
      <c r="G798">
        <f t="shared" ca="1" si="51"/>
        <v>2</v>
      </c>
      <c r="H798" s="11">
        <f ca="1">IF(Table1[[#This Row],[Category]]="Electronics",Table1[[#This Row],[Sales]]*0.6,
IF(Table1[[#This Row],[Category]]="Furniture",Table1[[#This Row],[Sales]]*0.75,
IF(Table1[[#This Row],[Category]]="Clothing",Table1[[#This Row],[Sales]]*0.65,
Table1[[#This Row],[Sales]]*0.7)))</f>
        <v>4882.2</v>
      </c>
      <c r="I798" s="11">
        <f ca="1">Table1[[#This Row],[Sales]]-H798</f>
        <v>3254.8</v>
      </c>
      <c r="J798" s="2">
        <f ca="1">Table1[[#This Row],[Profit]]/Table1[[#This Row],[Sales]]</f>
        <v>0.4</v>
      </c>
      <c r="K798" t="str">
        <f ca="1">TEXT(Table1[[#This Row],[Order_Date]],"mmm")</f>
        <v>Oct</v>
      </c>
      <c r="L798">
        <f ca="1">YEAR(Table1[[#This Row],[Order_Date]])</f>
        <v>2023</v>
      </c>
    </row>
    <row r="799" spans="1:12" x14ac:dyDescent="0.3">
      <c r="A799">
        <f t="shared" si="48"/>
        <v>798</v>
      </c>
      <c r="B799" s="1">
        <f t="shared" ca="1" si="49"/>
        <v>45216</v>
      </c>
      <c r="C799" t="s">
        <v>8</v>
      </c>
      <c r="D799" t="str">
        <f t="shared" ca="1" si="50"/>
        <v>Clothing</v>
      </c>
      <c r="E799" t="s">
        <v>47</v>
      </c>
      <c r="F799" s="11">
        <v>3881</v>
      </c>
      <c r="G799">
        <f t="shared" ca="1" si="51"/>
        <v>2</v>
      </c>
      <c r="H799" s="11">
        <f ca="1">IF(Table1[[#This Row],[Category]]="Electronics",Table1[[#This Row],[Sales]]*0.6,
IF(Table1[[#This Row],[Category]]="Furniture",Table1[[#This Row],[Sales]]*0.75,
IF(Table1[[#This Row],[Category]]="Clothing",Table1[[#This Row],[Sales]]*0.65,
Table1[[#This Row],[Sales]]*0.7)))</f>
        <v>2522.65</v>
      </c>
      <c r="I799" s="11">
        <f ca="1">Table1[[#This Row],[Sales]]-H799</f>
        <v>1358.35</v>
      </c>
      <c r="J799" s="2">
        <f ca="1">Table1[[#This Row],[Profit]]/Table1[[#This Row],[Sales]]</f>
        <v>0.35</v>
      </c>
      <c r="K799" t="str">
        <f ca="1">TEXT(Table1[[#This Row],[Order_Date]],"mmm")</f>
        <v>Oct</v>
      </c>
      <c r="L799">
        <f ca="1">YEAR(Table1[[#This Row],[Order_Date]])</f>
        <v>2023</v>
      </c>
    </row>
    <row r="800" spans="1:12" x14ac:dyDescent="0.3">
      <c r="A800">
        <f t="shared" si="48"/>
        <v>799</v>
      </c>
      <c r="B800" s="1">
        <f t="shared" ca="1" si="49"/>
        <v>45093</v>
      </c>
      <c r="C800" t="s">
        <v>9</v>
      </c>
      <c r="D800" t="str">
        <f t="shared" ca="1" si="50"/>
        <v>Furniture</v>
      </c>
      <c r="E800" t="s">
        <v>85</v>
      </c>
      <c r="F800" s="11">
        <v>18176</v>
      </c>
      <c r="G800">
        <f t="shared" ca="1" si="51"/>
        <v>8</v>
      </c>
      <c r="H800" s="11">
        <f ca="1">IF(Table1[[#This Row],[Category]]="Electronics",Table1[[#This Row],[Sales]]*0.6,
IF(Table1[[#This Row],[Category]]="Furniture",Table1[[#This Row],[Sales]]*0.75,
IF(Table1[[#This Row],[Category]]="Clothing",Table1[[#This Row],[Sales]]*0.65,
Table1[[#This Row],[Sales]]*0.7)))</f>
        <v>13632</v>
      </c>
      <c r="I800" s="11">
        <f ca="1">Table1[[#This Row],[Sales]]-H800</f>
        <v>4544</v>
      </c>
      <c r="J800" s="2">
        <f ca="1">Table1[[#This Row],[Profit]]/Table1[[#This Row],[Sales]]</f>
        <v>0.25</v>
      </c>
      <c r="K800" t="str">
        <f ca="1">TEXT(Table1[[#This Row],[Order_Date]],"mmm")</f>
        <v>Jun</v>
      </c>
      <c r="L800">
        <f ca="1">YEAR(Table1[[#This Row],[Order_Date]])</f>
        <v>2023</v>
      </c>
    </row>
    <row r="801" spans="1:12" x14ac:dyDescent="0.3">
      <c r="A801">
        <f t="shared" si="48"/>
        <v>800</v>
      </c>
      <c r="B801" s="1">
        <f t="shared" ca="1" si="49"/>
        <v>45027</v>
      </c>
      <c r="C801" t="s">
        <v>10</v>
      </c>
      <c r="D801" t="str">
        <f t="shared" ca="1" si="50"/>
        <v>Clothing</v>
      </c>
      <c r="E801" t="s">
        <v>84</v>
      </c>
      <c r="F801" s="11">
        <v>8327</v>
      </c>
      <c r="G801">
        <f t="shared" ca="1" si="51"/>
        <v>10</v>
      </c>
      <c r="H801" s="11">
        <f ca="1">IF(Table1[[#This Row],[Category]]="Electronics",Table1[[#This Row],[Sales]]*0.6,
IF(Table1[[#This Row],[Category]]="Furniture",Table1[[#This Row],[Sales]]*0.75,
IF(Table1[[#This Row],[Category]]="Clothing",Table1[[#This Row],[Sales]]*0.65,
Table1[[#This Row],[Sales]]*0.7)))</f>
        <v>5412.55</v>
      </c>
      <c r="I801" s="11">
        <f ca="1">Table1[[#This Row],[Sales]]-H801</f>
        <v>2914.45</v>
      </c>
      <c r="J801" s="2">
        <f ca="1">Table1[[#This Row],[Profit]]/Table1[[#This Row],[Sales]]</f>
        <v>0.35</v>
      </c>
      <c r="K801" t="str">
        <f ca="1">TEXT(Table1[[#This Row],[Order_Date]],"mmm")</f>
        <v>Apr</v>
      </c>
      <c r="L801">
        <f ca="1">YEAR(Table1[[#This Row],[Order_Date]])</f>
        <v>2023</v>
      </c>
    </row>
    <row r="802" spans="1:12" x14ac:dyDescent="0.3">
      <c r="A802">
        <f t="shared" si="48"/>
        <v>801</v>
      </c>
      <c r="B802" s="1">
        <f t="shared" ca="1" si="49"/>
        <v>45246</v>
      </c>
      <c r="C802" t="s">
        <v>7</v>
      </c>
      <c r="D802" t="str">
        <f t="shared" ca="1" si="50"/>
        <v>Electronics</v>
      </c>
      <c r="E802" t="s">
        <v>38</v>
      </c>
      <c r="F802" s="11">
        <v>552</v>
      </c>
      <c r="G802">
        <f t="shared" ca="1" si="51"/>
        <v>6</v>
      </c>
      <c r="H802" s="11">
        <f ca="1">IF(Table1[[#This Row],[Category]]="Electronics",Table1[[#This Row],[Sales]]*0.6,
IF(Table1[[#This Row],[Category]]="Furniture",Table1[[#This Row],[Sales]]*0.75,
IF(Table1[[#This Row],[Category]]="Clothing",Table1[[#This Row],[Sales]]*0.65,
Table1[[#This Row],[Sales]]*0.7)))</f>
        <v>331.2</v>
      </c>
      <c r="I802" s="11">
        <f ca="1">Table1[[#This Row],[Sales]]-H802</f>
        <v>220.8</v>
      </c>
      <c r="J802" s="2">
        <f ca="1">Table1[[#This Row],[Profit]]/Table1[[#This Row],[Sales]]</f>
        <v>0.4</v>
      </c>
      <c r="K802" t="str">
        <f ca="1">TEXT(Table1[[#This Row],[Order_Date]],"mmm")</f>
        <v>Nov</v>
      </c>
      <c r="L802">
        <f ca="1">YEAR(Table1[[#This Row],[Order_Date]])</f>
        <v>2023</v>
      </c>
    </row>
    <row r="803" spans="1:12" x14ac:dyDescent="0.3">
      <c r="A803">
        <f t="shared" si="48"/>
        <v>802</v>
      </c>
      <c r="B803" s="1">
        <f t="shared" ca="1" si="49"/>
        <v>45243</v>
      </c>
      <c r="C803" t="s">
        <v>8</v>
      </c>
      <c r="D803" t="str">
        <f t="shared" ca="1" si="50"/>
        <v>Clothing</v>
      </c>
      <c r="E803" t="s">
        <v>51</v>
      </c>
      <c r="F803" s="11">
        <v>1203</v>
      </c>
      <c r="G803">
        <f t="shared" ca="1" si="51"/>
        <v>8</v>
      </c>
      <c r="H803" s="11">
        <f ca="1">IF(Table1[[#This Row],[Category]]="Electronics",Table1[[#This Row],[Sales]]*0.6,
IF(Table1[[#This Row],[Category]]="Furniture",Table1[[#This Row],[Sales]]*0.75,
IF(Table1[[#This Row],[Category]]="Clothing",Table1[[#This Row],[Sales]]*0.65,
Table1[[#This Row],[Sales]]*0.7)))</f>
        <v>781.95</v>
      </c>
      <c r="I803" s="11">
        <f ca="1">Table1[[#This Row],[Sales]]-H803</f>
        <v>421.04999999999995</v>
      </c>
      <c r="J803" s="2">
        <f ca="1">Table1[[#This Row],[Profit]]/Table1[[#This Row],[Sales]]</f>
        <v>0.35</v>
      </c>
      <c r="K803" t="str">
        <f ca="1">TEXT(Table1[[#This Row],[Order_Date]],"mmm")</f>
        <v>Nov</v>
      </c>
      <c r="L803">
        <f ca="1">YEAR(Table1[[#This Row],[Order_Date]])</f>
        <v>2023</v>
      </c>
    </row>
    <row r="804" spans="1:12" x14ac:dyDescent="0.3">
      <c r="A804">
        <f t="shared" si="48"/>
        <v>803</v>
      </c>
      <c r="B804" s="1">
        <f t="shared" ca="1" si="49"/>
        <v>45244</v>
      </c>
      <c r="C804" t="s">
        <v>9</v>
      </c>
      <c r="D804" t="str">
        <f t="shared" ca="1" si="50"/>
        <v>Clothing</v>
      </c>
      <c r="E804" t="s">
        <v>41</v>
      </c>
      <c r="F804" s="11">
        <v>1593</v>
      </c>
      <c r="G804">
        <f t="shared" ca="1" si="51"/>
        <v>8</v>
      </c>
      <c r="H804" s="11">
        <f ca="1">IF(Table1[[#This Row],[Category]]="Electronics",Table1[[#This Row],[Sales]]*0.6,
IF(Table1[[#This Row],[Category]]="Furniture",Table1[[#This Row],[Sales]]*0.75,
IF(Table1[[#This Row],[Category]]="Clothing",Table1[[#This Row],[Sales]]*0.65,
Table1[[#This Row],[Sales]]*0.7)))</f>
        <v>1035.45</v>
      </c>
      <c r="I804" s="11">
        <f ca="1">Table1[[#This Row],[Sales]]-H804</f>
        <v>557.54999999999995</v>
      </c>
      <c r="J804" s="2">
        <f ca="1">Table1[[#This Row],[Profit]]/Table1[[#This Row],[Sales]]</f>
        <v>0.35</v>
      </c>
      <c r="K804" t="str">
        <f ca="1">TEXT(Table1[[#This Row],[Order_Date]],"mmm")</f>
        <v>Nov</v>
      </c>
      <c r="L804">
        <f ca="1">YEAR(Table1[[#This Row],[Order_Date]])</f>
        <v>2023</v>
      </c>
    </row>
    <row r="805" spans="1:12" x14ac:dyDescent="0.3">
      <c r="A805">
        <f t="shared" si="48"/>
        <v>804</v>
      </c>
      <c r="B805" s="1">
        <f t="shared" ca="1" si="49"/>
        <v>45084</v>
      </c>
      <c r="C805" t="s">
        <v>10</v>
      </c>
      <c r="D805" t="str">
        <f t="shared" ca="1" si="50"/>
        <v>Electronics</v>
      </c>
      <c r="E805" t="s">
        <v>51</v>
      </c>
      <c r="F805" s="11">
        <v>4641</v>
      </c>
      <c r="G805">
        <f t="shared" ca="1" si="51"/>
        <v>4</v>
      </c>
      <c r="H805" s="11">
        <f ca="1">IF(Table1[[#This Row],[Category]]="Electronics",Table1[[#This Row],[Sales]]*0.6,
IF(Table1[[#This Row],[Category]]="Furniture",Table1[[#This Row],[Sales]]*0.75,
IF(Table1[[#This Row],[Category]]="Clothing",Table1[[#This Row],[Sales]]*0.65,
Table1[[#This Row],[Sales]]*0.7)))</f>
        <v>2784.6</v>
      </c>
      <c r="I805" s="11">
        <f ca="1">Table1[[#This Row],[Sales]]-H805</f>
        <v>1856.4</v>
      </c>
      <c r="J805" s="2">
        <f ca="1">Table1[[#This Row],[Profit]]/Table1[[#This Row],[Sales]]</f>
        <v>0.4</v>
      </c>
      <c r="K805" t="str">
        <f ca="1">TEXT(Table1[[#This Row],[Order_Date]],"mmm")</f>
        <v>Jun</v>
      </c>
      <c r="L805">
        <f ca="1">YEAR(Table1[[#This Row],[Order_Date]])</f>
        <v>2023</v>
      </c>
    </row>
    <row r="806" spans="1:12" x14ac:dyDescent="0.3">
      <c r="A806">
        <f t="shared" si="48"/>
        <v>805</v>
      </c>
      <c r="B806" s="1">
        <f t="shared" ca="1" si="49"/>
        <v>45212</v>
      </c>
      <c r="C806" t="s">
        <v>7</v>
      </c>
      <c r="D806" t="str">
        <f t="shared" ca="1" si="50"/>
        <v>Electronics</v>
      </c>
      <c r="E806" t="s">
        <v>85</v>
      </c>
      <c r="F806" s="11">
        <v>12391</v>
      </c>
      <c r="G806">
        <f t="shared" ca="1" si="51"/>
        <v>2</v>
      </c>
      <c r="H806" s="11">
        <f ca="1">IF(Table1[[#This Row],[Category]]="Electronics",Table1[[#This Row],[Sales]]*0.6,
IF(Table1[[#This Row],[Category]]="Furniture",Table1[[#This Row],[Sales]]*0.75,
IF(Table1[[#This Row],[Category]]="Clothing",Table1[[#This Row],[Sales]]*0.65,
Table1[[#This Row],[Sales]]*0.7)))</f>
        <v>7434.5999999999995</v>
      </c>
      <c r="I806" s="11">
        <f ca="1">Table1[[#This Row],[Sales]]-H806</f>
        <v>4956.4000000000005</v>
      </c>
      <c r="J806" s="2">
        <f ca="1">Table1[[#This Row],[Profit]]/Table1[[#This Row],[Sales]]</f>
        <v>0.4</v>
      </c>
      <c r="K806" t="str">
        <f ca="1">TEXT(Table1[[#This Row],[Order_Date]],"mmm")</f>
        <v>Oct</v>
      </c>
      <c r="L806">
        <f ca="1">YEAR(Table1[[#This Row],[Order_Date]])</f>
        <v>2023</v>
      </c>
    </row>
    <row r="807" spans="1:12" x14ac:dyDescent="0.3">
      <c r="A807">
        <f t="shared" si="48"/>
        <v>806</v>
      </c>
      <c r="B807" s="1">
        <f t="shared" ca="1" si="49"/>
        <v>44978</v>
      </c>
      <c r="C807" t="s">
        <v>8</v>
      </c>
      <c r="D807" t="str">
        <f t="shared" ca="1" si="50"/>
        <v>Clothing</v>
      </c>
      <c r="E807" t="s">
        <v>56</v>
      </c>
      <c r="F807" s="11">
        <v>4430</v>
      </c>
      <c r="G807">
        <f t="shared" ca="1" si="51"/>
        <v>6</v>
      </c>
      <c r="H807" s="11">
        <f ca="1">IF(Table1[[#This Row],[Category]]="Electronics",Table1[[#This Row],[Sales]]*0.6,
IF(Table1[[#This Row],[Category]]="Furniture",Table1[[#This Row],[Sales]]*0.75,
IF(Table1[[#This Row],[Category]]="Clothing",Table1[[#This Row],[Sales]]*0.65,
Table1[[#This Row],[Sales]]*0.7)))</f>
        <v>2879.5</v>
      </c>
      <c r="I807" s="11">
        <f ca="1">Table1[[#This Row],[Sales]]-H807</f>
        <v>1550.5</v>
      </c>
      <c r="J807" s="2">
        <f ca="1">Table1[[#This Row],[Profit]]/Table1[[#This Row],[Sales]]</f>
        <v>0.35</v>
      </c>
      <c r="K807" t="str">
        <f ca="1">TEXT(Table1[[#This Row],[Order_Date]],"mmm")</f>
        <v>Feb</v>
      </c>
      <c r="L807">
        <f ca="1">YEAR(Table1[[#This Row],[Order_Date]])</f>
        <v>2023</v>
      </c>
    </row>
    <row r="808" spans="1:12" x14ac:dyDescent="0.3">
      <c r="A808">
        <f t="shared" si="48"/>
        <v>807</v>
      </c>
      <c r="B808" s="1">
        <f t="shared" ca="1" si="49"/>
        <v>45091</v>
      </c>
      <c r="C808" t="s">
        <v>9</v>
      </c>
      <c r="D808" t="str">
        <f t="shared" ca="1" si="50"/>
        <v>Furniture</v>
      </c>
      <c r="E808" t="s">
        <v>39</v>
      </c>
      <c r="F808" s="11">
        <v>16155</v>
      </c>
      <c r="G808">
        <f t="shared" ca="1" si="51"/>
        <v>3</v>
      </c>
      <c r="H808" s="11">
        <f ca="1">IF(Table1[[#This Row],[Category]]="Electronics",Table1[[#This Row],[Sales]]*0.6,
IF(Table1[[#This Row],[Category]]="Furniture",Table1[[#This Row],[Sales]]*0.75,
IF(Table1[[#This Row],[Category]]="Clothing",Table1[[#This Row],[Sales]]*0.65,
Table1[[#This Row],[Sales]]*0.7)))</f>
        <v>12116.25</v>
      </c>
      <c r="I808" s="11">
        <f ca="1">Table1[[#This Row],[Sales]]-H808</f>
        <v>4038.75</v>
      </c>
      <c r="J808" s="2">
        <f ca="1">Table1[[#This Row],[Profit]]/Table1[[#This Row],[Sales]]</f>
        <v>0.25</v>
      </c>
      <c r="K808" t="str">
        <f ca="1">TEXT(Table1[[#This Row],[Order_Date]],"mmm")</f>
        <v>Jun</v>
      </c>
      <c r="L808">
        <f ca="1">YEAR(Table1[[#This Row],[Order_Date]])</f>
        <v>2023</v>
      </c>
    </row>
    <row r="809" spans="1:12" x14ac:dyDescent="0.3">
      <c r="A809">
        <f t="shared" si="48"/>
        <v>808</v>
      </c>
      <c r="B809" s="1">
        <f t="shared" ca="1" si="49"/>
        <v>45061</v>
      </c>
      <c r="C809" t="s">
        <v>10</v>
      </c>
      <c r="D809" t="str">
        <f t="shared" ca="1" si="50"/>
        <v>Clothing</v>
      </c>
      <c r="E809" t="s">
        <v>85</v>
      </c>
      <c r="F809" s="11">
        <v>19916</v>
      </c>
      <c r="G809">
        <f t="shared" ca="1" si="51"/>
        <v>2</v>
      </c>
      <c r="H809" s="11">
        <f ca="1">IF(Table1[[#This Row],[Category]]="Electronics",Table1[[#This Row],[Sales]]*0.6,
IF(Table1[[#This Row],[Category]]="Furniture",Table1[[#This Row],[Sales]]*0.75,
IF(Table1[[#This Row],[Category]]="Clothing",Table1[[#This Row],[Sales]]*0.65,
Table1[[#This Row],[Sales]]*0.7)))</f>
        <v>12945.4</v>
      </c>
      <c r="I809" s="11">
        <f ca="1">Table1[[#This Row],[Sales]]-H809</f>
        <v>6970.6</v>
      </c>
      <c r="J809" s="2">
        <f ca="1">Table1[[#This Row],[Profit]]/Table1[[#This Row],[Sales]]</f>
        <v>0.35000000000000003</v>
      </c>
      <c r="K809" t="str">
        <f ca="1">TEXT(Table1[[#This Row],[Order_Date]],"mmm")</f>
        <v>May</v>
      </c>
      <c r="L809">
        <f ca="1">YEAR(Table1[[#This Row],[Order_Date]])</f>
        <v>2023</v>
      </c>
    </row>
    <row r="810" spans="1:12" x14ac:dyDescent="0.3">
      <c r="A810">
        <f t="shared" si="48"/>
        <v>809</v>
      </c>
      <c r="B810" s="1">
        <f t="shared" ca="1" si="49"/>
        <v>45128</v>
      </c>
      <c r="C810" t="s">
        <v>7</v>
      </c>
      <c r="D810" t="str">
        <f t="shared" ca="1" si="50"/>
        <v>Furniture</v>
      </c>
      <c r="E810" t="s">
        <v>48</v>
      </c>
      <c r="F810" s="11">
        <v>13681</v>
      </c>
      <c r="G810">
        <f t="shared" ca="1" si="51"/>
        <v>3</v>
      </c>
      <c r="H810" s="11">
        <f ca="1">IF(Table1[[#This Row],[Category]]="Electronics",Table1[[#This Row],[Sales]]*0.6,
IF(Table1[[#This Row],[Category]]="Furniture",Table1[[#This Row],[Sales]]*0.75,
IF(Table1[[#This Row],[Category]]="Clothing",Table1[[#This Row],[Sales]]*0.65,
Table1[[#This Row],[Sales]]*0.7)))</f>
        <v>10260.75</v>
      </c>
      <c r="I810" s="11">
        <f ca="1">Table1[[#This Row],[Sales]]-H810</f>
        <v>3420.25</v>
      </c>
      <c r="J810" s="2">
        <f ca="1">Table1[[#This Row],[Profit]]/Table1[[#This Row],[Sales]]</f>
        <v>0.25</v>
      </c>
      <c r="K810" t="str">
        <f ca="1">TEXT(Table1[[#This Row],[Order_Date]],"mmm")</f>
        <v>Jul</v>
      </c>
      <c r="L810">
        <f ca="1">YEAR(Table1[[#This Row],[Order_Date]])</f>
        <v>2023</v>
      </c>
    </row>
    <row r="811" spans="1:12" x14ac:dyDescent="0.3">
      <c r="A811">
        <f t="shared" si="48"/>
        <v>810</v>
      </c>
      <c r="B811" s="1">
        <f t="shared" ca="1" si="49"/>
        <v>45023</v>
      </c>
      <c r="C811" t="s">
        <v>8</v>
      </c>
      <c r="D811" t="str">
        <f t="shared" ca="1" si="50"/>
        <v>Office Supplies</v>
      </c>
      <c r="E811" t="s">
        <v>43</v>
      </c>
      <c r="F811" s="11">
        <v>4866</v>
      </c>
      <c r="G811">
        <f t="shared" ca="1" si="51"/>
        <v>4</v>
      </c>
      <c r="H811" s="11">
        <f ca="1">IF(Table1[[#This Row],[Category]]="Electronics",Table1[[#This Row],[Sales]]*0.6,
IF(Table1[[#This Row],[Category]]="Furniture",Table1[[#This Row],[Sales]]*0.75,
IF(Table1[[#This Row],[Category]]="Clothing",Table1[[#This Row],[Sales]]*0.65,
Table1[[#This Row],[Sales]]*0.7)))</f>
        <v>3406.2</v>
      </c>
      <c r="I811" s="11">
        <f ca="1">Table1[[#This Row],[Sales]]-H811</f>
        <v>1459.8000000000002</v>
      </c>
      <c r="J811" s="2">
        <f ca="1">Table1[[#This Row],[Profit]]/Table1[[#This Row],[Sales]]</f>
        <v>0.30000000000000004</v>
      </c>
      <c r="K811" t="str">
        <f ca="1">TEXT(Table1[[#This Row],[Order_Date]],"mmm")</f>
        <v>Apr</v>
      </c>
      <c r="L811">
        <f ca="1">YEAR(Table1[[#This Row],[Order_Date]])</f>
        <v>2023</v>
      </c>
    </row>
    <row r="812" spans="1:12" x14ac:dyDescent="0.3">
      <c r="A812">
        <f t="shared" si="48"/>
        <v>811</v>
      </c>
      <c r="B812" s="1">
        <f t="shared" ca="1" si="49"/>
        <v>45089</v>
      </c>
      <c r="C812" t="s">
        <v>9</v>
      </c>
      <c r="D812" t="str">
        <f t="shared" ca="1" si="50"/>
        <v>Office Supplies</v>
      </c>
      <c r="E812" t="s">
        <v>39</v>
      </c>
      <c r="F812" s="11">
        <v>11204</v>
      </c>
      <c r="G812">
        <f t="shared" ca="1" si="51"/>
        <v>7</v>
      </c>
      <c r="H812" s="11">
        <f ca="1">IF(Table1[[#This Row],[Category]]="Electronics",Table1[[#This Row],[Sales]]*0.6,
IF(Table1[[#This Row],[Category]]="Furniture",Table1[[#This Row],[Sales]]*0.75,
IF(Table1[[#This Row],[Category]]="Clothing",Table1[[#This Row],[Sales]]*0.65,
Table1[[#This Row],[Sales]]*0.7)))</f>
        <v>7842.7999999999993</v>
      </c>
      <c r="I812" s="11">
        <f ca="1">Table1[[#This Row],[Sales]]-H812</f>
        <v>3361.2000000000007</v>
      </c>
      <c r="J812" s="2">
        <f ca="1">Table1[[#This Row],[Profit]]/Table1[[#This Row],[Sales]]</f>
        <v>0.30000000000000004</v>
      </c>
      <c r="K812" t="str">
        <f ca="1">TEXT(Table1[[#This Row],[Order_Date]],"mmm")</f>
        <v>Jun</v>
      </c>
      <c r="L812">
        <f ca="1">YEAR(Table1[[#This Row],[Order_Date]])</f>
        <v>2023</v>
      </c>
    </row>
    <row r="813" spans="1:12" x14ac:dyDescent="0.3">
      <c r="A813">
        <f t="shared" si="48"/>
        <v>812</v>
      </c>
      <c r="B813" s="1">
        <f t="shared" ca="1" si="49"/>
        <v>45134</v>
      </c>
      <c r="C813" t="s">
        <v>10</v>
      </c>
      <c r="D813" t="str">
        <f t="shared" ca="1" si="50"/>
        <v>Office Supplies</v>
      </c>
      <c r="E813" t="s">
        <v>70</v>
      </c>
      <c r="F813" s="11">
        <v>2151</v>
      </c>
      <c r="G813">
        <f t="shared" ca="1" si="51"/>
        <v>2</v>
      </c>
      <c r="H813" s="11">
        <f ca="1">IF(Table1[[#This Row],[Category]]="Electronics",Table1[[#This Row],[Sales]]*0.6,
IF(Table1[[#This Row],[Category]]="Furniture",Table1[[#This Row],[Sales]]*0.75,
IF(Table1[[#This Row],[Category]]="Clothing",Table1[[#This Row],[Sales]]*0.65,
Table1[[#This Row],[Sales]]*0.7)))</f>
        <v>1505.6999999999998</v>
      </c>
      <c r="I813" s="11">
        <f ca="1">Table1[[#This Row],[Sales]]-H813</f>
        <v>645.30000000000018</v>
      </c>
      <c r="J813" s="2">
        <f ca="1">Table1[[#This Row],[Profit]]/Table1[[#This Row],[Sales]]</f>
        <v>0.3000000000000001</v>
      </c>
      <c r="K813" t="str">
        <f ca="1">TEXT(Table1[[#This Row],[Order_Date]],"mmm")</f>
        <v>Jul</v>
      </c>
      <c r="L813">
        <f ca="1">YEAR(Table1[[#This Row],[Order_Date]])</f>
        <v>2023</v>
      </c>
    </row>
    <row r="814" spans="1:12" x14ac:dyDescent="0.3">
      <c r="A814">
        <f t="shared" si="48"/>
        <v>813</v>
      </c>
      <c r="B814" s="1">
        <f t="shared" ca="1" si="49"/>
        <v>45099</v>
      </c>
      <c r="C814" t="s">
        <v>7</v>
      </c>
      <c r="D814" t="str">
        <f t="shared" ca="1" si="50"/>
        <v>Furniture</v>
      </c>
      <c r="E814" t="s">
        <v>53</v>
      </c>
      <c r="F814" s="11">
        <v>1507</v>
      </c>
      <c r="G814">
        <f t="shared" ca="1" si="51"/>
        <v>5</v>
      </c>
      <c r="H814" s="11">
        <f ca="1">IF(Table1[[#This Row],[Category]]="Electronics",Table1[[#This Row],[Sales]]*0.6,
IF(Table1[[#This Row],[Category]]="Furniture",Table1[[#This Row],[Sales]]*0.75,
IF(Table1[[#This Row],[Category]]="Clothing",Table1[[#This Row],[Sales]]*0.65,
Table1[[#This Row],[Sales]]*0.7)))</f>
        <v>1130.25</v>
      </c>
      <c r="I814" s="11">
        <f ca="1">Table1[[#This Row],[Sales]]-H814</f>
        <v>376.75</v>
      </c>
      <c r="J814" s="2">
        <f ca="1">Table1[[#This Row],[Profit]]/Table1[[#This Row],[Sales]]</f>
        <v>0.25</v>
      </c>
      <c r="K814" t="str">
        <f ca="1">TEXT(Table1[[#This Row],[Order_Date]],"mmm")</f>
        <v>Jun</v>
      </c>
      <c r="L814">
        <f ca="1">YEAR(Table1[[#This Row],[Order_Date]])</f>
        <v>2023</v>
      </c>
    </row>
    <row r="815" spans="1:12" x14ac:dyDescent="0.3">
      <c r="A815">
        <f t="shared" si="48"/>
        <v>814</v>
      </c>
      <c r="B815" s="1">
        <f t="shared" ca="1" si="49"/>
        <v>45151</v>
      </c>
      <c r="C815" t="s">
        <v>8</v>
      </c>
      <c r="D815" t="str">
        <f t="shared" ca="1" si="50"/>
        <v>Clothing</v>
      </c>
      <c r="E815" t="s">
        <v>55</v>
      </c>
      <c r="F815" s="11">
        <v>15754</v>
      </c>
      <c r="G815">
        <f t="shared" ca="1" si="51"/>
        <v>7</v>
      </c>
      <c r="H815" s="11">
        <f ca="1">IF(Table1[[#This Row],[Category]]="Electronics",Table1[[#This Row],[Sales]]*0.6,
IF(Table1[[#This Row],[Category]]="Furniture",Table1[[#This Row],[Sales]]*0.75,
IF(Table1[[#This Row],[Category]]="Clothing",Table1[[#This Row],[Sales]]*0.65,
Table1[[#This Row],[Sales]]*0.7)))</f>
        <v>10240.1</v>
      </c>
      <c r="I815" s="11">
        <f ca="1">Table1[[#This Row],[Sales]]-H815</f>
        <v>5513.9</v>
      </c>
      <c r="J815" s="2">
        <f ca="1">Table1[[#This Row],[Profit]]/Table1[[#This Row],[Sales]]</f>
        <v>0.35</v>
      </c>
      <c r="K815" t="str">
        <f ca="1">TEXT(Table1[[#This Row],[Order_Date]],"mmm")</f>
        <v>Aug</v>
      </c>
      <c r="L815">
        <f ca="1">YEAR(Table1[[#This Row],[Order_Date]])</f>
        <v>2023</v>
      </c>
    </row>
    <row r="816" spans="1:12" x14ac:dyDescent="0.3">
      <c r="A816">
        <f t="shared" si="48"/>
        <v>815</v>
      </c>
      <c r="B816" s="1">
        <f t="shared" ca="1" si="49"/>
        <v>45131</v>
      </c>
      <c r="C816" t="s">
        <v>9</v>
      </c>
      <c r="D816" t="str">
        <f t="shared" ca="1" si="50"/>
        <v>Furniture</v>
      </c>
      <c r="E816" t="s">
        <v>42</v>
      </c>
      <c r="F816" s="11">
        <v>3746</v>
      </c>
      <c r="G816">
        <f t="shared" ca="1" si="51"/>
        <v>7</v>
      </c>
      <c r="H816" s="11">
        <f ca="1">IF(Table1[[#This Row],[Category]]="Electronics",Table1[[#This Row],[Sales]]*0.6,
IF(Table1[[#This Row],[Category]]="Furniture",Table1[[#This Row],[Sales]]*0.75,
IF(Table1[[#This Row],[Category]]="Clothing",Table1[[#This Row],[Sales]]*0.65,
Table1[[#This Row],[Sales]]*0.7)))</f>
        <v>2809.5</v>
      </c>
      <c r="I816" s="11">
        <f ca="1">Table1[[#This Row],[Sales]]-H816</f>
        <v>936.5</v>
      </c>
      <c r="J816" s="2">
        <f ca="1">Table1[[#This Row],[Profit]]/Table1[[#This Row],[Sales]]</f>
        <v>0.25</v>
      </c>
      <c r="K816" t="str">
        <f ca="1">TEXT(Table1[[#This Row],[Order_Date]],"mmm")</f>
        <v>Jul</v>
      </c>
      <c r="L816">
        <f ca="1">YEAR(Table1[[#This Row],[Order_Date]])</f>
        <v>2023</v>
      </c>
    </row>
    <row r="817" spans="1:12" x14ac:dyDescent="0.3">
      <c r="A817">
        <f t="shared" si="48"/>
        <v>816</v>
      </c>
      <c r="B817" s="1">
        <f t="shared" ca="1" si="49"/>
        <v>44945</v>
      </c>
      <c r="C817" t="s">
        <v>10</v>
      </c>
      <c r="D817" t="str">
        <f t="shared" ca="1" si="50"/>
        <v>Office Supplies</v>
      </c>
      <c r="E817" t="s">
        <v>55</v>
      </c>
      <c r="F817" s="11">
        <v>11566</v>
      </c>
      <c r="G817">
        <f t="shared" ca="1" si="51"/>
        <v>5</v>
      </c>
      <c r="H817" s="11">
        <f ca="1">IF(Table1[[#This Row],[Category]]="Electronics",Table1[[#This Row],[Sales]]*0.6,
IF(Table1[[#This Row],[Category]]="Furniture",Table1[[#This Row],[Sales]]*0.75,
IF(Table1[[#This Row],[Category]]="Clothing",Table1[[#This Row],[Sales]]*0.65,
Table1[[#This Row],[Sales]]*0.7)))</f>
        <v>8096.2</v>
      </c>
      <c r="I817" s="11">
        <f ca="1">Table1[[#This Row],[Sales]]-H817</f>
        <v>3469.8</v>
      </c>
      <c r="J817" s="2">
        <f ca="1">Table1[[#This Row],[Profit]]/Table1[[#This Row],[Sales]]</f>
        <v>0.3</v>
      </c>
      <c r="K817" t="str">
        <f ca="1">TEXT(Table1[[#This Row],[Order_Date]],"mmm")</f>
        <v>Jan</v>
      </c>
      <c r="L817">
        <f ca="1">YEAR(Table1[[#This Row],[Order_Date]])</f>
        <v>2023</v>
      </c>
    </row>
    <row r="818" spans="1:12" x14ac:dyDescent="0.3">
      <c r="A818">
        <f t="shared" si="48"/>
        <v>817</v>
      </c>
      <c r="B818" s="1">
        <f t="shared" ca="1" si="49"/>
        <v>45007</v>
      </c>
      <c r="C818" t="s">
        <v>7</v>
      </c>
      <c r="D818" t="str">
        <f t="shared" ca="1" si="50"/>
        <v>Office Supplies</v>
      </c>
      <c r="E818" t="s">
        <v>74</v>
      </c>
      <c r="F818" s="11">
        <v>13697</v>
      </c>
      <c r="G818">
        <f t="shared" ca="1" si="51"/>
        <v>7</v>
      </c>
      <c r="H818" s="11">
        <f ca="1">IF(Table1[[#This Row],[Category]]="Electronics",Table1[[#This Row],[Sales]]*0.6,
IF(Table1[[#This Row],[Category]]="Furniture",Table1[[#This Row],[Sales]]*0.75,
IF(Table1[[#This Row],[Category]]="Clothing",Table1[[#This Row],[Sales]]*0.65,
Table1[[#This Row],[Sales]]*0.7)))</f>
        <v>9587.9</v>
      </c>
      <c r="I818" s="11">
        <f ca="1">Table1[[#This Row],[Sales]]-H818</f>
        <v>4109.1000000000004</v>
      </c>
      <c r="J818" s="2">
        <f ca="1">Table1[[#This Row],[Profit]]/Table1[[#This Row],[Sales]]</f>
        <v>0.30000000000000004</v>
      </c>
      <c r="K818" t="str">
        <f ca="1">TEXT(Table1[[#This Row],[Order_Date]],"mmm")</f>
        <v>Mar</v>
      </c>
      <c r="L818">
        <f ca="1">YEAR(Table1[[#This Row],[Order_Date]])</f>
        <v>2023</v>
      </c>
    </row>
    <row r="819" spans="1:12" x14ac:dyDescent="0.3">
      <c r="A819">
        <f t="shared" si="48"/>
        <v>818</v>
      </c>
      <c r="B819" s="1">
        <f t="shared" ca="1" si="49"/>
        <v>45201</v>
      </c>
      <c r="C819" t="s">
        <v>8</v>
      </c>
      <c r="D819" t="str">
        <f t="shared" ca="1" si="50"/>
        <v>Office Supplies</v>
      </c>
      <c r="E819" t="s">
        <v>55</v>
      </c>
      <c r="F819" s="11">
        <v>13923</v>
      </c>
      <c r="G819">
        <f t="shared" ca="1" si="51"/>
        <v>8</v>
      </c>
      <c r="H819" s="11">
        <f ca="1">IF(Table1[[#This Row],[Category]]="Electronics",Table1[[#This Row],[Sales]]*0.6,
IF(Table1[[#This Row],[Category]]="Furniture",Table1[[#This Row],[Sales]]*0.75,
IF(Table1[[#This Row],[Category]]="Clothing",Table1[[#This Row],[Sales]]*0.65,
Table1[[#This Row],[Sales]]*0.7)))</f>
        <v>9746.0999999999985</v>
      </c>
      <c r="I819" s="11">
        <f ca="1">Table1[[#This Row],[Sales]]-H819</f>
        <v>4176.9000000000015</v>
      </c>
      <c r="J819" s="2">
        <f ca="1">Table1[[#This Row],[Profit]]/Table1[[#This Row],[Sales]]</f>
        <v>0.3000000000000001</v>
      </c>
      <c r="K819" t="str">
        <f ca="1">TEXT(Table1[[#This Row],[Order_Date]],"mmm")</f>
        <v>Oct</v>
      </c>
      <c r="L819">
        <f ca="1">YEAR(Table1[[#This Row],[Order_Date]])</f>
        <v>2023</v>
      </c>
    </row>
    <row r="820" spans="1:12" x14ac:dyDescent="0.3">
      <c r="A820">
        <f t="shared" si="48"/>
        <v>819</v>
      </c>
      <c r="B820" s="1">
        <f t="shared" ca="1" si="49"/>
        <v>45234</v>
      </c>
      <c r="C820" t="s">
        <v>9</v>
      </c>
      <c r="D820" t="str">
        <f t="shared" ca="1" si="50"/>
        <v>Office Supplies</v>
      </c>
      <c r="E820" t="s">
        <v>36</v>
      </c>
      <c r="F820" s="11">
        <v>13894</v>
      </c>
      <c r="G820">
        <f t="shared" ca="1" si="51"/>
        <v>8</v>
      </c>
      <c r="H820" s="11">
        <f ca="1">IF(Table1[[#This Row],[Category]]="Electronics",Table1[[#This Row],[Sales]]*0.6,
IF(Table1[[#This Row],[Category]]="Furniture",Table1[[#This Row],[Sales]]*0.75,
IF(Table1[[#This Row],[Category]]="Clothing",Table1[[#This Row],[Sales]]*0.65,
Table1[[#This Row],[Sales]]*0.7)))</f>
        <v>9725.7999999999993</v>
      </c>
      <c r="I820" s="11">
        <f ca="1">Table1[[#This Row],[Sales]]-H820</f>
        <v>4168.2000000000007</v>
      </c>
      <c r="J820" s="2">
        <f ca="1">Table1[[#This Row],[Profit]]/Table1[[#This Row],[Sales]]</f>
        <v>0.30000000000000004</v>
      </c>
      <c r="K820" t="str">
        <f ca="1">TEXT(Table1[[#This Row],[Order_Date]],"mmm")</f>
        <v>Nov</v>
      </c>
      <c r="L820">
        <f ca="1">YEAR(Table1[[#This Row],[Order_Date]])</f>
        <v>2023</v>
      </c>
    </row>
    <row r="821" spans="1:12" x14ac:dyDescent="0.3">
      <c r="A821">
        <f t="shared" si="48"/>
        <v>820</v>
      </c>
      <c r="B821" s="1">
        <f t="shared" ca="1" si="49"/>
        <v>45058</v>
      </c>
      <c r="C821" t="s">
        <v>10</v>
      </c>
      <c r="D821" t="str">
        <f t="shared" ca="1" si="50"/>
        <v>Office Supplies</v>
      </c>
      <c r="E821" t="s">
        <v>43</v>
      </c>
      <c r="F821" s="11">
        <v>18668</v>
      </c>
      <c r="G821">
        <f t="shared" ca="1" si="51"/>
        <v>9</v>
      </c>
      <c r="H821" s="11">
        <f ca="1">IF(Table1[[#This Row],[Category]]="Electronics",Table1[[#This Row],[Sales]]*0.6,
IF(Table1[[#This Row],[Category]]="Furniture",Table1[[#This Row],[Sales]]*0.75,
IF(Table1[[#This Row],[Category]]="Clothing",Table1[[#This Row],[Sales]]*0.65,
Table1[[#This Row],[Sales]]*0.7)))</f>
        <v>13067.599999999999</v>
      </c>
      <c r="I821" s="11">
        <f ca="1">Table1[[#This Row],[Sales]]-H821</f>
        <v>5600.4000000000015</v>
      </c>
      <c r="J821" s="2">
        <f ca="1">Table1[[#This Row],[Profit]]/Table1[[#This Row],[Sales]]</f>
        <v>0.3000000000000001</v>
      </c>
      <c r="K821" t="str">
        <f ca="1">TEXT(Table1[[#This Row],[Order_Date]],"mmm")</f>
        <v>May</v>
      </c>
      <c r="L821">
        <f ca="1">YEAR(Table1[[#This Row],[Order_Date]])</f>
        <v>2023</v>
      </c>
    </row>
    <row r="822" spans="1:12" x14ac:dyDescent="0.3">
      <c r="A822">
        <f t="shared" si="48"/>
        <v>821</v>
      </c>
      <c r="B822" s="1">
        <f t="shared" ca="1" si="49"/>
        <v>45003</v>
      </c>
      <c r="C822" t="s">
        <v>7</v>
      </c>
      <c r="D822" t="str">
        <f t="shared" ca="1" si="50"/>
        <v>Clothing</v>
      </c>
      <c r="E822" t="s">
        <v>41</v>
      </c>
      <c r="F822" s="11">
        <v>9176</v>
      </c>
      <c r="G822">
        <f t="shared" ca="1" si="51"/>
        <v>2</v>
      </c>
      <c r="H822" s="11">
        <f ca="1">IF(Table1[[#This Row],[Category]]="Electronics",Table1[[#This Row],[Sales]]*0.6,
IF(Table1[[#This Row],[Category]]="Furniture",Table1[[#This Row],[Sales]]*0.75,
IF(Table1[[#This Row],[Category]]="Clothing",Table1[[#This Row],[Sales]]*0.65,
Table1[[#This Row],[Sales]]*0.7)))</f>
        <v>5964.4000000000005</v>
      </c>
      <c r="I822" s="11">
        <f ca="1">Table1[[#This Row],[Sales]]-H822</f>
        <v>3211.5999999999995</v>
      </c>
      <c r="J822" s="2">
        <f ca="1">Table1[[#This Row],[Profit]]/Table1[[#This Row],[Sales]]</f>
        <v>0.34999999999999992</v>
      </c>
      <c r="K822" t="str">
        <f ca="1">TEXT(Table1[[#This Row],[Order_Date]],"mmm")</f>
        <v>Mar</v>
      </c>
      <c r="L822">
        <f ca="1">YEAR(Table1[[#This Row],[Order_Date]])</f>
        <v>2023</v>
      </c>
    </row>
    <row r="823" spans="1:12" x14ac:dyDescent="0.3">
      <c r="A823">
        <f t="shared" si="48"/>
        <v>822</v>
      </c>
      <c r="B823" s="1">
        <f t="shared" ca="1" si="49"/>
        <v>45090</v>
      </c>
      <c r="C823" t="s">
        <v>8</v>
      </c>
      <c r="D823" t="str">
        <f t="shared" ca="1" si="50"/>
        <v>Clothing</v>
      </c>
      <c r="E823" t="s">
        <v>47</v>
      </c>
      <c r="F823" s="11">
        <v>4883</v>
      </c>
      <c r="G823">
        <f t="shared" ca="1" si="51"/>
        <v>6</v>
      </c>
      <c r="H823" s="11">
        <f ca="1">IF(Table1[[#This Row],[Category]]="Electronics",Table1[[#This Row],[Sales]]*0.6,
IF(Table1[[#This Row],[Category]]="Furniture",Table1[[#This Row],[Sales]]*0.75,
IF(Table1[[#This Row],[Category]]="Clothing",Table1[[#This Row],[Sales]]*0.65,
Table1[[#This Row],[Sales]]*0.7)))</f>
        <v>3173.9500000000003</v>
      </c>
      <c r="I823" s="11">
        <f ca="1">Table1[[#This Row],[Sales]]-H823</f>
        <v>1709.0499999999997</v>
      </c>
      <c r="J823" s="2">
        <f ca="1">Table1[[#This Row],[Profit]]/Table1[[#This Row],[Sales]]</f>
        <v>0.34999999999999992</v>
      </c>
      <c r="K823" t="str">
        <f ca="1">TEXT(Table1[[#This Row],[Order_Date]],"mmm")</f>
        <v>Jun</v>
      </c>
      <c r="L823">
        <f ca="1">YEAR(Table1[[#This Row],[Order_Date]])</f>
        <v>2023</v>
      </c>
    </row>
    <row r="824" spans="1:12" x14ac:dyDescent="0.3">
      <c r="A824">
        <f t="shared" si="48"/>
        <v>823</v>
      </c>
      <c r="B824" s="1">
        <f t="shared" ca="1" si="49"/>
        <v>45009</v>
      </c>
      <c r="C824" t="s">
        <v>9</v>
      </c>
      <c r="D824" t="str">
        <f t="shared" ca="1" si="50"/>
        <v>Clothing</v>
      </c>
      <c r="E824" t="s">
        <v>81</v>
      </c>
      <c r="F824" s="11">
        <v>9886</v>
      </c>
      <c r="G824">
        <f t="shared" ca="1" si="51"/>
        <v>1</v>
      </c>
      <c r="H824" s="11">
        <f ca="1">IF(Table1[[#This Row],[Category]]="Electronics",Table1[[#This Row],[Sales]]*0.6,
IF(Table1[[#This Row],[Category]]="Furniture",Table1[[#This Row],[Sales]]*0.75,
IF(Table1[[#This Row],[Category]]="Clothing",Table1[[#This Row],[Sales]]*0.65,
Table1[[#This Row],[Sales]]*0.7)))</f>
        <v>6425.9000000000005</v>
      </c>
      <c r="I824" s="11">
        <f ca="1">Table1[[#This Row],[Sales]]-H824</f>
        <v>3460.0999999999995</v>
      </c>
      <c r="J824" s="2">
        <f ca="1">Table1[[#This Row],[Profit]]/Table1[[#This Row],[Sales]]</f>
        <v>0.34999999999999992</v>
      </c>
      <c r="K824" t="str">
        <f ca="1">TEXT(Table1[[#This Row],[Order_Date]],"mmm")</f>
        <v>Mar</v>
      </c>
      <c r="L824">
        <f ca="1">YEAR(Table1[[#This Row],[Order_Date]])</f>
        <v>2023</v>
      </c>
    </row>
    <row r="825" spans="1:12" x14ac:dyDescent="0.3">
      <c r="A825">
        <f t="shared" si="48"/>
        <v>824</v>
      </c>
      <c r="B825" s="1">
        <f t="shared" ca="1" si="49"/>
        <v>45205</v>
      </c>
      <c r="C825" t="s">
        <v>10</v>
      </c>
      <c r="D825" t="str">
        <f t="shared" ca="1" si="50"/>
        <v>Electronics</v>
      </c>
      <c r="E825" t="s">
        <v>49</v>
      </c>
      <c r="F825" s="11">
        <v>2556</v>
      </c>
      <c r="G825">
        <f t="shared" ca="1" si="51"/>
        <v>1</v>
      </c>
      <c r="H825" s="11">
        <f ca="1">IF(Table1[[#This Row],[Category]]="Electronics",Table1[[#This Row],[Sales]]*0.6,
IF(Table1[[#This Row],[Category]]="Furniture",Table1[[#This Row],[Sales]]*0.75,
IF(Table1[[#This Row],[Category]]="Clothing",Table1[[#This Row],[Sales]]*0.65,
Table1[[#This Row],[Sales]]*0.7)))</f>
        <v>1533.6</v>
      </c>
      <c r="I825" s="11">
        <f ca="1">Table1[[#This Row],[Sales]]-H825</f>
        <v>1022.4000000000001</v>
      </c>
      <c r="J825" s="2">
        <f ca="1">Table1[[#This Row],[Profit]]/Table1[[#This Row],[Sales]]</f>
        <v>0.4</v>
      </c>
      <c r="K825" t="str">
        <f ca="1">TEXT(Table1[[#This Row],[Order_Date]],"mmm")</f>
        <v>Oct</v>
      </c>
      <c r="L825">
        <f ca="1">YEAR(Table1[[#This Row],[Order_Date]])</f>
        <v>2023</v>
      </c>
    </row>
    <row r="826" spans="1:12" x14ac:dyDescent="0.3">
      <c r="A826">
        <f t="shared" si="48"/>
        <v>825</v>
      </c>
      <c r="B826" s="1">
        <f t="shared" ca="1" si="49"/>
        <v>45288</v>
      </c>
      <c r="C826" t="s">
        <v>7</v>
      </c>
      <c r="D826" t="str">
        <f t="shared" ca="1" si="50"/>
        <v>Office Supplies</v>
      </c>
      <c r="E826" t="s">
        <v>62</v>
      </c>
      <c r="F826" s="11">
        <v>11354</v>
      </c>
      <c r="G826">
        <f t="shared" ca="1" si="51"/>
        <v>8</v>
      </c>
      <c r="H826" s="11">
        <f ca="1">IF(Table1[[#This Row],[Category]]="Electronics",Table1[[#This Row],[Sales]]*0.6,
IF(Table1[[#This Row],[Category]]="Furniture",Table1[[#This Row],[Sales]]*0.75,
IF(Table1[[#This Row],[Category]]="Clothing",Table1[[#This Row],[Sales]]*0.65,
Table1[[#This Row],[Sales]]*0.7)))</f>
        <v>7947.7999999999993</v>
      </c>
      <c r="I826" s="11">
        <f ca="1">Table1[[#This Row],[Sales]]-H826</f>
        <v>3406.2000000000007</v>
      </c>
      <c r="J826" s="2">
        <f ca="1">Table1[[#This Row],[Profit]]/Table1[[#This Row],[Sales]]</f>
        <v>0.30000000000000004</v>
      </c>
      <c r="K826" t="str">
        <f ca="1">TEXT(Table1[[#This Row],[Order_Date]],"mmm")</f>
        <v>Dec</v>
      </c>
      <c r="L826">
        <f ca="1">YEAR(Table1[[#This Row],[Order_Date]])</f>
        <v>2023</v>
      </c>
    </row>
    <row r="827" spans="1:12" x14ac:dyDescent="0.3">
      <c r="A827">
        <f t="shared" si="48"/>
        <v>826</v>
      </c>
      <c r="B827" s="1">
        <f t="shared" ca="1" si="49"/>
        <v>45190</v>
      </c>
      <c r="C827" t="s">
        <v>8</v>
      </c>
      <c r="D827" t="str">
        <f t="shared" ca="1" si="50"/>
        <v>Furniture</v>
      </c>
      <c r="E827" t="s">
        <v>49</v>
      </c>
      <c r="F827" s="11">
        <v>1188</v>
      </c>
      <c r="G827">
        <f t="shared" ca="1" si="51"/>
        <v>10</v>
      </c>
      <c r="H827" s="11">
        <f ca="1">IF(Table1[[#This Row],[Category]]="Electronics",Table1[[#This Row],[Sales]]*0.6,
IF(Table1[[#This Row],[Category]]="Furniture",Table1[[#This Row],[Sales]]*0.75,
IF(Table1[[#This Row],[Category]]="Clothing",Table1[[#This Row],[Sales]]*0.65,
Table1[[#This Row],[Sales]]*0.7)))</f>
        <v>891</v>
      </c>
      <c r="I827" s="11">
        <f ca="1">Table1[[#This Row],[Sales]]-H827</f>
        <v>297</v>
      </c>
      <c r="J827" s="2">
        <f ca="1">Table1[[#This Row],[Profit]]/Table1[[#This Row],[Sales]]</f>
        <v>0.25</v>
      </c>
      <c r="K827" t="str">
        <f ca="1">TEXT(Table1[[#This Row],[Order_Date]],"mmm")</f>
        <v>Sep</v>
      </c>
      <c r="L827">
        <f ca="1">YEAR(Table1[[#This Row],[Order_Date]])</f>
        <v>2023</v>
      </c>
    </row>
    <row r="828" spans="1:12" x14ac:dyDescent="0.3">
      <c r="A828">
        <f t="shared" si="48"/>
        <v>827</v>
      </c>
      <c r="B828" s="1">
        <f t="shared" ca="1" si="49"/>
        <v>45205</v>
      </c>
      <c r="C828" t="s">
        <v>9</v>
      </c>
      <c r="D828" t="str">
        <f t="shared" ca="1" si="50"/>
        <v>Electronics</v>
      </c>
      <c r="E828" t="s">
        <v>73</v>
      </c>
      <c r="F828" s="11">
        <v>4639</v>
      </c>
      <c r="G828">
        <f t="shared" ca="1" si="51"/>
        <v>5</v>
      </c>
      <c r="H828" s="11">
        <f ca="1">IF(Table1[[#This Row],[Category]]="Electronics",Table1[[#This Row],[Sales]]*0.6,
IF(Table1[[#This Row],[Category]]="Furniture",Table1[[#This Row],[Sales]]*0.75,
IF(Table1[[#This Row],[Category]]="Clothing",Table1[[#This Row],[Sales]]*0.65,
Table1[[#This Row],[Sales]]*0.7)))</f>
        <v>2783.4</v>
      </c>
      <c r="I828" s="11">
        <f ca="1">Table1[[#This Row],[Sales]]-H828</f>
        <v>1855.6</v>
      </c>
      <c r="J828" s="2">
        <f ca="1">Table1[[#This Row],[Profit]]/Table1[[#This Row],[Sales]]</f>
        <v>0.39999999999999997</v>
      </c>
      <c r="K828" t="str">
        <f ca="1">TEXT(Table1[[#This Row],[Order_Date]],"mmm")</f>
        <v>Oct</v>
      </c>
      <c r="L828">
        <f ca="1">YEAR(Table1[[#This Row],[Order_Date]])</f>
        <v>2023</v>
      </c>
    </row>
    <row r="829" spans="1:12" x14ac:dyDescent="0.3">
      <c r="A829">
        <f t="shared" si="48"/>
        <v>828</v>
      </c>
      <c r="B829" s="1">
        <f t="shared" ca="1" si="49"/>
        <v>45105</v>
      </c>
      <c r="C829" t="s">
        <v>10</v>
      </c>
      <c r="D829" t="str">
        <f t="shared" ca="1" si="50"/>
        <v>Furniture</v>
      </c>
      <c r="E829" t="s">
        <v>53</v>
      </c>
      <c r="F829" s="11">
        <v>5478</v>
      </c>
      <c r="G829">
        <f t="shared" ca="1" si="51"/>
        <v>8</v>
      </c>
      <c r="H829" s="11">
        <f ca="1">IF(Table1[[#This Row],[Category]]="Electronics",Table1[[#This Row],[Sales]]*0.6,
IF(Table1[[#This Row],[Category]]="Furniture",Table1[[#This Row],[Sales]]*0.75,
IF(Table1[[#This Row],[Category]]="Clothing",Table1[[#This Row],[Sales]]*0.65,
Table1[[#This Row],[Sales]]*0.7)))</f>
        <v>4108.5</v>
      </c>
      <c r="I829" s="11">
        <f ca="1">Table1[[#This Row],[Sales]]-H829</f>
        <v>1369.5</v>
      </c>
      <c r="J829" s="2">
        <f ca="1">Table1[[#This Row],[Profit]]/Table1[[#This Row],[Sales]]</f>
        <v>0.25</v>
      </c>
      <c r="K829" t="str">
        <f ca="1">TEXT(Table1[[#This Row],[Order_Date]],"mmm")</f>
        <v>Jun</v>
      </c>
      <c r="L829">
        <f ca="1">YEAR(Table1[[#This Row],[Order_Date]])</f>
        <v>2023</v>
      </c>
    </row>
    <row r="830" spans="1:12" x14ac:dyDescent="0.3">
      <c r="A830">
        <f t="shared" si="48"/>
        <v>829</v>
      </c>
      <c r="B830" s="1">
        <f t="shared" ca="1" si="49"/>
        <v>45130</v>
      </c>
      <c r="C830" t="s">
        <v>7</v>
      </c>
      <c r="D830" t="str">
        <f t="shared" ca="1" si="50"/>
        <v>Electronics</v>
      </c>
      <c r="E830" t="s">
        <v>46</v>
      </c>
      <c r="F830" s="11">
        <v>2898</v>
      </c>
      <c r="G830">
        <f t="shared" ca="1" si="51"/>
        <v>10</v>
      </c>
      <c r="H830" s="11">
        <f ca="1">IF(Table1[[#This Row],[Category]]="Electronics",Table1[[#This Row],[Sales]]*0.6,
IF(Table1[[#This Row],[Category]]="Furniture",Table1[[#This Row],[Sales]]*0.75,
IF(Table1[[#This Row],[Category]]="Clothing",Table1[[#This Row],[Sales]]*0.65,
Table1[[#This Row],[Sales]]*0.7)))</f>
        <v>1738.8</v>
      </c>
      <c r="I830" s="11">
        <f ca="1">Table1[[#This Row],[Sales]]-H830</f>
        <v>1159.2</v>
      </c>
      <c r="J830" s="2">
        <f ca="1">Table1[[#This Row],[Profit]]/Table1[[#This Row],[Sales]]</f>
        <v>0.4</v>
      </c>
      <c r="K830" t="str">
        <f ca="1">TEXT(Table1[[#This Row],[Order_Date]],"mmm")</f>
        <v>Jul</v>
      </c>
      <c r="L830">
        <f ca="1">YEAR(Table1[[#This Row],[Order_Date]])</f>
        <v>2023</v>
      </c>
    </row>
    <row r="831" spans="1:12" x14ac:dyDescent="0.3">
      <c r="A831">
        <f t="shared" si="48"/>
        <v>830</v>
      </c>
      <c r="B831" s="1">
        <f t="shared" ca="1" si="49"/>
        <v>45134</v>
      </c>
      <c r="C831" t="s">
        <v>8</v>
      </c>
      <c r="D831" t="str">
        <f t="shared" ca="1" si="50"/>
        <v>Office Supplies</v>
      </c>
      <c r="E831" t="s">
        <v>82</v>
      </c>
      <c r="F831" s="11">
        <v>9417</v>
      </c>
      <c r="G831">
        <f t="shared" ca="1" si="51"/>
        <v>1</v>
      </c>
      <c r="H831" s="11">
        <f ca="1">IF(Table1[[#This Row],[Category]]="Electronics",Table1[[#This Row],[Sales]]*0.6,
IF(Table1[[#This Row],[Category]]="Furniture",Table1[[#This Row],[Sales]]*0.75,
IF(Table1[[#This Row],[Category]]="Clothing",Table1[[#This Row],[Sales]]*0.65,
Table1[[#This Row],[Sales]]*0.7)))</f>
        <v>6591.9</v>
      </c>
      <c r="I831" s="11">
        <f ca="1">Table1[[#This Row],[Sales]]-H831</f>
        <v>2825.1000000000004</v>
      </c>
      <c r="J831" s="2">
        <f ca="1">Table1[[#This Row],[Profit]]/Table1[[#This Row],[Sales]]</f>
        <v>0.30000000000000004</v>
      </c>
      <c r="K831" t="str">
        <f ca="1">TEXT(Table1[[#This Row],[Order_Date]],"mmm")</f>
        <v>Jul</v>
      </c>
      <c r="L831">
        <f ca="1">YEAR(Table1[[#This Row],[Order_Date]])</f>
        <v>2023</v>
      </c>
    </row>
    <row r="832" spans="1:12" x14ac:dyDescent="0.3">
      <c r="A832">
        <f t="shared" si="48"/>
        <v>831</v>
      </c>
      <c r="B832" s="1">
        <f t="shared" ca="1" si="49"/>
        <v>45088</v>
      </c>
      <c r="C832" t="s">
        <v>9</v>
      </c>
      <c r="D832" t="str">
        <f t="shared" ca="1" si="50"/>
        <v>Electronics</v>
      </c>
      <c r="E832" t="s">
        <v>57</v>
      </c>
      <c r="F832" s="11">
        <v>17915</v>
      </c>
      <c r="G832">
        <f t="shared" ca="1" si="51"/>
        <v>1</v>
      </c>
      <c r="H832" s="11">
        <f ca="1">IF(Table1[[#This Row],[Category]]="Electronics",Table1[[#This Row],[Sales]]*0.6,
IF(Table1[[#This Row],[Category]]="Furniture",Table1[[#This Row],[Sales]]*0.75,
IF(Table1[[#This Row],[Category]]="Clothing",Table1[[#This Row],[Sales]]*0.65,
Table1[[#This Row],[Sales]]*0.7)))</f>
        <v>10749</v>
      </c>
      <c r="I832" s="11">
        <f ca="1">Table1[[#This Row],[Sales]]-H832</f>
        <v>7166</v>
      </c>
      <c r="J832" s="2">
        <f ca="1">Table1[[#This Row],[Profit]]/Table1[[#This Row],[Sales]]</f>
        <v>0.4</v>
      </c>
      <c r="K832" t="str">
        <f ca="1">TEXT(Table1[[#This Row],[Order_Date]],"mmm")</f>
        <v>Jun</v>
      </c>
      <c r="L832">
        <f ca="1">YEAR(Table1[[#This Row],[Order_Date]])</f>
        <v>2023</v>
      </c>
    </row>
    <row r="833" spans="1:12" x14ac:dyDescent="0.3">
      <c r="A833">
        <f t="shared" si="48"/>
        <v>832</v>
      </c>
      <c r="B833" s="1">
        <f t="shared" ca="1" si="49"/>
        <v>45116</v>
      </c>
      <c r="C833" t="s">
        <v>10</v>
      </c>
      <c r="D833" t="str">
        <f t="shared" ca="1" si="50"/>
        <v>Office Supplies</v>
      </c>
      <c r="E833" t="s">
        <v>70</v>
      </c>
      <c r="F833" s="11">
        <v>12808</v>
      </c>
      <c r="G833">
        <f t="shared" ca="1" si="51"/>
        <v>6</v>
      </c>
      <c r="H833" s="11">
        <f ca="1">IF(Table1[[#This Row],[Category]]="Electronics",Table1[[#This Row],[Sales]]*0.6,
IF(Table1[[#This Row],[Category]]="Furniture",Table1[[#This Row],[Sales]]*0.75,
IF(Table1[[#This Row],[Category]]="Clothing",Table1[[#This Row],[Sales]]*0.65,
Table1[[#This Row],[Sales]]*0.7)))</f>
        <v>8965.5999999999985</v>
      </c>
      <c r="I833" s="11">
        <f ca="1">Table1[[#This Row],[Sales]]-H833</f>
        <v>3842.4000000000015</v>
      </c>
      <c r="J833" s="2">
        <f ca="1">Table1[[#This Row],[Profit]]/Table1[[#This Row],[Sales]]</f>
        <v>0.3000000000000001</v>
      </c>
      <c r="K833" t="str">
        <f ca="1">TEXT(Table1[[#This Row],[Order_Date]],"mmm")</f>
        <v>Jul</v>
      </c>
      <c r="L833">
        <f ca="1">YEAR(Table1[[#This Row],[Order_Date]])</f>
        <v>2023</v>
      </c>
    </row>
    <row r="834" spans="1:12" x14ac:dyDescent="0.3">
      <c r="A834">
        <f t="shared" si="48"/>
        <v>833</v>
      </c>
      <c r="B834" s="1">
        <f t="shared" ca="1" si="49"/>
        <v>45213</v>
      </c>
      <c r="C834" t="s">
        <v>7</v>
      </c>
      <c r="D834" t="str">
        <f t="shared" ca="1" si="50"/>
        <v>Clothing</v>
      </c>
      <c r="E834" t="s">
        <v>56</v>
      </c>
      <c r="F834" s="11">
        <v>17188</v>
      </c>
      <c r="G834">
        <f t="shared" ca="1" si="51"/>
        <v>7</v>
      </c>
      <c r="H834" s="11">
        <f ca="1">IF(Table1[[#This Row],[Category]]="Electronics",Table1[[#This Row],[Sales]]*0.6,
IF(Table1[[#This Row],[Category]]="Furniture",Table1[[#This Row],[Sales]]*0.75,
IF(Table1[[#This Row],[Category]]="Clothing",Table1[[#This Row],[Sales]]*0.65,
Table1[[#This Row],[Sales]]*0.7)))</f>
        <v>11172.2</v>
      </c>
      <c r="I834" s="11">
        <f ca="1">Table1[[#This Row],[Sales]]-H834</f>
        <v>6015.7999999999993</v>
      </c>
      <c r="J834" s="2">
        <f ca="1">Table1[[#This Row],[Profit]]/Table1[[#This Row],[Sales]]</f>
        <v>0.35</v>
      </c>
      <c r="K834" t="str">
        <f ca="1">TEXT(Table1[[#This Row],[Order_Date]],"mmm")</f>
        <v>Oct</v>
      </c>
      <c r="L834">
        <f ca="1">YEAR(Table1[[#This Row],[Order_Date]])</f>
        <v>2023</v>
      </c>
    </row>
    <row r="835" spans="1:12" x14ac:dyDescent="0.3">
      <c r="A835">
        <f t="shared" ref="A835:A898" si="52">ROW()-1</f>
        <v>834</v>
      </c>
      <c r="B835" s="1">
        <f t="shared" ref="B835:B898" ca="1" si="53">DATE(2023, RANDBETWEEN(1,12), RANDBETWEEN(1,28))</f>
        <v>45267</v>
      </c>
      <c r="C835" t="s">
        <v>8</v>
      </c>
      <c r="D835" t="str">
        <f t="shared" ref="D835:D898" ca="1" si="54">CHOOSE(RANDBETWEEN(1,4),"Electronics","Furniture","Clothing","Office Supplies")</f>
        <v>Clothing</v>
      </c>
      <c r="E835" t="s">
        <v>67</v>
      </c>
      <c r="F835" s="11">
        <v>1366</v>
      </c>
      <c r="G835">
        <f t="shared" ref="G835:G898" ca="1" si="55">RANDBETWEEN(1,10)</f>
        <v>1</v>
      </c>
      <c r="H835" s="11">
        <f ca="1">IF(Table1[[#This Row],[Category]]="Electronics",Table1[[#This Row],[Sales]]*0.6,
IF(Table1[[#This Row],[Category]]="Furniture",Table1[[#This Row],[Sales]]*0.75,
IF(Table1[[#This Row],[Category]]="Clothing",Table1[[#This Row],[Sales]]*0.65,
Table1[[#This Row],[Sales]]*0.7)))</f>
        <v>887.9</v>
      </c>
      <c r="I835" s="11">
        <f ca="1">Table1[[#This Row],[Sales]]-H835</f>
        <v>478.1</v>
      </c>
      <c r="J835" s="2">
        <f ca="1">Table1[[#This Row],[Profit]]/Table1[[#This Row],[Sales]]</f>
        <v>0.35000000000000003</v>
      </c>
      <c r="K835" t="str">
        <f ca="1">TEXT(Table1[[#This Row],[Order_Date]],"mmm")</f>
        <v>Dec</v>
      </c>
      <c r="L835">
        <f ca="1">YEAR(Table1[[#This Row],[Order_Date]])</f>
        <v>2023</v>
      </c>
    </row>
    <row r="836" spans="1:12" x14ac:dyDescent="0.3">
      <c r="A836">
        <f t="shared" si="52"/>
        <v>835</v>
      </c>
      <c r="B836" s="1">
        <f t="shared" ca="1" si="53"/>
        <v>45190</v>
      </c>
      <c r="C836" t="s">
        <v>9</v>
      </c>
      <c r="D836" t="str">
        <f t="shared" ca="1" si="54"/>
        <v>Electronics</v>
      </c>
      <c r="E836" t="s">
        <v>47</v>
      </c>
      <c r="F836" s="11">
        <v>7789</v>
      </c>
      <c r="G836">
        <f t="shared" ca="1" si="55"/>
        <v>3</v>
      </c>
      <c r="H836" s="11">
        <f ca="1">IF(Table1[[#This Row],[Category]]="Electronics",Table1[[#This Row],[Sales]]*0.6,
IF(Table1[[#This Row],[Category]]="Furniture",Table1[[#This Row],[Sales]]*0.75,
IF(Table1[[#This Row],[Category]]="Clothing",Table1[[#This Row],[Sales]]*0.65,
Table1[[#This Row],[Sales]]*0.7)))</f>
        <v>4673.3999999999996</v>
      </c>
      <c r="I836" s="11">
        <f ca="1">Table1[[#This Row],[Sales]]-H836</f>
        <v>3115.6000000000004</v>
      </c>
      <c r="J836" s="2">
        <f ca="1">Table1[[#This Row],[Profit]]/Table1[[#This Row],[Sales]]</f>
        <v>0.4</v>
      </c>
      <c r="K836" t="str">
        <f ca="1">TEXT(Table1[[#This Row],[Order_Date]],"mmm")</f>
        <v>Sep</v>
      </c>
      <c r="L836">
        <f ca="1">YEAR(Table1[[#This Row],[Order_Date]])</f>
        <v>2023</v>
      </c>
    </row>
    <row r="837" spans="1:12" x14ac:dyDescent="0.3">
      <c r="A837">
        <f t="shared" si="52"/>
        <v>836</v>
      </c>
      <c r="B837" s="1">
        <f t="shared" ca="1" si="53"/>
        <v>45143</v>
      </c>
      <c r="C837" t="s">
        <v>10</v>
      </c>
      <c r="D837" t="str">
        <f t="shared" ca="1" si="54"/>
        <v>Clothing</v>
      </c>
      <c r="E837" t="s">
        <v>53</v>
      </c>
      <c r="F837" s="11">
        <v>6644</v>
      </c>
      <c r="G837">
        <f t="shared" ca="1" si="55"/>
        <v>2</v>
      </c>
      <c r="H837" s="11">
        <f ca="1">IF(Table1[[#This Row],[Category]]="Electronics",Table1[[#This Row],[Sales]]*0.6,
IF(Table1[[#This Row],[Category]]="Furniture",Table1[[#This Row],[Sales]]*0.75,
IF(Table1[[#This Row],[Category]]="Clothing",Table1[[#This Row],[Sales]]*0.65,
Table1[[#This Row],[Sales]]*0.7)))</f>
        <v>4318.6000000000004</v>
      </c>
      <c r="I837" s="11">
        <f ca="1">Table1[[#This Row],[Sales]]-H837</f>
        <v>2325.3999999999996</v>
      </c>
      <c r="J837" s="2">
        <f ca="1">Table1[[#This Row],[Profit]]/Table1[[#This Row],[Sales]]</f>
        <v>0.34999999999999992</v>
      </c>
      <c r="K837" t="str">
        <f ca="1">TEXT(Table1[[#This Row],[Order_Date]],"mmm")</f>
        <v>Aug</v>
      </c>
      <c r="L837">
        <f ca="1">YEAR(Table1[[#This Row],[Order_Date]])</f>
        <v>2023</v>
      </c>
    </row>
    <row r="838" spans="1:12" x14ac:dyDescent="0.3">
      <c r="A838">
        <f t="shared" si="52"/>
        <v>837</v>
      </c>
      <c r="B838" s="1">
        <f t="shared" ca="1" si="53"/>
        <v>45241</v>
      </c>
      <c r="C838" t="s">
        <v>7</v>
      </c>
      <c r="D838" t="str">
        <f t="shared" ca="1" si="54"/>
        <v>Office Supplies</v>
      </c>
      <c r="E838" t="s">
        <v>63</v>
      </c>
      <c r="F838" s="11">
        <v>7713</v>
      </c>
      <c r="G838">
        <f t="shared" ca="1" si="55"/>
        <v>10</v>
      </c>
      <c r="H838" s="11">
        <f ca="1">IF(Table1[[#This Row],[Category]]="Electronics",Table1[[#This Row],[Sales]]*0.6,
IF(Table1[[#This Row],[Category]]="Furniture",Table1[[#This Row],[Sales]]*0.75,
IF(Table1[[#This Row],[Category]]="Clothing",Table1[[#This Row],[Sales]]*0.65,
Table1[[#This Row],[Sales]]*0.7)))</f>
        <v>5399.0999999999995</v>
      </c>
      <c r="I838" s="11">
        <f ca="1">Table1[[#This Row],[Sales]]-H838</f>
        <v>2313.9000000000005</v>
      </c>
      <c r="J838" s="2">
        <f ca="1">Table1[[#This Row],[Profit]]/Table1[[#This Row],[Sales]]</f>
        <v>0.30000000000000004</v>
      </c>
      <c r="K838" t="str">
        <f ca="1">TEXT(Table1[[#This Row],[Order_Date]],"mmm")</f>
        <v>Nov</v>
      </c>
      <c r="L838">
        <f ca="1">YEAR(Table1[[#This Row],[Order_Date]])</f>
        <v>2023</v>
      </c>
    </row>
    <row r="839" spans="1:12" x14ac:dyDescent="0.3">
      <c r="A839">
        <f t="shared" si="52"/>
        <v>838</v>
      </c>
      <c r="B839" s="1">
        <f t="shared" ca="1" si="53"/>
        <v>45215</v>
      </c>
      <c r="C839" t="s">
        <v>8</v>
      </c>
      <c r="D839" t="str">
        <f t="shared" ca="1" si="54"/>
        <v>Clothing</v>
      </c>
      <c r="E839" t="s">
        <v>51</v>
      </c>
      <c r="F839" s="11">
        <v>10680</v>
      </c>
      <c r="G839">
        <f t="shared" ca="1" si="55"/>
        <v>9</v>
      </c>
      <c r="H839" s="11">
        <f ca="1">IF(Table1[[#This Row],[Category]]="Electronics",Table1[[#This Row],[Sales]]*0.6,
IF(Table1[[#This Row],[Category]]="Furniture",Table1[[#This Row],[Sales]]*0.75,
IF(Table1[[#This Row],[Category]]="Clothing",Table1[[#This Row],[Sales]]*0.65,
Table1[[#This Row],[Sales]]*0.7)))</f>
        <v>6942</v>
      </c>
      <c r="I839" s="11">
        <f ca="1">Table1[[#This Row],[Sales]]-H839</f>
        <v>3738</v>
      </c>
      <c r="J839" s="2">
        <f ca="1">Table1[[#This Row],[Profit]]/Table1[[#This Row],[Sales]]</f>
        <v>0.35</v>
      </c>
      <c r="K839" t="str">
        <f ca="1">TEXT(Table1[[#This Row],[Order_Date]],"mmm")</f>
        <v>Oct</v>
      </c>
      <c r="L839">
        <f ca="1">YEAR(Table1[[#This Row],[Order_Date]])</f>
        <v>2023</v>
      </c>
    </row>
    <row r="840" spans="1:12" x14ac:dyDescent="0.3">
      <c r="A840">
        <f t="shared" si="52"/>
        <v>839</v>
      </c>
      <c r="B840" s="1">
        <f t="shared" ca="1" si="53"/>
        <v>45051</v>
      </c>
      <c r="C840" t="s">
        <v>9</v>
      </c>
      <c r="D840" t="str">
        <f t="shared" ca="1" si="54"/>
        <v>Clothing</v>
      </c>
      <c r="E840" t="s">
        <v>57</v>
      </c>
      <c r="F840" s="11">
        <v>6580</v>
      </c>
      <c r="G840">
        <f t="shared" ca="1" si="55"/>
        <v>4</v>
      </c>
      <c r="H840" s="11">
        <f ca="1">IF(Table1[[#This Row],[Category]]="Electronics",Table1[[#This Row],[Sales]]*0.6,
IF(Table1[[#This Row],[Category]]="Furniture",Table1[[#This Row],[Sales]]*0.75,
IF(Table1[[#This Row],[Category]]="Clothing",Table1[[#This Row],[Sales]]*0.65,
Table1[[#This Row],[Sales]]*0.7)))</f>
        <v>4277</v>
      </c>
      <c r="I840" s="11">
        <f ca="1">Table1[[#This Row],[Sales]]-H840</f>
        <v>2303</v>
      </c>
      <c r="J840" s="2">
        <f ca="1">Table1[[#This Row],[Profit]]/Table1[[#This Row],[Sales]]</f>
        <v>0.35</v>
      </c>
      <c r="K840" t="str">
        <f ca="1">TEXT(Table1[[#This Row],[Order_Date]],"mmm")</f>
        <v>May</v>
      </c>
      <c r="L840">
        <f ca="1">YEAR(Table1[[#This Row],[Order_Date]])</f>
        <v>2023</v>
      </c>
    </row>
    <row r="841" spans="1:12" x14ac:dyDescent="0.3">
      <c r="A841">
        <f t="shared" si="52"/>
        <v>840</v>
      </c>
      <c r="B841" s="1">
        <f t="shared" ca="1" si="53"/>
        <v>44975</v>
      </c>
      <c r="C841" t="s">
        <v>10</v>
      </c>
      <c r="D841" t="str">
        <f t="shared" ca="1" si="54"/>
        <v>Clothing</v>
      </c>
      <c r="E841" t="s">
        <v>72</v>
      </c>
      <c r="F841" s="11">
        <v>1587</v>
      </c>
      <c r="G841">
        <f t="shared" ca="1" si="55"/>
        <v>10</v>
      </c>
      <c r="H841" s="11">
        <f ca="1">IF(Table1[[#This Row],[Category]]="Electronics",Table1[[#This Row],[Sales]]*0.6,
IF(Table1[[#This Row],[Category]]="Furniture",Table1[[#This Row],[Sales]]*0.75,
IF(Table1[[#This Row],[Category]]="Clothing",Table1[[#This Row],[Sales]]*0.65,
Table1[[#This Row],[Sales]]*0.7)))</f>
        <v>1031.55</v>
      </c>
      <c r="I841" s="11">
        <f ca="1">Table1[[#This Row],[Sales]]-H841</f>
        <v>555.45000000000005</v>
      </c>
      <c r="J841" s="2">
        <f ca="1">Table1[[#This Row],[Profit]]/Table1[[#This Row],[Sales]]</f>
        <v>0.35000000000000003</v>
      </c>
      <c r="K841" t="str">
        <f ca="1">TEXT(Table1[[#This Row],[Order_Date]],"mmm")</f>
        <v>Feb</v>
      </c>
      <c r="L841">
        <f ca="1">YEAR(Table1[[#This Row],[Order_Date]])</f>
        <v>2023</v>
      </c>
    </row>
    <row r="842" spans="1:12" x14ac:dyDescent="0.3">
      <c r="A842">
        <f t="shared" si="52"/>
        <v>841</v>
      </c>
      <c r="B842" s="1">
        <f t="shared" ca="1" si="53"/>
        <v>44936</v>
      </c>
      <c r="C842" t="s">
        <v>7</v>
      </c>
      <c r="D842" t="str">
        <f t="shared" ca="1" si="54"/>
        <v>Clothing</v>
      </c>
      <c r="E842" t="s">
        <v>38</v>
      </c>
      <c r="F842" s="11">
        <v>10218</v>
      </c>
      <c r="G842">
        <f t="shared" ca="1" si="55"/>
        <v>10</v>
      </c>
      <c r="H842" s="11">
        <f ca="1">IF(Table1[[#This Row],[Category]]="Electronics",Table1[[#This Row],[Sales]]*0.6,
IF(Table1[[#This Row],[Category]]="Furniture",Table1[[#This Row],[Sales]]*0.75,
IF(Table1[[#This Row],[Category]]="Clothing",Table1[[#This Row],[Sales]]*0.65,
Table1[[#This Row],[Sales]]*0.7)))</f>
        <v>6641.7</v>
      </c>
      <c r="I842" s="11">
        <f ca="1">Table1[[#This Row],[Sales]]-H842</f>
        <v>3576.3</v>
      </c>
      <c r="J842" s="2">
        <f ca="1">Table1[[#This Row],[Profit]]/Table1[[#This Row],[Sales]]</f>
        <v>0.35000000000000003</v>
      </c>
      <c r="K842" t="str">
        <f ca="1">TEXT(Table1[[#This Row],[Order_Date]],"mmm")</f>
        <v>Jan</v>
      </c>
      <c r="L842">
        <f ca="1">YEAR(Table1[[#This Row],[Order_Date]])</f>
        <v>2023</v>
      </c>
    </row>
    <row r="843" spans="1:12" x14ac:dyDescent="0.3">
      <c r="A843">
        <f t="shared" si="52"/>
        <v>842</v>
      </c>
      <c r="B843" s="1">
        <f t="shared" ca="1" si="53"/>
        <v>44989</v>
      </c>
      <c r="C843" t="s">
        <v>8</v>
      </c>
      <c r="D843" t="str">
        <f t="shared" ca="1" si="54"/>
        <v>Electronics</v>
      </c>
      <c r="E843" t="s">
        <v>57</v>
      </c>
      <c r="F843" s="11">
        <v>14560</v>
      </c>
      <c r="G843">
        <f t="shared" ca="1" si="55"/>
        <v>4</v>
      </c>
      <c r="H843" s="11">
        <f ca="1">IF(Table1[[#This Row],[Category]]="Electronics",Table1[[#This Row],[Sales]]*0.6,
IF(Table1[[#This Row],[Category]]="Furniture",Table1[[#This Row],[Sales]]*0.75,
IF(Table1[[#This Row],[Category]]="Clothing",Table1[[#This Row],[Sales]]*0.65,
Table1[[#This Row],[Sales]]*0.7)))</f>
        <v>8736</v>
      </c>
      <c r="I843" s="11">
        <f ca="1">Table1[[#This Row],[Sales]]-H843</f>
        <v>5824</v>
      </c>
      <c r="J843" s="2">
        <f ca="1">Table1[[#This Row],[Profit]]/Table1[[#This Row],[Sales]]</f>
        <v>0.4</v>
      </c>
      <c r="K843" t="str">
        <f ca="1">TEXT(Table1[[#This Row],[Order_Date]],"mmm")</f>
        <v>Mar</v>
      </c>
      <c r="L843">
        <f ca="1">YEAR(Table1[[#This Row],[Order_Date]])</f>
        <v>2023</v>
      </c>
    </row>
    <row r="844" spans="1:12" x14ac:dyDescent="0.3">
      <c r="A844">
        <f t="shared" si="52"/>
        <v>843</v>
      </c>
      <c r="B844" s="1">
        <f t="shared" ca="1" si="53"/>
        <v>44927</v>
      </c>
      <c r="C844" t="s">
        <v>9</v>
      </c>
      <c r="D844" t="str">
        <f t="shared" ca="1" si="54"/>
        <v>Furniture</v>
      </c>
      <c r="E844" t="s">
        <v>47</v>
      </c>
      <c r="F844" s="11">
        <v>5186</v>
      </c>
      <c r="G844">
        <f t="shared" ca="1" si="55"/>
        <v>5</v>
      </c>
      <c r="H844" s="11">
        <f ca="1">IF(Table1[[#This Row],[Category]]="Electronics",Table1[[#This Row],[Sales]]*0.6,
IF(Table1[[#This Row],[Category]]="Furniture",Table1[[#This Row],[Sales]]*0.75,
IF(Table1[[#This Row],[Category]]="Clothing",Table1[[#This Row],[Sales]]*0.65,
Table1[[#This Row],[Sales]]*0.7)))</f>
        <v>3889.5</v>
      </c>
      <c r="I844" s="11">
        <f ca="1">Table1[[#This Row],[Sales]]-H844</f>
        <v>1296.5</v>
      </c>
      <c r="J844" s="2">
        <f ca="1">Table1[[#This Row],[Profit]]/Table1[[#This Row],[Sales]]</f>
        <v>0.25</v>
      </c>
      <c r="K844" t="str">
        <f ca="1">TEXT(Table1[[#This Row],[Order_Date]],"mmm")</f>
        <v>Jan</v>
      </c>
      <c r="L844">
        <f ca="1">YEAR(Table1[[#This Row],[Order_Date]])</f>
        <v>2023</v>
      </c>
    </row>
    <row r="845" spans="1:12" x14ac:dyDescent="0.3">
      <c r="A845">
        <f t="shared" si="52"/>
        <v>844</v>
      </c>
      <c r="B845" s="1">
        <f t="shared" ca="1" si="53"/>
        <v>45248</v>
      </c>
      <c r="C845" t="s">
        <v>10</v>
      </c>
      <c r="D845" t="str">
        <f t="shared" ca="1" si="54"/>
        <v>Office Supplies</v>
      </c>
      <c r="E845" t="s">
        <v>62</v>
      </c>
      <c r="F845" s="11">
        <v>17375</v>
      </c>
      <c r="G845">
        <f t="shared" ca="1" si="55"/>
        <v>6</v>
      </c>
      <c r="H845" s="11">
        <f ca="1">IF(Table1[[#This Row],[Category]]="Electronics",Table1[[#This Row],[Sales]]*0.6,
IF(Table1[[#This Row],[Category]]="Furniture",Table1[[#This Row],[Sales]]*0.75,
IF(Table1[[#This Row],[Category]]="Clothing",Table1[[#This Row],[Sales]]*0.65,
Table1[[#This Row],[Sales]]*0.7)))</f>
        <v>12162.5</v>
      </c>
      <c r="I845" s="11">
        <f ca="1">Table1[[#This Row],[Sales]]-H845</f>
        <v>5212.5</v>
      </c>
      <c r="J845" s="2">
        <f ca="1">Table1[[#This Row],[Profit]]/Table1[[#This Row],[Sales]]</f>
        <v>0.3</v>
      </c>
      <c r="K845" t="str">
        <f ca="1">TEXT(Table1[[#This Row],[Order_Date]],"mmm")</f>
        <v>Nov</v>
      </c>
      <c r="L845">
        <f ca="1">YEAR(Table1[[#This Row],[Order_Date]])</f>
        <v>2023</v>
      </c>
    </row>
    <row r="846" spans="1:12" x14ac:dyDescent="0.3">
      <c r="A846">
        <f t="shared" si="52"/>
        <v>845</v>
      </c>
      <c r="B846" s="1">
        <f t="shared" ca="1" si="53"/>
        <v>45279</v>
      </c>
      <c r="C846" t="s">
        <v>7</v>
      </c>
      <c r="D846" t="str">
        <f t="shared" ca="1" si="54"/>
        <v>Furniture</v>
      </c>
      <c r="E846" t="s">
        <v>69</v>
      </c>
      <c r="F846" s="11">
        <v>2689</v>
      </c>
      <c r="G846">
        <f t="shared" ca="1" si="55"/>
        <v>10</v>
      </c>
      <c r="H846" s="11">
        <f ca="1">IF(Table1[[#This Row],[Category]]="Electronics",Table1[[#This Row],[Sales]]*0.6,
IF(Table1[[#This Row],[Category]]="Furniture",Table1[[#This Row],[Sales]]*0.75,
IF(Table1[[#This Row],[Category]]="Clothing",Table1[[#This Row],[Sales]]*0.65,
Table1[[#This Row],[Sales]]*0.7)))</f>
        <v>2016.75</v>
      </c>
      <c r="I846" s="11">
        <f ca="1">Table1[[#This Row],[Sales]]-H846</f>
        <v>672.25</v>
      </c>
      <c r="J846" s="2">
        <f ca="1">Table1[[#This Row],[Profit]]/Table1[[#This Row],[Sales]]</f>
        <v>0.25</v>
      </c>
      <c r="K846" t="str">
        <f ca="1">TEXT(Table1[[#This Row],[Order_Date]],"mmm")</f>
        <v>Dec</v>
      </c>
      <c r="L846">
        <f ca="1">YEAR(Table1[[#This Row],[Order_Date]])</f>
        <v>2023</v>
      </c>
    </row>
    <row r="847" spans="1:12" x14ac:dyDescent="0.3">
      <c r="A847">
        <f t="shared" si="52"/>
        <v>846</v>
      </c>
      <c r="B847" s="1">
        <f t="shared" ca="1" si="53"/>
        <v>45285</v>
      </c>
      <c r="C847" t="s">
        <v>8</v>
      </c>
      <c r="D847" t="str">
        <f t="shared" ca="1" si="54"/>
        <v>Clothing</v>
      </c>
      <c r="E847" t="s">
        <v>72</v>
      </c>
      <c r="F847" s="11">
        <v>11130</v>
      </c>
      <c r="G847">
        <f t="shared" ca="1" si="55"/>
        <v>3</v>
      </c>
      <c r="H847" s="11">
        <f ca="1">IF(Table1[[#This Row],[Category]]="Electronics",Table1[[#This Row],[Sales]]*0.6,
IF(Table1[[#This Row],[Category]]="Furniture",Table1[[#This Row],[Sales]]*0.75,
IF(Table1[[#This Row],[Category]]="Clothing",Table1[[#This Row],[Sales]]*0.65,
Table1[[#This Row],[Sales]]*0.7)))</f>
        <v>7234.5</v>
      </c>
      <c r="I847" s="11">
        <f ca="1">Table1[[#This Row],[Sales]]-H847</f>
        <v>3895.5</v>
      </c>
      <c r="J847" s="2">
        <f ca="1">Table1[[#This Row],[Profit]]/Table1[[#This Row],[Sales]]</f>
        <v>0.35</v>
      </c>
      <c r="K847" t="str">
        <f ca="1">TEXT(Table1[[#This Row],[Order_Date]],"mmm")</f>
        <v>Dec</v>
      </c>
      <c r="L847">
        <f ca="1">YEAR(Table1[[#This Row],[Order_Date]])</f>
        <v>2023</v>
      </c>
    </row>
    <row r="848" spans="1:12" x14ac:dyDescent="0.3">
      <c r="A848">
        <f t="shared" si="52"/>
        <v>847</v>
      </c>
      <c r="B848" s="1">
        <f t="shared" ca="1" si="53"/>
        <v>45286</v>
      </c>
      <c r="C848" t="s">
        <v>9</v>
      </c>
      <c r="D848" t="str">
        <f t="shared" ca="1" si="54"/>
        <v>Furniture</v>
      </c>
      <c r="E848" t="s">
        <v>82</v>
      </c>
      <c r="F848" s="11">
        <v>13055</v>
      </c>
      <c r="G848">
        <f t="shared" ca="1" si="55"/>
        <v>8</v>
      </c>
      <c r="H848" s="11">
        <f ca="1">IF(Table1[[#This Row],[Category]]="Electronics",Table1[[#This Row],[Sales]]*0.6,
IF(Table1[[#This Row],[Category]]="Furniture",Table1[[#This Row],[Sales]]*0.75,
IF(Table1[[#This Row],[Category]]="Clothing",Table1[[#This Row],[Sales]]*0.65,
Table1[[#This Row],[Sales]]*0.7)))</f>
        <v>9791.25</v>
      </c>
      <c r="I848" s="11">
        <f ca="1">Table1[[#This Row],[Sales]]-H848</f>
        <v>3263.75</v>
      </c>
      <c r="J848" s="2">
        <f ca="1">Table1[[#This Row],[Profit]]/Table1[[#This Row],[Sales]]</f>
        <v>0.25</v>
      </c>
      <c r="K848" t="str">
        <f ca="1">TEXT(Table1[[#This Row],[Order_Date]],"mmm")</f>
        <v>Dec</v>
      </c>
      <c r="L848">
        <f ca="1">YEAR(Table1[[#This Row],[Order_Date]])</f>
        <v>2023</v>
      </c>
    </row>
    <row r="849" spans="1:12" x14ac:dyDescent="0.3">
      <c r="A849">
        <f t="shared" si="52"/>
        <v>848</v>
      </c>
      <c r="B849" s="1">
        <f t="shared" ca="1" si="53"/>
        <v>45141</v>
      </c>
      <c r="C849" t="s">
        <v>10</v>
      </c>
      <c r="D849" t="str">
        <f t="shared" ca="1" si="54"/>
        <v>Clothing</v>
      </c>
      <c r="E849" t="s">
        <v>57</v>
      </c>
      <c r="F849" s="11">
        <v>18438</v>
      </c>
      <c r="G849">
        <f t="shared" ca="1" si="55"/>
        <v>10</v>
      </c>
      <c r="H849" s="11">
        <f ca="1">IF(Table1[[#This Row],[Category]]="Electronics",Table1[[#This Row],[Sales]]*0.6,
IF(Table1[[#This Row],[Category]]="Furniture",Table1[[#This Row],[Sales]]*0.75,
IF(Table1[[#This Row],[Category]]="Clothing",Table1[[#This Row],[Sales]]*0.65,
Table1[[#This Row],[Sales]]*0.7)))</f>
        <v>11984.7</v>
      </c>
      <c r="I849" s="11">
        <f ca="1">Table1[[#This Row],[Sales]]-H849</f>
        <v>6453.2999999999993</v>
      </c>
      <c r="J849" s="2">
        <f ca="1">Table1[[#This Row],[Profit]]/Table1[[#This Row],[Sales]]</f>
        <v>0.35</v>
      </c>
      <c r="K849" t="str">
        <f ca="1">TEXT(Table1[[#This Row],[Order_Date]],"mmm")</f>
        <v>Aug</v>
      </c>
      <c r="L849">
        <f ca="1">YEAR(Table1[[#This Row],[Order_Date]])</f>
        <v>2023</v>
      </c>
    </row>
    <row r="850" spans="1:12" x14ac:dyDescent="0.3">
      <c r="A850">
        <f t="shared" si="52"/>
        <v>849</v>
      </c>
      <c r="B850" s="1">
        <f t="shared" ca="1" si="53"/>
        <v>45244</v>
      </c>
      <c r="C850" t="s">
        <v>7</v>
      </c>
      <c r="D850" t="str">
        <f t="shared" ca="1" si="54"/>
        <v>Office Supplies</v>
      </c>
      <c r="E850" t="s">
        <v>64</v>
      </c>
      <c r="F850" s="11">
        <v>16641</v>
      </c>
      <c r="G850">
        <f t="shared" ca="1" si="55"/>
        <v>5</v>
      </c>
      <c r="H850" s="11">
        <f ca="1">IF(Table1[[#This Row],[Category]]="Electronics",Table1[[#This Row],[Sales]]*0.6,
IF(Table1[[#This Row],[Category]]="Furniture",Table1[[#This Row],[Sales]]*0.75,
IF(Table1[[#This Row],[Category]]="Clothing",Table1[[#This Row],[Sales]]*0.65,
Table1[[#This Row],[Sales]]*0.7)))</f>
        <v>11648.699999999999</v>
      </c>
      <c r="I850" s="11">
        <f ca="1">Table1[[#This Row],[Sales]]-H850</f>
        <v>4992.3000000000011</v>
      </c>
      <c r="J850" s="2">
        <f ca="1">Table1[[#This Row],[Profit]]/Table1[[#This Row],[Sales]]</f>
        <v>0.30000000000000004</v>
      </c>
      <c r="K850" t="str">
        <f ca="1">TEXT(Table1[[#This Row],[Order_Date]],"mmm")</f>
        <v>Nov</v>
      </c>
      <c r="L850">
        <f ca="1">YEAR(Table1[[#This Row],[Order_Date]])</f>
        <v>2023</v>
      </c>
    </row>
    <row r="851" spans="1:12" x14ac:dyDescent="0.3">
      <c r="A851">
        <f t="shared" si="52"/>
        <v>850</v>
      </c>
      <c r="B851" s="1">
        <f t="shared" ca="1" si="53"/>
        <v>44937</v>
      </c>
      <c r="C851" t="s">
        <v>8</v>
      </c>
      <c r="D851" t="str">
        <f t="shared" ca="1" si="54"/>
        <v>Office Supplies</v>
      </c>
      <c r="E851" t="s">
        <v>68</v>
      </c>
      <c r="F851" s="11">
        <v>11801</v>
      </c>
      <c r="G851">
        <f t="shared" ca="1" si="55"/>
        <v>6</v>
      </c>
      <c r="H851" s="11">
        <f ca="1">IF(Table1[[#This Row],[Category]]="Electronics",Table1[[#This Row],[Sales]]*0.6,
IF(Table1[[#This Row],[Category]]="Furniture",Table1[[#This Row],[Sales]]*0.75,
IF(Table1[[#This Row],[Category]]="Clothing",Table1[[#This Row],[Sales]]*0.65,
Table1[[#This Row],[Sales]]*0.7)))</f>
        <v>8260.6999999999989</v>
      </c>
      <c r="I851" s="11">
        <f ca="1">Table1[[#This Row],[Sales]]-H851</f>
        <v>3540.3000000000011</v>
      </c>
      <c r="J851" s="2">
        <f ca="1">Table1[[#This Row],[Profit]]/Table1[[#This Row],[Sales]]</f>
        <v>0.3000000000000001</v>
      </c>
      <c r="K851" t="str">
        <f ca="1">TEXT(Table1[[#This Row],[Order_Date]],"mmm")</f>
        <v>Jan</v>
      </c>
      <c r="L851">
        <f ca="1">YEAR(Table1[[#This Row],[Order_Date]])</f>
        <v>2023</v>
      </c>
    </row>
    <row r="852" spans="1:12" x14ac:dyDescent="0.3">
      <c r="A852">
        <f t="shared" si="52"/>
        <v>851</v>
      </c>
      <c r="B852" s="1">
        <f t="shared" ca="1" si="53"/>
        <v>45142</v>
      </c>
      <c r="C852" t="s">
        <v>9</v>
      </c>
      <c r="D852" t="str">
        <f t="shared" ca="1" si="54"/>
        <v>Furniture</v>
      </c>
      <c r="E852" t="s">
        <v>40</v>
      </c>
      <c r="F852" s="11">
        <v>11197</v>
      </c>
      <c r="G852">
        <f t="shared" ca="1" si="55"/>
        <v>1</v>
      </c>
      <c r="H852" s="11">
        <f ca="1">IF(Table1[[#This Row],[Category]]="Electronics",Table1[[#This Row],[Sales]]*0.6,
IF(Table1[[#This Row],[Category]]="Furniture",Table1[[#This Row],[Sales]]*0.75,
IF(Table1[[#This Row],[Category]]="Clothing",Table1[[#This Row],[Sales]]*0.65,
Table1[[#This Row],[Sales]]*0.7)))</f>
        <v>8397.75</v>
      </c>
      <c r="I852" s="11">
        <f ca="1">Table1[[#This Row],[Sales]]-H852</f>
        <v>2799.25</v>
      </c>
      <c r="J852" s="2">
        <f ca="1">Table1[[#This Row],[Profit]]/Table1[[#This Row],[Sales]]</f>
        <v>0.25</v>
      </c>
      <c r="K852" t="str">
        <f ca="1">TEXT(Table1[[#This Row],[Order_Date]],"mmm")</f>
        <v>Aug</v>
      </c>
      <c r="L852">
        <f ca="1">YEAR(Table1[[#This Row],[Order_Date]])</f>
        <v>2023</v>
      </c>
    </row>
    <row r="853" spans="1:12" x14ac:dyDescent="0.3">
      <c r="A853">
        <f t="shared" si="52"/>
        <v>852</v>
      </c>
      <c r="B853" s="1">
        <f t="shared" ca="1" si="53"/>
        <v>45091</v>
      </c>
      <c r="C853" t="s">
        <v>10</v>
      </c>
      <c r="D853" t="str">
        <f t="shared" ca="1" si="54"/>
        <v>Clothing</v>
      </c>
      <c r="E853" t="s">
        <v>47</v>
      </c>
      <c r="F853" s="11">
        <v>2540</v>
      </c>
      <c r="G853">
        <f t="shared" ca="1" si="55"/>
        <v>9</v>
      </c>
      <c r="H853" s="11">
        <f ca="1">IF(Table1[[#This Row],[Category]]="Electronics",Table1[[#This Row],[Sales]]*0.6,
IF(Table1[[#This Row],[Category]]="Furniture",Table1[[#This Row],[Sales]]*0.75,
IF(Table1[[#This Row],[Category]]="Clothing",Table1[[#This Row],[Sales]]*0.65,
Table1[[#This Row],[Sales]]*0.7)))</f>
        <v>1651</v>
      </c>
      <c r="I853" s="11">
        <f ca="1">Table1[[#This Row],[Sales]]-H853</f>
        <v>889</v>
      </c>
      <c r="J853" s="2">
        <f ca="1">Table1[[#This Row],[Profit]]/Table1[[#This Row],[Sales]]</f>
        <v>0.35</v>
      </c>
      <c r="K853" t="str">
        <f ca="1">TEXT(Table1[[#This Row],[Order_Date]],"mmm")</f>
        <v>Jun</v>
      </c>
      <c r="L853">
        <f ca="1">YEAR(Table1[[#This Row],[Order_Date]])</f>
        <v>2023</v>
      </c>
    </row>
    <row r="854" spans="1:12" x14ac:dyDescent="0.3">
      <c r="A854">
        <f t="shared" si="52"/>
        <v>853</v>
      </c>
      <c r="B854" s="1">
        <f t="shared" ca="1" si="53"/>
        <v>45206</v>
      </c>
      <c r="C854" t="s">
        <v>7</v>
      </c>
      <c r="D854" t="str">
        <f t="shared" ca="1" si="54"/>
        <v>Electronics</v>
      </c>
      <c r="E854" t="s">
        <v>85</v>
      </c>
      <c r="F854" s="11">
        <v>12464</v>
      </c>
      <c r="G854">
        <f t="shared" ca="1" si="55"/>
        <v>1</v>
      </c>
      <c r="H854" s="11">
        <f ca="1">IF(Table1[[#This Row],[Category]]="Electronics",Table1[[#This Row],[Sales]]*0.6,
IF(Table1[[#This Row],[Category]]="Furniture",Table1[[#This Row],[Sales]]*0.75,
IF(Table1[[#This Row],[Category]]="Clothing",Table1[[#This Row],[Sales]]*0.65,
Table1[[#This Row],[Sales]]*0.7)))</f>
        <v>7478.4</v>
      </c>
      <c r="I854" s="11">
        <f ca="1">Table1[[#This Row],[Sales]]-H854</f>
        <v>4985.6000000000004</v>
      </c>
      <c r="J854" s="2">
        <f ca="1">Table1[[#This Row],[Profit]]/Table1[[#This Row],[Sales]]</f>
        <v>0.4</v>
      </c>
      <c r="K854" t="str">
        <f ca="1">TEXT(Table1[[#This Row],[Order_Date]],"mmm")</f>
        <v>Oct</v>
      </c>
      <c r="L854">
        <f ca="1">YEAR(Table1[[#This Row],[Order_Date]])</f>
        <v>2023</v>
      </c>
    </row>
    <row r="855" spans="1:12" x14ac:dyDescent="0.3">
      <c r="A855">
        <f t="shared" si="52"/>
        <v>854</v>
      </c>
      <c r="B855" s="1">
        <f t="shared" ca="1" si="53"/>
        <v>44986</v>
      </c>
      <c r="C855" t="s">
        <v>8</v>
      </c>
      <c r="D855" t="str">
        <f t="shared" ca="1" si="54"/>
        <v>Electronics</v>
      </c>
      <c r="E855" t="s">
        <v>56</v>
      </c>
      <c r="F855" s="11">
        <v>15670</v>
      </c>
      <c r="G855">
        <f t="shared" ca="1" si="55"/>
        <v>6</v>
      </c>
      <c r="H855" s="11">
        <f ca="1">IF(Table1[[#This Row],[Category]]="Electronics",Table1[[#This Row],[Sales]]*0.6,
IF(Table1[[#This Row],[Category]]="Furniture",Table1[[#This Row],[Sales]]*0.75,
IF(Table1[[#This Row],[Category]]="Clothing",Table1[[#This Row],[Sales]]*0.65,
Table1[[#This Row],[Sales]]*0.7)))</f>
        <v>9402</v>
      </c>
      <c r="I855" s="11">
        <f ca="1">Table1[[#This Row],[Sales]]-H855</f>
        <v>6268</v>
      </c>
      <c r="J855" s="2">
        <f ca="1">Table1[[#This Row],[Profit]]/Table1[[#This Row],[Sales]]</f>
        <v>0.4</v>
      </c>
      <c r="K855" t="str">
        <f ca="1">TEXT(Table1[[#This Row],[Order_Date]],"mmm")</f>
        <v>Mar</v>
      </c>
      <c r="L855">
        <f ca="1">YEAR(Table1[[#This Row],[Order_Date]])</f>
        <v>2023</v>
      </c>
    </row>
    <row r="856" spans="1:12" x14ac:dyDescent="0.3">
      <c r="A856">
        <f t="shared" si="52"/>
        <v>855</v>
      </c>
      <c r="B856" s="1">
        <f t="shared" ca="1" si="53"/>
        <v>45037</v>
      </c>
      <c r="C856" t="s">
        <v>9</v>
      </c>
      <c r="D856" t="str">
        <f t="shared" ca="1" si="54"/>
        <v>Office Supplies</v>
      </c>
      <c r="E856" t="s">
        <v>62</v>
      </c>
      <c r="F856" s="11">
        <v>16121</v>
      </c>
      <c r="G856">
        <f t="shared" ca="1" si="55"/>
        <v>10</v>
      </c>
      <c r="H856" s="11">
        <f ca="1">IF(Table1[[#This Row],[Category]]="Electronics",Table1[[#This Row],[Sales]]*0.6,
IF(Table1[[#This Row],[Category]]="Furniture",Table1[[#This Row],[Sales]]*0.75,
IF(Table1[[#This Row],[Category]]="Clothing",Table1[[#This Row],[Sales]]*0.65,
Table1[[#This Row],[Sales]]*0.7)))</f>
        <v>11284.699999999999</v>
      </c>
      <c r="I856" s="11">
        <f ca="1">Table1[[#This Row],[Sales]]-H856</f>
        <v>4836.3000000000011</v>
      </c>
      <c r="J856" s="2">
        <f ca="1">Table1[[#This Row],[Profit]]/Table1[[#This Row],[Sales]]</f>
        <v>0.30000000000000004</v>
      </c>
      <c r="K856" t="str">
        <f ca="1">TEXT(Table1[[#This Row],[Order_Date]],"mmm")</f>
        <v>Apr</v>
      </c>
      <c r="L856">
        <f ca="1">YEAR(Table1[[#This Row],[Order_Date]])</f>
        <v>2023</v>
      </c>
    </row>
    <row r="857" spans="1:12" x14ac:dyDescent="0.3">
      <c r="A857">
        <f t="shared" si="52"/>
        <v>856</v>
      </c>
      <c r="B857" s="1">
        <f t="shared" ca="1" si="53"/>
        <v>45095</v>
      </c>
      <c r="C857" t="s">
        <v>10</v>
      </c>
      <c r="D857" t="str">
        <f t="shared" ca="1" si="54"/>
        <v>Electronics</v>
      </c>
      <c r="E857" t="s">
        <v>71</v>
      </c>
      <c r="F857" s="11">
        <v>8409</v>
      </c>
      <c r="G857">
        <f t="shared" ca="1" si="55"/>
        <v>9</v>
      </c>
      <c r="H857" s="11">
        <f ca="1">IF(Table1[[#This Row],[Category]]="Electronics",Table1[[#This Row],[Sales]]*0.6,
IF(Table1[[#This Row],[Category]]="Furniture",Table1[[#This Row],[Sales]]*0.75,
IF(Table1[[#This Row],[Category]]="Clothing",Table1[[#This Row],[Sales]]*0.65,
Table1[[#This Row],[Sales]]*0.7)))</f>
        <v>5045.3999999999996</v>
      </c>
      <c r="I857" s="11">
        <f ca="1">Table1[[#This Row],[Sales]]-H857</f>
        <v>3363.6000000000004</v>
      </c>
      <c r="J857" s="2">
        <f ca="1">Table1[[#This Row],[Profit]]/Table1[[#This Row],[Sales]]</f>
        <v>0.4</v>
      </c>
      <c r="K857" t="str">
        <f ca="1">TEXT(Table1[[#This Row],[Order_Date]],"mmm")</f>
        <v>Jun</v>
      </c>
      <c r="L857">
        <f ca="1">YEAR(Table1[[#This Row],[Order_Date]])</f>
        <v>2023</v>
      </c>
    </row>
    <row r="858" spans="1:12" x14ac:dyDescent="0.3">
      <c r="A858">
        <f t="shared" si="52"/>
        <v>857</v>
      </c>
      <c r="B858" s="1">
        <f t="shared" ca="1" si="53"/>
        <v>45011</v>
      </c>
      <c r="C858" t="s">
        <v>7</v>
      </c>
      <c r="D858" t="str">
        <f t="shared" ca="1" si="54"/>
        <v>Clothing</v>
      </c>
      <c r="E858" t="s">
        <v>82</v>
      </c>
      <c r="F858" s="11">
        <v>7723</v>
      </c>
      <c r="G858">
        <f t="shared" ca="1" si="55"/>
        <v>5</v>
      </c>
      <c r="H858" s="11">
        <f ca="1">IF(Table1[[#This Row],[Category]]="Electronics",Table1[[#This Row],[Sales]]*0.6,
IF(Table1[[#This Row],[Category]]="Furniture",Table1[[#This Row],[Sales]]*0.75,
IF(Table1[[#This Row],[Category]]="Clothing",Table1[[#This Row],[Sales]]*0.65,
Table1[[#This Row],[Sales]]*0.7)))</f>
        <v>5019.95</v>
      </c>
      <c r="I858" s="11">
        <f ca="1">Table1[[#This Row],[Sales]]-H858</f>
        <v>2703.05</v>
      </c>
      <c r="J858" s="2">
        <f ca="1">Table1[[#This Row],[Profit]]/Table1[[#This Row],[Sales]]</f>
        <v>0.35000000000000003</v>
      </c>
      <c r="K858" t="str">
        <f ca="1">TEXT(Table1[[#This Row],[Order_Date]],"mmm")</f>
        <v>Mar</v>
      </c>
      <c r="L858">
        <f ca="1">YEAR(Table1[[#This Row],[Order_Date]])</f>
        <v>2023</v>
      </c>
    </row>
    <row r="859" spans="1:12" x14ac:dyDescent="0.3">
      <c r="A859">
        <f t="shared" si="52"/>
        <v>858</v>
      </c>
      <c r="B859" s="1">
        <f t="shared" ca="1" si="53"/>
        <v>45002</v>
      </c>
      <c r="C859" t="s">
        <v>8</v>
      </c>
      <c r="D859" t="str">
        <f t="shared" ca="1" si="54"/>
        <v>Electronics</v>
      </c>
      <c r="E859" t="s">
        <v>52</v>
      </c>
      <c r="F859" s="11">
        <v>6863</v>
      </c>
      <c r="G859">
        <f t="shared" ca="1" si="55"/>
        <v>5</v>
      </c>
      <c r="H859" s="11">
        <f ca="1">IF(Table1[[#This Row],[Category]]="Electronics",Table1[[#This Row],[Sales]]*0.6,
IF(Table1[[#This Row],[Category]]="Furniture",Table1[[#This Row],[Sales]]*0.75,
IF(Table1[[#This Row],[Category]]="Clothing",Table1[[#This Row],[Sales]]*0.65,
Table1[[#This Row],[Sales]]*0.7)))</f>
        <v>4117.8</v>
      </c>
      <c r="I859" s="11">
        <f ca="1">Table1[[#This Row],[Sales]]-H859</f>
        <v>2745.2</v>
      </c>
      <c r="J859" s="2">
        <f ca="1">Table1[[#This Row],[Profit]]/Table1[[#This Row],[Sales]]</f>
        <v>0.39999999999999997</v>
      </c>
      <c r="K859" t="str">
        <f ca="1">TEXT(Table1[[#This Row],[Order_Date]],"mmm")</f>
        <v>Mar</v>
      </c>
      <c r="L859">
        <f ca="1">YEAR(Table1[[#This Row],[Order_Date]])</f>
        <v>2023</v>
      </c>
    </row>
    <row r="860" spans="1:12" x14ac:dyDescent="0.3">
      <c r="A860">
        <f t="shared" si="52"/>
        <v>859</v>
      </c>
      <c r="B860" s="1">
        <f t="shared" ca="1" si="53"/>
        <v>45219</v>
      </c>
      <c r="C860" t="s">
        <v>9</v>
      </c>
      <c r="D860" t="str">
        <f t="shared" ca="1" si="54"/>
        <v>Electronics</v>
      </c>
      <c r="E860" t="s">
        <v>41</v>
      </c>
      <c r="F860" s="11">
        <v>1862</v>
      </c>
      <c r="G860">
        <f t="shared" ca="1" si="55"/>
        <v>9</v>
      </c>
      <c r="H860" s="11">
        <f ca="1">IF(Table1[[#This Row],[Category]]="Electronics",Table1[[#This Row],[Sales]]*0.6,
IF(Table1[[#This Row],[Category]]="Furniture",Table1[[#This Row],[Sales]]*0.75,
IF(Table1[[#This Row],[Category]]="Clothing",Table1[[#This Row],[Sales]]*0.65,
Table1[[#This Row],[Sales]]*0.7)))</f>
        <v>1117.2</v>
      </c>
      <c r="I860" s="11">
        <f ca="1">Table1[[#This Row],[Sales]]-H860</f>
        <v>744.8</v>
      </c>
      <c r="J860" s="2">
        <f ca="1">Table1[[#This Row],[Profit]]/Table1[[#This Row],[Sales]]</f>
        <v>0.39999999999999997</v>
      </c>
      <c r="K860" t="str">
        <f ca="1">TEXT(Table1[[#This Row],[Order_Date]],"mmm")</f>
        <v>Oct</v>
      </c>
      <c r="L860">
        <f ca="1">YEAR(Table1[[#This Row],[Order_Date]])</f>
        <v>2023</v>
      </c>
    </row>
    <row r="861" spans="1:12" x14ac:dyDescent="0.3">
      <c r="A861">
        <f t="shared" si="52"/>
        <v>860</v>
      </c>
      <c r="B861" s="1">
        <f t="shared" ca="1" si="53"/>
        <v>44930</v>
      </c>
      <c r="C861" t="s">
        <v>10</v>
      </c>
      <c r="D861" t="str">
        <f t="shared" ca="1" si="54"/>
        <v>Electronics</v>
      </c>
      <c r="E861" t="s">
        <v>73</v>
      </c>
      <c r="F861" s="11">
        <v>6109</v>
      </c>
      <c r="G861">
        <f t="shared" ca="1" si="55"/>
        <v>9</v>
      </c>
      <c r="H861" s="11">
        <f ca="1">IF(Table1[[#This Row],[Category]]="Electronics",Table1[[#This Row],[Sales]]*0.6,
IF(Table1[[#This Row],[Category]]="Furniture",Table1[[#This Row],[Sales]]*0.75,
IF(Table1[[#This Row],[Category]]="Clothing",Table1[[#This Row],[Sales]]*0.65,
Table1[[#This Row],[Sales]]*0.7)))</f>
        <v>3665.4</v>
      </c>
      <c r="I861" s="11">
        <f ca="1">Table1[[#This Row],[Sales]]-H861</f>
        <v>2443.6</v>
      </c>
      <c r="J861" s="2">
        <f ca="1">Table1[[#This Row],[Profit]]/Table1[[#This Row],[Sales]]</f>
        <v>0.39999999999999997</v>
      </c>
      <c r="K861" t="str">
        <f ca="1">TEXT(Table1[[#This Row],[Order_Date]],"mmm")</f>
        <v>Jan</v>
      </c>
      <c r="L861">
        <f ca="1">YEAR(Table1[[#This Row],[Order_Date]])</f>
        <v>2023</v>
      </c>
    </row>
    <row r="862" spans="1:12" x14ac:dyDescent="0.3">
      <c r="A862">
        <f t="shared" si="52"/>
        <v>861</v>
      </c>
      <c r="B862" s="1">
        <f t="shared" ca="1" si="53"/>
        <v>45010</v>
      </c>
      <c r="C862" t="s">
        <v>7</v>
      </c>
      <c r="D862" t="str">
        <f t="shared" ca="1" si="54"/>
        <v>Clothing</v>
      </c>
      <c r="E862" t="s">
        <v>80</v>
      </c>
      <c r="F862" s="11">
        <v>16040</v>
      </c>
      <c r="G862">
        <f t="shared" ca="1" si="55"/>
        <v>5</v>
      </c>
      <c r="H862" s="11">
        <f ca="1">IF(Table1[[#This Row],[Category]]="Electronics",Table1[[#This Row],[Sales]]*0.6,
IF(Table1[[#This Row],[Category]]="Furniture",Table1[[#This Row],[Sales]]*0.75,
IF(Table1[[#This Row],[Category]]="Clothing",Table1[[#This Row],[Sales]]*0.65,
Table1[[#This Row],[Sales]]*0.7)))</f>
        <v>10426</v>
      </c>
      <c r="I862" s="11">
        <f ca="1">Table1[[#This Row],[Sales]]-H862</f>
        <v>5614</v>
      </c>
      <c r="J862" s="2">
        <f ca="1">Table1[[#This Row],[Profit]]/Table1[[#This Row],[Sales]]</f>
        <v>0.35</v>
      </c>
      <c r="K862" t="str">
        <f ca="1">TEXT(Table1[[#This Row],[Order_Date]],"mmm")</f>
        <v>Mar</v>
      </c>
      <c r="L862">
        <f ca="1">YEAR(Table1[[#This Row],[Order_Date]])</f>
        <v>2023</v>
      </c>
    </row>
    <row r="863" spans="1:12" x14ac:dyDescent="0.3">
      <c r="A863">
        <f t="shared" si="52"/>
        <v>862</v>
      </c>
      <c r="B863" s="1">
        <f t="shared" ca="1" si="53"/>
        <v>45275</v>
      </c>
      <c r="C863" t="s">
        <v>8</v>
      </c>
      <c r="D863" t="str">
        <f t="shared" ca="1" si="54"/>
        <v>Clothing</v>
      </c>
      <c r="E863" t="s">
        <v>68</v>
      </c>
      <c r="F863" s="11">
        <v>10549</v>
      </c>
      <c r="G863">
        <f t="shared" ca="1" si="55"/>
        <v>8</v>
      </c>
      <c r="H863" s="11">
        <f ca="1">IF(Table1[[#This Row],[Category]]="Electronics",Table1[[#This Row],[Sales]]*0.6,
IF(Table1[[#This Row],[Category]]="Furniture",Table1[[#This Row],[Sales]]*0.75,
IF(Table1[[#This Row],[Category]]="Clothing",Table1[[#This Row],[Sales]]*0.65,
Table1[[#This Row],[Sales]]*0.7)))</f>
        <v>6856.85</v>
      </c>
      <c r="I863" s="11">
        <f ca="1">Table1[[#This Row],[Sales]]-H863</f>
        <v>3692.1499999999996</v>
      </c>
      <c r="J863" s="2">
        <f ca="1">Table1[[#This Row],[Profit]]/Table1[[#This Row],[Sales]]</f>
        <v>0.35</v>
      </c>
      <c r="K863" t="str">
        <f ca="1">TEXT(Table1[[#This Row],[Order_Date]],"mmm")</f>
        <v>Dec</v>
      </c>
      <c r="L863">
        <f ca="1">YEAR(Table1[[#This Row],[Order_Date]])</f>
        <v>2023</v>
      </c>
    </row>
    <row r="864" spans="1:12" x14ac:dyDescent="0.3">
      <c r="A864">
        <f t="shared" si="52"/>
        <v>863</v>
      </c>
      <c r="B864" s="1">
        <f t="shared" ca="1" si="53"/>
        <v>45037</v>
      </c>
      <c r="C864" t="s">
        <v>9</v>
      </c>
      <c r="D864" t="str">
        <f t="shared" ca="1" si="54"/>
        <v>Electronics</v>
      </c>
      <c r="E864" t="s">
        <v>79</v>
      </c>
      <c r="F864" s="11">
        <v>13102</v>
      </c>
      <c r="G864">
        <f t="shared" ca="1" si="55"/>
        <v>5</v>
      </c>
      <c r="H864" s="11">
        <f ca="1">IF(Table1[[#This Row],[Category]]="Electronics",Table1[[#This Row],[Sales]]*0.6,
IF(Table1[[#This Row],[Category]]="Furniture",Table1[[#This Row],[Sales]]*0.75,
IF(Table1[[#This Row],[Category]]="Clothing",Table1[[#This Row],[Sales]]*0.65,
Table1[[#This Row],[Sales]]*0.7)))</f>
        <v>7861.2</v>
      </c>
      <c r="I864" s="11">
        <f ca="1">Table1[[#This Row],[Sales]]-H864</f>
        <v>5240.8</v>
      </c>
      <c r="J864" s="2">
        <f ca="1">Table1[[#This Row],[Profit]]/Table1[[#This Row],[Sales]]</f>
        <v>0.4</v>
      </c>
      <c r="K864" t="str">
        <f ca="1">TEXT(Table1[[#This Row],[Order_Date]],"mmm")</f>
        <v>Apr</v>
      </c>
      <c r="L864">
        <f ca="1">YEAR(Table1[[#This Row],[Order_Date]])</f>
        <v>2023</v>
      </c>
    </row>
    <row r="865" spans="1:12" x14ac:dyDescent="0.3">
      <c r="A865">
        <f t="shared" si="52"/>
        <v>864</v>
      </c>
      <c r="B865" s="1">
        <f t="shared" ca="1" si="53"/>
        <v>44984</v>
      </c>
      <c r="C865" t="s">
        <v>10</v>
      </c>
      <c r="D865" t="str">
        <f t="shared" ca="1" si="54"/>
        <v>Office Supplies</v>
      </c>
      <c r="E865" t="s">
        <v>81</v>
      </c>
      <c r="F865" s="11">
        <v>19351</v>
      </c>
      <c r="G865">
        <f t="shared" ca="1" si="55"/>
        <v>3</v>
      </c>
      <c r="H865" s="11">
        <f ca="1">IF(Table1[[#This Row],[Category]]="Electronics",Table1[[#This Row],[Sales]]*0.6,
IF(Table1[[#This Row],[Category]]="Furniture",Table1[[#This Row],[Sales]]*0.75,
IF(Table1[[#This Row],[Category]]="Clothing",Table1[[#This Row],[Sales]]*0.65,
Table1[[#This Row],[Sales]]*0.7)))</f>
        <v>13545.699999999999</v>
      </c>
      <c r="I865" s="11">
        <f ca="1">Table1[[#This Row],[Sales]]-H865</f>
        <v>5805.3000000000011</v>
      </c>
      <c r="J865" s="2">
        <f ca="1">Table1[[#This Row],[Profit]]/Table1[[#This Row],[Sales]]</f>
        <v>0.30000000000000004</v>
      </c>
      <c r="K865" t="str">
        <f ca="1">TEXT(Table1[[#This Row],[Order_Date]],"mmm")</f>
        <v>Feb</v>
      </c>
      <c r="L865">
        <f ca="1">YEAR(Table1[[#This Row],[Order_Date]])</f>
        <v>2023</v>
      </c>
    </row>
    <row r="866" spans="1:12" x14ac:dyDescent="0.3">
      <c r="A866">
        <f t="shared" si="52"/>
        <v>865</v>
      </c>
      <c r="B866" s="1">
        <f t="shared" ca="1" si="53"/>
        <v>45036</v>
      </c>
      <c r="C866" t="s">
        <v>7</v>
      </c>
      <c r="D866" t="str">
        <f t="shared" ca="1" si="54"/>
        <v>Clothing</v>
      </c>
      <c r="E866" t="s">
        <v>83</v>
      </c>
      <c r="F866" s="11">
        <v>11105</v>
      </c>
      <c r="G866">
        <f t="shared" ca="1" si="55"/>
        <v>6</v>
      </c>
      <c r="H866" s="11">
        <f ca="1">IF(Table1[[#This Row],[Category]]="Electronics",Table1[[#This Row],[Sales]]*0.6,
IF(Table1[[#This Row],[Category]]="Furniture",Table1[[#This Row],[Sales]]*0.75,
IF(Table1[[#This Row],[Category]]="Clothing",Table1[[#This Row],[Sales]]*0.65,
Table1[[#This Row],[Sales]]*0.7)))</f>
        <v>7218.25</v>
      </c>
      <c r="I866" s="11">
        <f ca="1">Table1[[#This Row],[Sales]]-H866</f>
        <v>3886.75</v>
      </c>
      <c r="J866" s="2">
        <f ca="1">Table1[[#This Row],[Profit]]/Table1[[#This Row],[Sales]]</f>
        <v>0.35</v>
      </c>
      <c r="K866" t="str">
        <f ca="1">TEXT(Table1[[#This Row],[Order_Date]],"mmm")</f>
        <v>Apr</v>
      </c>
      <c r="L866">
        <f ca="1">YEAR(Table1[[#This Row],[Order_Date]])</f>
        <v>2023</v>
      </c>
    </row>
    <row r="867" spans="1:12" x14ac:dyDescent="0.3">
      <c r="A867">
        <f t="shared" si="52"/>
        <v>866</v>
      </c>
      <c r="B867" s="1">
        <f t="shared" ca="1" si="53"/>
        <v>45074</v>
      </c>
      <c r="C867" t="s">
        <v>8</v>
      </c>
      <c r="D867" t="str">
        <f t="shared" ca="1" si="54"/>
        <v>Electronics</v>
      </c>
      <c r="E867" t="s">
        <v>72</v>
      </c>
      <c r="F867" s="11">
        <v>19270</v>
      </c>
      <c r="G867">
        <f t="shared" ca="1" si="55"/>
        <v>9</v>
      </c>
      <c r="H867" s="11">
        <f ca="1">IF(Table1[[#This Row],[Category]]="Electronics",Table1[[#This Row],[Sales]]*0.6,
IF(Table1[[#This Row],[Category]]="Furniture",Table1[[#This Row],[Sales]]*0.75,
IF(Table1[[#This Row],[Category]]="Clothing",Table1[[#This Row],[Sales]]*0.65,
Table1[[#This Row],[Sales]]*0.7)))</f>
        <v>11562</v>
      </c>
      <c r="I867" s="11">
        <f ca="1">Table1[[#This Row],[Sales]]-H867</f>
        <v>7708</v>
      </c>
      <c r="J867" s="2">
        <f ca="1">Table1[[#This Row],[Profit]]/Table1[[#This Row],[Sales]]</f>
        <v>0.4</v>
      </c>
      <c r="K867" t="str">
        <f ca="1">TEXT(Table1[[#This Row],[Order_Date]],"mmm")</f>
        <v>May</v>
      </c>
      <c r="L867">
        <f ca="1">YEAR(Table1[[#This Row],[Order_Date]])</f>
        <v>2023</v>
      </c>
    </row>
    <row r="868" spans="1:12" x14ac:dyDescent="0.3">
      <c r="A868">
        <f t="shared" si="52"/>
        <v>867</v>
      </c>
      <c r="B868" s="1">
        <f t="shared" ca="1" si="53"/>
        <v>44972</v>
      </c>
      <c r="C868" t="s">
        <v>9</v>
      </c>
      <c r="D868" t="str">
        <f t="shared" ca="1" si="54"/>
        <v>Electronics</v>
      </c>
      <c r="E868" t="s">
        <v>80</v>
      </c>
      <c r="F868" s="11">
        <v>3465</v>
      </c>
      <c r="G868">
        <f t="shared" ca="1" si="55"/>
        <v>5</v>
      </c>
      <c r="H868" s="11">
        <f ca="1">IF(Table1[[#This Row],[Category]]="Electronics",Table1[[#This Row],[Sales]]*0.6,
IF(Table1[[#This Row],[Category]]="Furniture",Table1[[#This Row],[Sales]]*0.75,
IF(Table1[[#This Row],[Category]]="Clothing",Table1[[#This Row],[Sales]]*0.65,
Table1[[#This Row],[Sales]]*0.7)))</f>
        <v>2079</v>
      </c>
      <c r="I868" s="11">
        <f ca="1">Table1[[#This Row],[Sales]]-H868</f>
        <v>1386</v>
      </c>
      <c r="J868" s="2">
        <f ca="1">Table1[[#This Row],[Profit]]/Table1[[#This Row],[Sales]]</f>
        <v>0.4</v>
      </c>
      <c r="K868" t="str">
        <f ca="1">TEXT(Table1[[#This Row],[Order_Date]],"mmm")</f>
        <v>Feb</v>
      </c>
      <c r="L868">
        <f ca="1">YEAR(Table1[[#This Row],[Order_Date]])</f>
        <v>2023</v>
      </c>
    </row>
    <row r="869" spans="1:12" x14ac:dyDescent="0.3">
      <c r="A869">
        <f t="shared" si="52"/>
        <v>868</v>
      </c>
      <c r="B869" s="1">
        <f t="shared" ca="1" si="53"/>
        <v>45021</v>
      </c>
      <c r="C869" t="s">
        <v>10</v>
      </c>
      <c r="D869" t="str">
        <f t="shared" ca="1" si="54"/>
        <v>Clothing</v>
      </c>
      <c r="E869" t="s">
        <v>41</v>
      </c>
      <c r="F869" s="11">
        <v>17518</v>
      </c>
      <c r="G869">
        <f t="shared" ca="1" si="55"/>
        <v>1</v>
      </c>
      <c r="H869" s="11">
        <f ca="1">IF(Table1[[#This Row],[Category]]="Electronics",Table1[[#This Row],[Sales]]*0.6,
IF(Table1[[#This Row],[Category]]="Furniture",Table1[[#This Row],[Sales]]*0.75,
IF(Table1[[#This Row],[Category]]="Clothing",Table1[[#This Row],[Sales]]*0.65,
Table1[[#This Row],[Sales]]*0.7)))</f>
        <v>11386.7</v>
      </c>
      <c r="I869" s="11">
        <f ca="1">Table1[[#This Row],[Sales]]-H869</f>
        <v>6131.2999999999993</v>
      </c>
      <c r="J869" s="2">
        <f ca="1">Table1[[#This Row],[Profit]]/Table1[[#This Row],[Sales]]</f>
        <v>0.35</v>
      </c>
      <c r="K869" t="str">
        <f ca="1">TEXT(Table1[[#This Row],[Order_Date]],"mmm")</f>
        <v>Apr</v>
      </c>
      <c r="L869">
        <f ca="1">YEAR(Table1[[#This Row],[Order_Date]])</f>
        <v>2023</v>
      </c>
    </row>
    <row r="870" spans="1:12" x14ac:dyDescent="0.3">
      <c r="A870">
        <f t="shared" si="52"/>
        <v>869</v>
      </c>
      <c r="B870" s="1">
        <f t="shared" ca="1" si="53"/>
        <v>45245</v>
      </c>
      <c r="C870" t="s">
        <v>7</v>
      </c>
      <c r="D870" t="str">
        <f t="shared" ca="1" si="54"/>
        <v>Clothing</v>
      </c>
      <c r="E870" t="s">
        <v>55</v>
      </c>
      <c r="F870" s="11">
        <v>12709</v>
      </c>
      <c r="G870">
        <f t="shared" ca="1" si="55"/>
        <v>9</v>
      </c>
      <c r="H870" s="11">
        <f ca="1">IF(Table1[[#This Row],[Category]]="Electronics",Table1[[#This Row],[Sales]]*0.6,
IF(Table1[[#This Row],[Category]]="Furniture",Table1[[#This Row],[Sales]]*0.75,
IF(Table1[[#This Row],[Category]]="Clothing",Table1[[#This Row],[Sales]]*0.65,
Table1[[#This Row],[Sales]]*0.7)))</f>
        <v>8260.85</v>
      </c>
      <c r="I870" s="11">
        <f ca="1">Table1[[#This Row],[Sales]]-H870</f>
        <v>4448.1499999999996</v>
      </c>
      <c r="J870" s="2">
        <f ca="1">Table1[[#This Row],[Profit]]/Table1[[#This Row],[Sales]]</f>
        <v>0.35</v>
      </c>
      <c r="K870" t="str">
        <f ca="1">TEXT(Table1[[#This Row],[Order_Date]],"mmm")</f>
        <v>Nov</v>
      </c>
      <c r="L870">
        <f ca="1">YEAR(Table1[[#This Row],[Order_Date]])</f>
        <v>2023</v>
      </c>
    </row>
    <row r="871" spans="1:12" x14ac:dyDescent="0.3">
      <c r="A871">
        <f t="shared" si="52"/>
        <v>870</v>
      </c>
      <c r="B871" s="1">
        <f t="shared" ca="1" si="53"/>
        <v>45255</v>
      </c>
      <c r="C871" t="s">
        <v>8</v>
      </c>
      <c r="D871" t="str">
        <f t="shared" ca="1" si="54"/>
        <v>Clothing</v>
      </c>
      <c r="E871" t="s">
        <v>48</v>
      </c>
      <c r="F871" s="11">
        <v>7619</v>
      </c>
      <c r="G871">
        <f t="shared" ca="1" si="55"/>
        <v>9</v>
      </c>
      <c r="H871" s="11">
        <f ca="1">IF(Table1[[#This Row],[Category]]="Electronics",Table1[[#This Row],[Sales]]*0.6,
IF(Table1[[#This Row],[Category]]="Furniture",Table1[[#This Row],[Sales]]*0.75,
IF(Table1[[#This Row],[Category]]="Clothing",Table1[[#This Row],[Sales]]*0.65,
Table1[[#This Row],[Sales]]*0.7)))</f>
        <v>4952.3500000000004</v>
      </c>
      <c r="I871" s="11">
        <f ca="1">Table1[[#This Row],[Sales]]-H871</f>
        <v>2666.6499999999996</v>
      </c>
      <c r="J871" s="2">
        <f ca="1">Table1[[#This Row],[Profit]]/Table1[[#This Row],[Sales]]</f>
        <v>0.35</v>
      </c>
      <c r="K871" t="str">
        <f ca="1">TEXT(Table1[[#This Row],[Order_Date]],"mmm")</f>
        <v>Nov</v>
      </c>
      <c r="L871">
        <f ca="1">YEAR(Table1[[#This Row],[Order_Date]])</f>
        <v>2023</v>
      </c>
    </row>
    <row r="872" spans="1:12" x14ac:dyDescent="0.3">
      <c r="A872">
        <f t="shared" si="52"/>
        <v>871</v>
      </c>
      <c r="B872" s="1">
        <f t="shared" ca="1" si="53"/>
        <v>45126</v>
      </c>
      <c r="C872" t="s">
        <v>9</v>
      </c>
      <c r="D872" t="str">
        <f t="shared" ca="1" si="54"/>
        <v>Office Supplies</v>
      </c>
      <c r="E872" t="s">
        <v>59</v>
      </c>
      <c r="F872" s="11">
        <v>14788</v>
      </c>
      <c r="G872">
        <f t="shared" ca="1" si="55"/>
        <v>10</v>
      </c>
      <c r="H872" s="11">
        <f ca="1">IF(Table1[[#This Row],[Category]]="Electronics",Table1[[#This Row],[Sales]]*0.6,
IF(Table1[[#This Row],[Category]]="Furniture",Table1[[#This Row],[Sales]]*0.75,
IF(Table1[[#This Row],[Category]]="Clothing",Table1[[#This Row],[Sales]]*0.65,
Table1[[#This Row],[Sales]]*0.7)))</f>
        <v>10351.599999999999</v>
      </c>
      <c r="I872" s="11">
        <f ca="1">Table1[[#This Row],[Sales]]-H872</f>
        <v>4436.4000000000015</v>
      </c>
      <c r="J872" s="2">
        <f ca="1">Table1[[#This Row],[Profit]]/Table1[[#This Row],[Sales]]</f>
        <v>0.3000000000000001</v>
      </c>
      <c r="K872" t="str">
        <f ca="1">TEXT(Table1[[#This Row],[Order_Date]],"mmm")</f>
        <v>Jul</v>
      </c>
      <c r="L872">
        <f ca="1">YEAR(Table1[[#This Row],[Order_Date]])</f>
        <v>2023</v>
      </c>
    </row>
    <row r="873" spans="1:12" x14ac:dyDescent="0.3">
      <c r="A873">
        <f t="shared" si="52"/>
        <v>872</v>
      </c>
      <c r="B873" s="1">
        <f t="shared" ca="1" si="53"/>
        <v>45006</v>
      </c>
      <c r="C873" t="s">
        <v>10</v>
      </c>
      <c r="D873" t="str">
        <f t="shared" ca="1" si="54"/>
        <v>Electronics</v>
      </c>
      <c r="E873" t="s">
        <v>55</v>
      </c>
      <c r="F873" s="11">
        <v>12560</v>
      </c>
      <c r="G873">
        <f t="shared" ca="1" si="55"/>
        <v>10</v>
      </c>
      <c r="H873" s="11">
        <f ca="1">IF(Table1[[#This Row],[Category]]="Electronics",Table1[[#This Row],[Sales]]*0.6,
IF(Table1[[#This Row],[Category]]="Furniture",Table1[[#This Row],[Sales]]*0.75,
IF(Table1[[#This Row],[Category]]="Clothing",Table1[[#This Row],[Sales]]*0.65,
Table1[[#This Row],[Sales]]*0.7)))</f>
        <v>7536</v>
      </c>
      <c r="I873" s="11">
        <f ca="1">Table1[[#This Row],[Sales]]-H873</f>
        <v>5024</v>
      </c>
      <c r="J873" s="2">
        <f ca="1">Table1[[#This Row],[Profit]]/Table1[[#This Row],[Sales]]</f>
        <v>0.4</v>
      </c>
      <c r="K873" t="str">
        <f ca="1">TEXT(Table1[[#This Row],[Order_Date]],"mmm")</f>
        <v>Mar</v>
      </c>
      <c r="L873">
        <f ca="1">YEAR(Table1[[#This Row],[Order_Date]])</f>
        <v>2023</v>
      </c>
    </row>
    <row r="874" spans="1:12" x14ac:dyDescent="0.3">
      <c r="A874">
        <f t="shared" si="52"/>
        <v>873</v>
      </c>
      <c r="B874" s="1">
        <f t="shared" ca="1" si="53"/>
        <v>45063</v>
      </c>
      <c r="C874" t="s">
        <v>7</v>
      </c>
      <c r="D874" t="str">
        <f t="shared" ca="1" si="54"/>
        <v>Clothing</v>
      </c>
      <c r="E874" t="s">
        <v>36</v>
      </c>
      <c r="F874" s="11">
        <v>19928</v>
      </c>
      <c r="G874">
        <f t="shared" ca="1" si="55"/>
        <v>1</v>
      </c>
      <c r="H874" s="11">
        <f ca="1">IF(Table1[[#This Row],[Category]]="Electronics",Table1[[#This Row],[Sales]]*0.6,
IF(Table1[[#This Row],[Category]]="Furniture",Table1[[#This Row],[Sales]]*0.75,
IF(Table1[[#This Row],[Category]]="Clothing",Table1[[#This Row],[Sales]]*0.65,
Table1[[#This Row],[Sales]]*0.7)))</f>
        <v>12953.2</v>
      </c>
      <c r="I874" s="11">
        <f ca="1">Table1[[#This Row],[Sales]]-H874</f>
        <v>6974.7999999999993</v>
      </c>
      <c r="J874" s="2">
        <f ca="1">Table1[[#This Row],[Profit]]/Table1[[#This Row],[Sales]]</f>
        <v>0.35</v>
      </c>
      <c r="K874" t="str">
        <f ca="1">TEXT(Table1[[#This Row],[Order_Date]],"mmm")</f>
        <v>May</v>
      </c>
      <c r="L874">
        <f ca="1">YEAR(Table1[[#This Row],[Order_Date]])</f>
        <v>2023</v>
      </c>
    </row>
    <row r="875" spans="1:12" x14ac:dyDescent="0.3">
      <c r="A875">
        <f t="shared" si="52"/>
        <v>874</v>
      </c>
      <c r="B875" s="1">
        <f t="shared" ca="1" si="53"/>
        <v>44966</v>
      </c>
      <c r="C875" t="s">
        <v>8</v>
      </c>
      <c r="D875" t="str">
        <f t="shared" ca="1" si="54"/>
        <v>Office Supplies</v>
      </c>
      <c r="E875" t="s">
        <v>61</v>
      </c>
      <c r="F875" s="11">
        <v>2772</v>
      </c>
      <c r="G875">
        <f t="shared" ca="1" si="55"/>
        <v>3</v>
      </c>
      <c r="H875" s="11">
        <f ca="1">IF(Table1[[#This Row],[Category]]="Electronics",Table1[[#This Row],[Sales]]*0.6,
IF(Table1[[#This Row],[Category]]="Furniture",Table1[[#This Row],[Sales]]*0.75,
IF(Table1[[#This Row],[Category]]="Clothing",Table1[[#This Row],[Sales]]*0.65,
Table1[[#This Row],[Sales]]*0.7)))</f>
        <v>1940.3999999999999</v>
      </c>
      <c r="I875" s="11">
        <f ca="1">Table1[[#This Row],[Sales]]-H875</f>
        <v>831.60000000000014</v>
      </c>
      <c r="J875" s="2">
        <f ca="1">Table1[[#This Row],[Profit]]/Table1[[#This Row],[Sales]]</f>
        <v>0.30000000000000004</v>
      </c>
      <c r="K875" t="str">
        <f ca="1">TEXT(Table1[[#This Row],[Order_Date]],"mmm")</f>
        <v>Feb</v>
      </c>
      <c r="L875">
        <f ca="1">YEAR(Table1[[#This Row],[Order_Date]])</f>
        <v>2023</v>
      </c>
    </row>
    <row r="876" spans="1:12" x14ac:dyDescent="0.3">
      <c r="A876">
        <f t="shared" si="52"/>
        <v>875</v>
      </c>
      <c r="B876" s="1">
        <f t="shared" ca="1" si="53"/>
        <v>45100</v>
      </c>
      <c r="C876" t="s">
        <v>9</v>
      </c>
      <c r="D876" t="str">
        <f t="shared" ca="1" si="54"/>
        <v>Clothing</v>
      </c>
      <c r="E876" t="s">
        <v>81</v>
      </c>
      <c r="F876" s="11">
        <v>5326</v>
      </c>
      <c r="G876">
        <f t="shared" ca="1" si="55"/>
        <v>9</v>
      </c>
      <c r="H876" s="11">
        <f ca="1">IF(Table1[[#This Row],[Category]]="Electronics",Table1[[#This Row],[Sales]]*0.6,
IF(Table1[[#This Row],[Category]]="Furniture",Table1[[#This Row],[Sales]]*0.75,
IF(Table1[[#This Row],[Category]]="Clothing",Table1[[#This Row],[Sales]]*0.65,
Table1[[#This Row],[Sales]]*0.7)))</f>
        <v>3461.9</v>
      </c>
      <c r="I876" s="11">
        <f ca="1">Table1[[#This Row],[Sales]]-H876</f>
        <v>1864.1</v>
      </c>
      <c r="J876" s="2">
        <f ca="1">Table1[[#This Row],[Profit]]/Table1[[#This Row],[Sales]]</f>
        <v>0.35</v>
      </c>
      <c r="K876" t="str">
        <f ca="1">TEXT(Table1[[#This Row],[Order_Date]],"mmm")</f>
        <v>Jun</v>
      </c>
      <c r="L876">
        <f ca="1">YEAR(Table1[[#This Row],[Order_Date]])</f>
        <v>2023</v>
      </c>
    </row>
    <row r="877" spans="1:12" x14ac:dyDescent="0.3">
      <c r="A877">
        <f t="shared" si="52"/>
        <v>876</v>
      </c>
      <c r="B877" s="1">
        <f t="shared" ca="1" si="53"/>
        <v>45207</v>
      </c>
      <c r="C877" t="s">
        <v>10</v>
      </c>
      <c r="D877" t="str">
        <f t="shared" ca="1" si="54"/>
        <v>Furniture</v>
      </c>
      <c r="E877" t="s">
        <v>72</v>
      </c>
      <c r="F877" s="11">
        <v>14356</v>
      </c>
      <c r="G877">
        <f t="shared" ca="1" si="55"/>
        <v>2</v>
      </c>
      <c r="H877" s="11">
        <f ca="1">IF(Table1[[#This Row],[Category]]="Electronics",Table1[[#This Row],[Sales]]*0.6,
IF(Table1[[#This Row],[Category]]="Furniture",Table1[[#This Row],[Sales]]*0.75,
IF(Table1[[#This Row],[Category]]="Clothing",Table1[[#This Row],[Sales]]*0.65,
Table1[[#This Row],[Sales]]*0.7)))</f>
        <v>10767</v>
      </c>
      <c r="I877" s="11">
        <f ca="1">Table1[[#This Row],[Sales]]-H877</f>
        <v>3589</v>
      </c>
      <c r="J877" s="2">
        <f ca="1">Table1[[#This Row],[Profit]]/Table1[[#This Row],[Sales]]</f>
        <v>0.25</v>
      </c>
      <c r="K877" t="str">
        <f ca="1">TEXT(Table1[[#This Row],[Order_Date]],"mmm")</f>
        <v>Oct</v>
      </c>
      <c r="L877">
        <f ca="1">YEAR(Table1[[#This Row],[Order_Date]])</f>
        <v>2023</v>
      </c>
    </row>
    <row r="878" spans="1:12" x14ac:dyDescent="0.3">
      <c r="A878">
        <f t="shared" si="52"/>
        <v>877</v>
      </c>
      <c r="B878" s="1">
        <f t="shared" ca="1" si="53"/>
        <v>45104</v>
      </c>
      <c r="C878" t="s">
        <v>7</v>
      </c>
      <c r="D878" t="str">
        <f t="shared" ca="1" si="54"/>
        <v>Electronics</v>
      </c>
      <c r="E878" t="s">
        <v>72</v>
      </c>
      <c r="F878" s="11">
        <v>16695</v>
      </c>
      <c r="G878">
        <f t="shared" ca="1" si="55"/>
        <v>3</v>
      </c>
      <c r="H878" s="11">
        <f ca="1">IF(Table1[[#This Row],[Category]]="Electronics",Table1[[#This Row],[Sales]]*0.6,
IF(Table1[[#This Row],[Category]]="Furniture",Table1[[#This Row],[Sales]]*0.75,
IF(Table1[[#This Row],[Category]]="Clothing",Table1[[#This Row],[Sales]]*0.65,
Table1[[#This Row],[Sales]]*0.7)))</f>
        <v>10017</v>
      </c>
      <c r="I878" s="11">
        <f ca="1">Table1[[#This Row],[Sales]]-H878</f>
        <v>6678</v>
      </c>
      <c r="J878" s="2">
        <f ca="1">Table1[[#This Row],[Profit]]/Table1[[#This Row],[Sales]]</f>
        <v>0.4</v>
      </c>
      <c r="K878" t="str">
        <f ca="1">TEXT(Table1[[#This Row],[Order_Date]],"mmm")</f>
        <v>Jun</v>
      </c>
      <c r="L878">
        <f ca="1">YEAR(Table1[[#This Row],[Order_Date]])</f>
        <v>2023</v>
      </c>
    </row>
    <row r="879" spans="1:12" x14ac:dyDescent="0.3">
      <c r="A879">
        <f t="shared" si="52"/>
        <v>878</v>
      </c>
      <c r="B879" s="1">
        <f t="shared" ca="1" si="53"/>
        <v>45022</v>
      </c>
      <c r="C879" t="s">
        <v>8</v>
      </c>
      <c r="D879" t="str">
        <f t="shared" ca="1" si="54"/>
        <v>Furniture</v>
      </c>
      <c r="E879" t="s">
        <v>41</v>
      </c>
      <c r="F879" s="11">
        <v>16302</v>
      </c>
      <c r="G879">
        <f t="shared" ca="1" si="55"/>
        <v>4</v>
      </c>
      <c r="H879" s="11">
        <f ca="1">IF(Table1[[#This Row],[Category]]="Electronics",Table1[[#This Row],[Sales]]*0.6,
IF(Table1[[#This Row],[Category]]="Furniture",Table1[[#This Row],[Sales]]*0.75,
IF(Table1[[#This Row],[Category]]="Clothing",Table1[[#This Row],[Sales]]*0.65,
Table1[[#This Row],[Sales]]*0.7)))</f>
        <v>12226.5</v>
      </c>
      <c r="I879" s="11">
        <f ca="1">Table1[[#This Row],[Sales]]-H879</f>
        <v>4075.5</v>
      </c>
      <c r="J879" s="2">
        <f ca="1">Table1[[#This Row],[Profit]]/Table1[[#This Row],[Sales]]</f>
        <v>0.25</v>
      </c>
      <c r="K879" t="str">
        <f ca="1">TEXT(Table1[[#This Row],[Order_Date]],"mmm")</f>
        <v>Apr</v>
      </c>
      <c r="L879">
        <f ca="1">YEAR(Table1[[#This Row],[Order_Date]])</f>
        <v>2023</v>
      </c>
    </row>
    <row r="880" spans="1:12" x14ac:dyDescent="0.3">
      <c r="A880">
        <f t="shared" si="52"/>
        <v>879</v>
      </c>
      <c r="B880" s="1">
        <f t="shared" ca="1" si="53"/>
        <v>45142</v>
      </c>
      <c r="C880" t="s">
        <v>9</v>
      </c>
      <c r="D880" t="str">
        <f t="shared" ca="1" si="54"/>
        <v>Furniture</v>
      </c>
      <c r="E880" t="s">
        <v>47</v>
      </c>
      <c r="F880" s="11">
        <v>16798</v>
      </c>
      <c r="G880">
        <f t="shared" ca="1" si="55"/>
        <v>8</v>
      </c>
      <c r="H880" s="11">
        <f ca="1">IF(Table1[[#This Row],[Category]]="Electronics",Table1[[#This Row],[Sales]]*0.6,
IF(Table1[[#This Row],[Category]]="Furniture",Table1[[#This Row],[Sales]]*0.75,
IF(Table1[[#This Row],[Category]]="Clothing",Table1[[#This Row],[Sales]]*0.65,
Table1[[#This Row],[Sales]]*0.7)))</f>
        <v>12598.5</v>
      </c>
      <c r="I880" s="11">
        <f ca="1">Table1[[#This Row],[Sales]]-H880</f>
        <v>4199.5</v>
      </c>
      <c r="J880" s="2">
        <f ca="1">Table1[[#This Row],[Profit]]/Table1[[#This Row],[Sales]]</f>
        <v>0.25</v>
      </c>
      <c r="K880" t="str">
        <f ca="1">TEXT(Table1[[#This Row],[Order_Date]],"mmm")</f>
        <v>Aug</v>
      </c>
      <c r="L880">
        <f ca="1">YEAR(Table1[[#This Row],[Order_Date]])</f>
        <v>2023</v>
      </c>
    </row>
    <row r="881" spans="1:12" x14ac:dyDescent="0.3">
      <c r="A881">
        <f t="shared" si="52"/>
        <v>880</v>
      </c>
      <c r="B881" s="1">
        <f t="shared" ca="1" si="53"/>
        <v>45249</v>
      </c>
      <c r="C881" t="s">
        <v>10</v>
      </c>
      <c r="D881" t="str">
        <f t="shared" ca="1" si="54"/>
        <v>Furniture</v>
      </c>
      <c r="E881" t="s">
        <v>40</v>
      </c>
      <c r="F881" s="11">
        <v>8172</v>
      </c>
      <c r="G881">
        <f t="shared" ca="1" si="55"/>
        <v>1</v>
      </c>
      <c r="H881" s="11">
        <f ca="1">IF(Table1[[#This Row],[Category]]="Electronics",Table1[[#This Row],[Sales]]*0.6,
IF(Table1[[#This Row],[Category]]="Furniture",Table1[[#This Row],[Sales]]*0.75,
IF(Table1[[#This Row],[Category]]="Clothing",Table1[[#This Row],[Sales]]*0.65,
Table1[[#This Row],[Sales]]*0.7)))</f>
        <v>6129</v>
      </c>
      <c r="I881" s="11">
        <f ca="1">Table1[[#This Row],[Sales]]-H881</f>
        <v>2043</v>
      </c>
      <c r="J881" s="2">
        <f ca="1">Table1[[#This Row],[Profit]]/Table1[[#This Row],[Sales]]</f>
        <v>0.25</v>
      </c>
      <c r="K881" t="str">
        <f ca="1">TEXT(Table1[[#This Row],[Order_Date]],"mmm")</f>
        <v>Nov</v>
      </c>
      <c r="L881">
        <f ca="1">YEAR(Table1[[#This Row],[Order_Date]])</f>
        <v>2023</v>
      </c>
    </row>
    <row r="882" spans="1:12" x14ac:dyDescent="0.3">
      <c r="A882">
        <f t="shared" si="52"/>
        <v>881</v>
      </c>
      <c r="B882" s="1">
        <f t="shared" ca="1" si="53"/>
        <v>45131</v>
      </c>
      <c r="C882" t="s">
        <v>7</v>
      </c>
      <c r="D882" t="str">
        <f t="shared" ca="1" si="54"/>
        <v>Electronics</v>
      </c>
      <c r="E882" t="s">
        <v>68</v>
      </c>
      <c r="F882" s="11">
        <v>5721</v>
      </c>
      <c r="G882">
        <f t="shared" ca="1" si="55"/>
        <v>6</v>
      </c>
      <c r="H882" s="11">
        <f ca="1">IF(Table1[[#This Row],[Category]]="Electronics",Table1[[#This Row],[Sales]]*0.6,
IF(Table1[[#This Row],[Category]]="Furniture",Table1[[#This Row],[Sales]]*0.75,
IF(Table1[[#This Row],[Category]]="Clothing",Table1[[#This Row],[Sales]]*0.65,
Table1[[#This Row],[Sales]]*0.7)))</f>
        <v>3432.6</v>
      </c>
      <c r="I882" s="11">
        <f ca="1">Table1[[#This Row],[Sales]]-H882</f>
        <v>2288.4</v>
      </c>
      <c r="J882" s="2">
        <f ca="1">Table1[[#This Row],[Profit]]/Table1[[#This Row],[Sales]]</f>
        <v>0.4</v>
      </c>
      <c r="K882" t="str">
        <f ca="1">TEXT(Table1[[#This Row],[Order_Date]],"mmm")</f>
        <v>Jul</v>
      </c>
      <c r="L882">
        <f ca="1">YEAR(Table1[[#This Row],[Order_Date]])</f>
        <v>2023</v>
      </c>
    </row>
    <row r="883" spans="1:12" x14ac:dyDescent="0.3">
      <c r="A883">
        <f t="shared" si="52"/>
        <v>882</v>
      </c>
      <c r="B883" s="1">
        <f t="shared" ca="1" si="53"/>
        <v>45061</v>
      </c>
      <c r="C883" t="s">
        <v>8</v>
      </c>
      <c r="D883" t="str">
        <f t="shared" ca="1" si="54"/>
        <v>Furniture</v>
      </c>
      <c r="E883" t="s">
        <v>58</v>
      </c>
      <c r="F883" s="11">
        <v>15670</v>
      </c>
      <c r="G883">
        <f t="shared" ca="1" si="55"/>
        <v>9</v>
      </c>
      <c r="H883" s="11">
        <f ca="1">IF(Table1[[#This Row],[Category]]="Electronics",Table1[[#This Row],[Sales]]*0.6,
IF(Table1[[#This Row],[Category]]="Furniture",Table1[[#This Row],[Sales]]*0.75,
IF(Table1[[#This Row],[Category]]="Clothing",Table1[[#This Row],[Sales]]*0.65,
Table1[[#This Row],[Sales]]*0.7)))</f>
        <v>11752.5</v>
      </c>
      <c r="I883" s="11">
        <f ca="1">Table1[[#This Row],[Sales]]-H883</f>
        <v>3917.5</v>
      </c>
      <c r="J883" s="2">
        <f ca="1">Table1[[#This Row],[Profit]]/Table1[[#This Row],[Sales]]</f>
        <v>0.25</v>
      </c>
      <c r="K883" t="str">
        <f ca="1">TEXT(Table1[[#This Row],[Order_Date]],"mmm")</f>
        <v>May</v>
      </c>
      <c r="L883">
        <f ca="1">YEAR(Table1[[#This Row],[Order_Date]])</f>
        <v>2023</v>
      </c>
    </row>
    <row r="884" spans="1:12" x14ac:dyDescent="0.3">
      <c r="A884">
        <f t="shared" si="52"/>
        <v>883</v>
      </c>
      <c r="B884" s="1">
        <f t="shared" ca="1" si="53"/>
        <v>45179</v>
      </c>
      <c r="C884" t="s">
        <v>9</v>
      </c>
      <c r="D884" t="str">
        <f t="shared" ca="1" si="54"/>
        <v>Clothing</v>
      </c>
      <c r="E884" t="s">
        <v>63</v>
      </c>
      <c r="F884" s="11">
        <v>2075</v>
      </c>
      <c r="G884">
        <f t="shared" ca="1" si="55"/>
        <v>10</v>
      </c>
      <c r="H884" s="11">
        <f ca="1">IF(Table1[[#This Row],[Category]]="Electronics",Table1[[#This Row],[Sales]]*0.6,
IF(Table1[[#This Row],[Category]]="Furniture",Table1[[#This Row],[Sales]]*0.75,
IF(Table1[[#This Row],[Category]]="Clothing",Table1[[#This Row],[Sales]]*0.65,
Table1[[#This Row],[Sales]]*0.7)))</f>
        <v>1348.75</v>
      </c>
      <c r="I884" s="11">
        <f ca="1">Table1[[#This Row],[Sales]]-H884</f>
        <v>726.25</v>
      </c>
      <c r="J884" s="2">
        <f ca="1">Table1[[#This Row],[Profit]]/Table1[[#This Row],[Sales]]</f>
        <v>0.35</v>
      </c>
      <c r="K884" t="str">
        <f ca="1">TEXT(Table1[[#This Row],[Order_Date]],"mmm")</f>
        <v>Sep</v>
      </c>
      <c r="L884">
        <f ca="1">YEAR(Table1[[#This Row],[Order_Date]])</f>
        <v>2023</v>
      </c>
    </row>
    <row r="885" spans="1:12" x14ac:dyDescent="0.3">
      <c r="A885">
        <f t="shared" si="52"/>
        <v>884</v>
      </c>
      <c r="B885" s="1">
        <f t="shared" ca="1" si="53"/>
        <v>45030</v>
      </c>
      <c r="C885" t="s">
        <v>10</v>
      </c>
      <c r="D885" t="str">
        <f t="shared" ca="1" si="54"/>
        <v>Clothing</v>
      </c>
      <c r="E885" t="s">
        <v>47</v>
      </c>
      <c r="F885" s="11">
        <v>16883</v>
      </c>
      <c r="G885">
        <f t="shared" ca="1" si="55"/>
        <v>10</v>
      </c>
      <c r="H885" s="11">
        <f ca="1">IF(Table1[[#This Row],[Category]]="Electronics",Table1[[#This Row],[Sales]]*0.6,
IF(Table1[[#This Row],[Category]]="Furniture",Table1[[#This Row],[Sales]]*0.75,
IF(Table1[[#This Row],[Category]]="Clothing",Table1[[#This Row],[Sales]]*0.65,
Table1[[#This Row],[Sales]]*0.7)))</f>
        <v>10973.95</v>
      </c>
      <c r="I885" s="11">
        <f ca="1">Table1[[#This Row],[Sales]]-H885</f>
        <v>5909.0499999999993</v>
      </c>
      <c r="J885" s="2">
        <f ca="1">Table1[[#This Row],[Profit]]/Table1[[#This Row],[Sales]]</f>
        <v>0.35</v>
      </c>
      <c r="K885" t="str">
        <f ca="1">TEXT(Table1[[#This Row],[Order_Date]],"mmm")</f>
        <v>Apr</v>
      </c>
      <c r="L885">
        <f ca="1">YEAR(Table1[[#This Row],[Order_Date]])</f>
        <v>2023</v>
      </c>
    </row>
    <row r="886" spans="1:12" x14ac:dyDescent="0.3">
      <c r="A886">
        <f t="shared" si="52"/>
        <v>885</v>
      </c>
      <c r="B886" s="1">
        <f t="shared" ca="1" si="53"/>
        <v>45050</v>
      </c>
      <c r="C886" t="s">
        <v>7</v>
      </c>
      <c r="D886" t="str">
        <f t="shared" ca="1" si="54"/>
        <v>Clothing</v>
      </c>
      <c r="E886" t="s">
        <v>39</v>
      </c>
      <c r="F886" s="11">
        <v>2839</v>
      </c>
      <c r="G886">
        <f t="shared" ca="1" si="55"/>
        <v>9</v>
      </c>
      <c r="H886" s="11">
        <f ca="1">IF(Table1[[#This Row],[Category]]="Electronics",Table1[[#This Row],[Sales]]*0.6,
IF(Table1[[#This Row],[Category]]="Furniture",Table1[[#This Row],[Sales]]*0.75,
IF(Table1[[#This Row],[Category]]="Clothing",Table1[[#This Row],[Sales]]*0.65,
Table1[[#This Row],[Sales]]*0.7)))</f>
        <v>1845.3500000000001</v>
      </c>
      <c r="I886" s="11">
        <f ca="1">Table1[[#This Row],[Sales]]-H886</f>
        <v>993.64999999999986</v>
      </c>
      <c r="J886" s="2">
        <f ca="1">Table1[[#This Row],[Profit]]/Table1[[#This Row],[Sales]]</f>
        <v>0.35</v>
      </c>
      <c r="K886" t="str">
        <f ca="1">TEXT(Table1[[#This Row],[Order_Date]],"mmm")</f>
        <v>May</v>
      </c>
      <c r="L886">
        <f ca="1">YEAR(Table1[[#This Row],[Order_Date]])</f>
        <v>2023</v>
      </c>
    </row>
    <row r="887" spans="1:12" x14ac:dyDescent="0.3">
      <c r="A887">
        <f t="shared" si="52"/>
        <v>886</v>
      </c>
      <c r="B887" s="1">
        <f t="shared" ca="1" si="53"/>
        <v>45287</v>
      </c>
      <c r="C887" t="s">
        <v>8</v>
      </c>
      <c r="D887" t="str">
        <f t="shared" ca="1" si="54"/>
        <v>Office Supplies</v>
      </c>
      <c r="E887" t="s">
        <v>59</v>
      </c>
      <c r="F887" s="11">
        <v>3855</v>
      </c>
      <c r="G887">
        <f t="shared" ca="1" si="55"/>
        <v>7</v>
      </c>
      <c r="H887" s="11">
        <f ca="1">IF(Table1[[#This Row],[Category]]="Electronics",Table1[[#This Row],[Sales]]*0.6,
IF(Table1[[#This Row],[Category]]="Furniture",Table1[[#This Row],[Sales]]*0.75,
IF(Table1[[#This Row],[Category]]="Clothing",Table1[[#This Row],[Sales]]*0.65,
Table1[[#This Row],[Sales]]*0.7)))</f>
        <v>2698.5</v>
      </c>
      <c r="I887" s="11">
        <f ca="1">Table1[[#This Row],[Sales]]-H887</f>
        <v>1156.5</v>
      </c>
      <c r="J887" s="2">
        <f ca="1">Table1[[#This Row],[Profit]]/Table1[[#This Row],[Sales]]</f>
        <v>0.3</v>
      </c>
      <c r="K887" t="str">
        <f ca="1">TEXT(Table1[[#This Row],[Order_Date]],"mmm")</f>
        <v>Dec</v>
      </c>
      <c r="L887">
        <f ca="1">YEAR(Table1[[#This Row],[Order_Date]])</f>
        <v>2023</v>
      </c>
    </row>
    <row r="888" spans="1:12" x14ac:dyDescent="0.3">
      <c r="A888">
        <f t="shared" si="52"/>
        <v>887</v>
      </c>
      <c r="B888" s="1">
        <f t="shared" ca="1" si="53"/>
        <v>45244</v>
      </c>
      <c r="C888" t="s">
        <v>9</v>
      </c>
      <c r="D888" t="str">
        <f t="shared" ca="1" si="54"/>
        <v>Office Supplies</v>
      </c>
      <c r="E888" t="s">
        <v>84</v>
      </c>
      <c r="F888" s="11">
        <v>3489</v>
      </c>
      <c r="G888">
        <f t="shared" ca="1" si="55"/>
        <v>6</v>
      </c>
      <c r="H888" s="11">
        <f ca="1">IF(Table1[[#This Row],[Category]]="Electronics",Table1[[#This Row],[Sales]]*0.6,
IF(Table1[[#This Row],[Category]]="Furniture",Table1[[#This Row],[Sales]]*0.75,
IF(Table1[[#This Row],[Category]]="Clothing",Table1[[#This Row],[Sales]]*0.65,
Table1[[#This Row],[Sales]]*0.7)))</f>
        <v>2442.2999999999997</v>
      </c>
      <c r="I888" s="11">
        <f ca="1">Table1[[#This Row],[Sales]]-H888</f>
        <v>1046.7000000000003</v>
      </c>
      <c r="J888" s="2">
        <f ca="1">Table1[[#This Row],[Profit]]/Table1[[#This Row],[Sales]]</f>
        <v>0.3000000000000001</v>
      </c>
      <c r="K888" t="str">
        <f ca="1">TEXT(Table1[[#This Row],[Order_Date]],"mmm")</f>
        <v>Nov</v>
      </c>
      <c r="L888">
        <f ca="1">YEAR(Table1[[#This Row],[Order_Date]])</f>
        <v>2023</v>
      </c>
    </row>
    <row r="889" spans="1:12" x14ac:dyDescent="0.3">
      <c r="A889">
        <f t="shared" si="52"/>
        <v>888</v>
      </c>
      <c r="B889" s="1">
        <f t="shared" ca="1" si="53"/>
        <v>44942</v>
      </c>
      <c r="C889" t="s">
        <v>10</v>
      </c>
      <c r="D889" t="str">
        <f t="shared" ca="1" si="54"/>
        <v>Office Supplies</v>
      </c>
      <c r="E889" t="s">
        <v>55</v>
      </c>
      <c r="F889" s="11">
        <v>3966</v>
      </c>
      <c r="G889">
        <f t="shared" ca="1" si="55"/>
        <v>5</v>
      </c>
      <c r="H889" s="11">
        <f ca="1">IF(Table1[[#This Row],[Category]]="Electronics",Table1[[#This Row],[Sales]]*0.6,
IF(Table1[[#This Row],[Category]]="Furniture",Table1[[#This Row],[Sales]]*0.75,
IF(Table1[[#This Row],[Category]]="Clothing",Table1[[#This Row],[Sales]]*0.65,
Table1[[#This Row],[Sales]]*0.7)))</f>
        <v>2776.2</v>
      </c>
      <c r="I889" s="11">
        <f ca="1">Table1[[#This Row],[Sales]]-H889</f>
        <v>1189.8000000000002</v>
      </c>
      <c r="J889" s="2">
        <f ca="1">Table1[[#This Row],[Profit]]/Table1[[#This Row],[Sales]]</f>
        <v>0.30000000000000004</v>
      </c>
      <c r="K889" t="str">
        <f ca="1">TEXT(Table1[[#This Row],[Order_Date]],"mmm")</f>
        <v>Jan</v>
      </c>
      <c r="L889">
        <f ca="1">YEAR(Table1[[#This Row],[Order_Date]])</f>
        <v>2023</v>
      </c>
    </row>
    <row r="890" spans="1:12" x14ac:dyDescent="0.3">
      <c r="A890">
        <f t="shared" si="52"/>
        <v>889</v>
      </c>
      <c r="B890" s="1">
        <f t="shared" ca="1" si="53"/>
        <v>44939</v>
      </c>
      <c r="C890" t="s">
        <v>7</v>
      </c>
      <c r="D890" t="str">
        <f t="shared" ca="1" si="54"/>
        <v>Electronics</v>
      </c>
      <c r="E890" t="s">
        <v>80</v>
      </c>
      <c r="F890" s="11">
        <v>9922</v>
      </c>
      <c r="G890">
        <f t="shared" ca="1" si="55"/>
        <v>1</v>
      </c>
      <c r="H890" s="11">
        <f ca="1">IF(Table1[[#This Row],[Category]]="Electronics",Table1[[#This Row],[Sales]]*0.6,
IF(Table1[[#This Row],[Category]]="Furniture",Table1[[#This Row],[Sales]]*0.75,
IF(Table1[[#This Row],[Category]]="Clothing",Table1[[#This Row],[Sales]]*0.65,
Table1[[#This Row],[Sales]]*0.7)))</f>
        <v>5953.2</v>
      </c>
      <c r="I890" s="11">
        <f ca="1">Table1[[#This Row],[Sales]]-H890</f>
        <v>3968.8</v>
      </c>
      <c r="J890" s="2">
        <f ca="1">Table1[[#This Row],[Profit]]/Table1[[#This Row],[Sales]]</f>
        <v>0.4</v>
      </c>
      <c r="K890" t="str">
        <f ca="1">TEXT(Table1[[#This Row],[Order_Date]],"mmm")</f>
        <v>Jan</v>
      </c>
      <c r="L890">
        <f ca="1">YEAR(Table1[[#This Row],[Order_Date]])</f>
        <v>2023</v>
      </c>
    </row>
    <row r="891" spans="1:12" x14ac:dyDescent="0.3">
      <c r="A891">
        <f t="shared" si="52"/>
        <v>890</v>
      </c>
      <c r="B891" s="1">
        <f t="shared" ca="1" si="53"/>
        <v>45186</v>
      </c>
      <c r="C891" t="s">
        <v>8</v>
      </c>
      <c r="D891" t="str">
        <f t="shared" ca="1" si="54"/>
        <v>Electronics</v>
      </c>
      <c r="E891" t="s">
        <v>39</v>
      </c>
      <c r="F891" s="11">
        <v>9696</v>
      </c>
      <c r="G891">
        <f t="shared" ca="1" si="55"/>
        <v>10</v>
      </c>
      <c r="H891" s="11">
        <f ca="1">IF(Table1[[#This Row],[Category]]="Electronics",Table1[[#This Row],[Sales]]*0.6,
IF(Table1[[#This Row],[Category]]="Furniture",Table1[[#This Row],[Sales]]*0.75,
IF(Table1[[#This Row],[Category]]="Clothing",Table1[[#This Row],[Sales]]*0.65,
Table1[[#This Row],[Sales]]*0.7)))</f>
        <v>5817.5999999999995</v>
      </c>
      <c r="I891" s="11">
        <f ca="1">Table1[[#This Row],[Sales]]-H891</f>
        <v>3878.4000000000005</v>
      </c>
      <c r="J891" s="2">
        <f ca="1">Table1[[#This Row],[Profit]]/Table1[[#This Row],[Sales]]</f>
        <v>0.40000000000000008</v>
      </c>
      <c r="K891" t="str">
        <f ca="1">TEXT(Table1[[#This Row],[Order_Date]],"mmm")</f>
        <v>Sep</v>
      </c>
      <c r="L891">
        <f ca="1">YEAR(Table1[[#This Row],[Order_Date]])</f>
        <v>2023</v>
      </c>
    </row>
    <row r="892" spans="1:12" x14ac:dyDescent="0.3">
      <c r="A892">
        <f t="shared" si="52"/>
        <v>891</v>
      </c>
      <c r="B892" s="1">
        <f t="shared" ca="1" si="53"/>
        <v>45004</v>
      </c>
      <c r="C892" t="s">
        <v>9</v>
      </c>
      <c r="D892" t="str">
        <f t="shared" ca="1" si="54"/>
        <v>Clothing</v>
      </c>
      <c r="E892" t="s">
        <v>42</v>
      </c>
      <c r="F892" s="11">
        <v>15186</v>
      </c>
      <c r="G892">
        <f t="shared" ca="1" si="55"/>
        <v>8</v>
      </c>
      <c r="H892" s="11">
        <f ca="1">IF(Table1[[#This Row],[Category]]="Electronics",Table1[[#This Row],[Sales]]*0.6,
IF(Table1[[#This Row],[Category]]="Furniture",Table1[[#This Row],[Sales]]*0.75,
IF(Table1[[#This Row],[Category]]="Clothing",Table1[[#This Row],[Sales]]*0.65,
Table1[[#This Row],[Sales]]*0.7)))</f>
        <v>9870.9</v>
      </c>
      <c r="I892" s="11">
        <f ca="1">Table1[[#This Row],[Sales]]-H892</f>
        <v>5315.1</v>
      </c>
      <c r="J892" s="2">
        <f ca="1">Table1[[#This Row],[Profit]]/Table1[[#This Row],[Sales]]</f>
        <v>0.35000000000000003</v>
      </c>
      <c r="K892" t="str">
        <f ca="1">TEXT(Table1[[#This Row],[Order_Date]],"mmm")</f>
        <v>Mar</v>
      </c>
      <c r="L892">
        <f ca="1">YEAR(Table1[[#This Row],[Order_Date]])</f>
        <v>2023</v>
      </c>
    </row>
    <row r="893" spans="1:12" x14ac:dyDescent="0.3">
      <c r="A893">
        <f t="shared" si="52"/>
        <v>892</v>
      </c>
      <c r="B893" s="1">
        <f t="shared" ca="1" si="53"/>
        <v>45202</v>
      </c>
      <c r="C893" t="s">
        <v>10</v>
      </c>
      <c r="D893" t="str">
        <f t="shared" ca="1" si="54"/>
        <v>Electronics</v>
      </c>
      <c r="E893" t="s">
        <v>44</v>
      </c>
      <c r="F893" s="11">
        <v>10197</v>
      </c>
      <c r="G893">
        <f t="shared" ca="1" si="55"/>
        <v>6</v>
      </c>
      <c r="H893" s="11">
        <f ca="1">IF(Table1[[#This Row],[Category]]="Electronics",Table1[[#This Row],[Sales]]*0.6,
IF(Table1[[#This Row],[Category]]="Furniture",Table1[[#This Row],[Sales]]*0.75,
IF(Table1[[#This Row],[Category]]="Clothing",Table1[[#This Row],[Sales]]*0.65,
Table1[[#This Row],[Sales]]*0.7)))</f>
        <v>6118.2</v>
      </c>
      <c r="I893" s="11">
        <f ca="1">Table1[[#This Row],[Sales]]-H893</f>
        <v>4078.8</v>
      </c>
      <c r="J893" s="2">
        <f ca="1">Table1[[#This Row],[Profit]]/Table1[[#This Row],[Sales]]</f>
        <v>0.4</v>
      </c>
      <c r="K893" t="str">
        <f ca="1">TEXT(Table1[[#This Row],[Order_Date]],"mmm")</f>
        <v>Oct</v>
      </c>
      <c r="L893">
        <f ca="1">YEAR(Table1[[#This Row],[Order_Date]])</f>
        <v>2023</v>
      </c>
    </row>
    <row r="894" spans="1:12" x14ac:dyDescent="0.3">
      <c r="A894">
        <f t="shared" si="52"/>
        <v>893</v>
      </c>
      <c r="B894" s="1">
        <f t="shared" ca="1" si="53"/>
        <v>44991</v>
      </c>
      <c r="C894" t="s">
        <v>7</v>
      </c>
      <c r="D894" t="str">
        <f t="shared" ca="1" si="54"/>
        <v>Furniture</v>
      </c>
      <c r="E894" t="s">
        <v>67</v>
      </c>
      <c r="F894" s="11">
        <v>17559</v>
      </c>
      <c r="G894">
        <f t="shared" ca="1" si="55"/>
        <v>1</v>
      </c>
      <c r="H894" s="11">
        <f ca="1">IF(Table1[[#This Row],[Category]]="Electronics",Table1[[#This Row],[Sales]]*0.6,
IF(Table1[[#This Row],[Category]]="Furniture",Table1[[#This Row],[Sales]]*0.75,
IF(Table1[[#This Row],[Category]]="Clothing",Table1[[#This Row],[Sales]]*0.65,
Table1[[#This Row],[Sales]]*0.7)))</f>
        <v>13169.25</v>
      </c>
      <c r="I894" s="11">
        <f ca="1">Table1[[#This Row],[Sales]]-H894</f>
        <v>4389.75</v>
      </c>
      <c r="J894" s="2">
        <f ca="1">Table1[[#This Row],[Profit]]/Table1[[#This Row],[Sales]]</f>
        <v>0.25</v>
      </c>
      <c r="K894" t="str">
        <f ca="1">TEXT(Table1[[#This Row],[Order_Date]],"mmm")</f>
        <v>Mar</v>
      </c>
      <c r="L894">
        <f ca="1">YEAR(Table1[[#This Row],[Order_Date]])</f>
        <v>2023</v>
      </c>
    </row>
    <row r="895" spans="1:12" x14ac:dyDescent="0.3">
      <c r="A895">
        <f t="shared" si="52"/>
        <v>894</v>
      </c>
      <c r="B895" s="1">
        <f t="shared" ca="1" si="53"/>
        <v>45173</v>
      </c>
      <c r="C895" t="s">
        <v>8</v>
      </c>
      <c r="D895" t="str">
        <f t="shared" ca="1" si="54"/>
        <v>Furniture</v>
      </c>
      <c r="E895" t="s">
        <v>84</v>
      </c>
      <c r="F895" s="11">
        <v>13550</v>
      </c>
      <c r="G895">
        <f t="shared" ca="1" si="55"/>
        <v>7</v>
      </c>
      <c r="H895" s="11">
        <f ca="1">IF(Table1[[#This Row],[Category]]="Electronics",Table1[[#This Row],[Sales]]*0.6,
IF(Table1[[#This Row],[Category]]="Furniture",Table1[[#This Row],[Sales]]*0.75,
IF(Table1[[#This Row],[Category]]="Clothing",Table1[[#This Row],[Sales]]*0.65,
Table1[[#This Row],[Sales]]*0.7)))</f>
        <v>10162.5</v>
      </c>
      <c r="I895" s="11">
        <f ca="1">Table1[[#This Row],[Sales]]-H895</f>
        <v>3387.5</v>
      </c>
      <c r="J895" s="2">
        <f ca="1">Table1[[#This Row],[Profit]]/Table1[[#This Row],[Sales]]</f>
        <v>0.25</v>
      </c>
      <c r="K895" t="str">
        <f ca="1">TEXT(Table1[[#This Row],[Order_Date]],"mmm")</f>
        <v>Sep</v>
      </c>
      <c r="L895">
        <f ca="1">YEAR(Table1[[#This Row],[Order_Date]])</f>
        <v>2023</v>
      </c>
    </row>
    <row r="896" spans="1:12" x14ac:dyDescent="0.3">
      <c r="A896">
        <f t="shared" si="52"/>
        <v>895</v>
      </c>
      <c r="B896" s="1">
        <f t="shared" ca="1" si="53"/>
        <v>45081</v>
      </c>
      <c r="C896" t="s">
        <v>9</v>
      </c>
      <c r="D896" t="str">
        <f t="shared" ca="1" si="54"/>
        <v>Office Supplies</v>
      </c>
      <c r="E896" t="s">
        <v>73</v>
      </c>
      <c r="F896" s="11">
        <v>10063</v>
      </c>
      <c r="G896">
        <f t="shared" ca="1" si="55"/>
        <v>3</v>
      </c>
      <c r="H896" s="11">
        <f ca="1">IF(Table1[[#This Row],[Category]]="Electronics",Table1[[#This Row],[Sales]]*0.6,
IF(Table1[[#This Row],[Category]]="Furniture",Table1[[#This Row],[Sales]]*0.75,
IF(Table1[[#This Row],[Category]]="Clothing",Table1[[#This Row],[Sales]]*0.65,
Table1[[#This Row],[Sales]]*0.7)))</f>
        <v>7044.0999999999995</v>
      </c>
      <c r="I896" s="11">
        <f ca="1">Table1[[#This Row],[Sales]]-H896</f>
        <v>3018.9000000000005</v>
      </c>
      <c r="J896" s="2">
        <f ca="1">Table1[[#This Row],[Profit]]/Table1[[#This Row],[Sales]]</f>
        <v>0.30000000000000004</v>
      </c>
      <c r="K896" t="str">
        <f ca="1">TEXT(Table1[[#This Row],[Order_Date]],"mmm")</f>
        <v>Jun</v>
      </c>
      <c r="L896">
        <f ca="1">YEAR(Table1[[#This Row],[Order_Date]])</f>
        <v>2023</v>
      </c>
    </row>
    <row r="897" spans="1:12" x14ac:dyDescent="0.3">
      <c r="A897">
        <f t="shared" si="52"/>
        <v>896</v>
      </c>
      <c r="B897" s="1">
        <f t="shared" ca="1" si="53"/>
        <v>44976</v>
      </c>
      <c r="C897" t="s">
        <v>10</v>
      </c>
      <c r="D897" t="str">
        <f t="shared" ca="1" si="54"/>
        <v>Office Supplies</v>
      </c>
      <c r="E897" t="s">
        <v>74</v>
      </c>
      <c r="F897" s="11">
        <v>1528</v>
      </c>
      <c r="G897">
        <f t="shared" ca="1" si="55"/>
        <v>3</v>
      </c>
      <c r="H897" s="11">
        <f ca="1">IF(Table1[[#This Row],[Category]]="Electronics",Table1[[#This Row],[Sales]]*0.6,
IF(Table1[[#This Row],[Category]]="Furniture",Table1[[#This Row],[Sales]]*0.75,
IF(Table1[[#This Row],[Category]]="Clothing",Table1[[#This Row],[Sales]]*0.65,
Table1[[#This Row],[Sales]]*0.7)))</f>
        <v>1069.5999999999999</v>
      </c>
      <c r="I897" s="11">
        <f ca="1">Table1[[#This Row],[Sales]]-H897</f>
        <v>458.40000000000009</v>
      </c>
      <c r="J897" s="2">
        <f ca="1">Table1[[#This Row],[Profit]]/Table1[[#This Row],[Sales]]</f>
        <v>0.30000000000000004</v>
      </c>
      <c r="K897" t="str">
        <f ca="1">TEXT(Table1[[#This Row],[Order_Date]],"mmm")</f>
        <v>Feb</v>
      </c>
      <c r="L897">
        <f ca="1">YEAR(Table1[[#This Row],[Order_Date]])</f>
        <v>2023</v>
      </c>
    </row>
    <row r="898" spans="1:12" x14ac:dyDescent="0.3">
      <c r="A898">
        <f t="shared" si="52"/>
        <v>897</v>
      </c>
      <c r="B898" s="1">
        <f t="shared" ca="1" si="53"/>
        <v>44985</v>
      </c>
      <c r="C898" t="s">
        <v>7</v>
      </c>
      <c r="D898" t="str">
        <f t="shared" ca="1" si="54"/>
        <v>Clothing</v>
      </c>
      <c r="E898" t="s">
        <v>63</v>
      </c>
      <c r="F898" s="11">
        <v>13054</v>
      </c>
      <c r="G898">
        <f t="shared" ca="1" si="55"/>
        <v>1</v>
      </c>
      <c r="H898" s="11">
        <f ca="1">IF(Table1[[#This Row],[Category]]="Electronics",Table1[[#This Row],[Sales]]*0.6,
IF(Table1[[#This Row],[Category]]="Furniture",Table1[[#This Row],[Sales]]*0.75,
IF(Table1[[#This Row],[Category]]="Clothing",Table1[[#This Row],[Sales]]*0.65,
Table1[[#This Row],[Sales]]*0.7)))</f>
        <v>8485.1</v>
      </c>
      <c r="I898" s="11">
        <f ca="1">Table1[[#This Row],[Sales]]-H898</f>
        <v>4568.8999999999996</v>
      </c>
      <c r="J898" s="2">
        <f ca="1">Table1[[#This Row],[Profit]]/Table1[[#This Row],[Sales]]</f>
        <v>0.35</v>
      </c>
      <c r="K898" t="str">
        <f ca="1">TEXT(Table1[[#This Row],[Order_Date]],"mmm")</f>
        <v>Feb</v>
      </c>
      <c r="L898">
        <f ca="1">YEAR(Table1[[#This Row],[Order_Date]])</f>
        <v>2023</v>
      </c>
    </row>
    <row r="899" spans="1:12" x14ac:dyDescent="0.3">
      <c r="A899">
        <f t="shared" ref="A899:A962" si="56">ROW()-1</f>
        <v>898</v>
      </c>
      <c r="B899" s="1">
        <f t="shared" ref="B899:B962" ca="1" si="57">DATE(2023, RANDBETWEEN(1,12), RANDBETWEEN(1,28))</f>
        <v>44986</v>
      </c>
      <c r="C899" t="s">
        <v>8</v>
      </c>
      <c r="D899" t="str">
        <f t="shared" ref="D899:D962" ca="1" si="58">CHOOSE(RANDBETWEEN(1,4),"Electronics","Furniture","Clothing","Office Supplies")</f>
        <v>Office Supplies</v>
      </c>
      <c r="E899" t="s">
        <v>81</v>
      </c>
      <c r="F899" s="11">
        <v>5212</v>
      </c>
      <c r="G899">
        <f t="shared" ref="G899:G962" ca="1" si="59">RANDBETWEEN(1,10)</f>
        <v>8</v>
      </c>
      <c r="H899" s="11">
        <f ca="1">IF(Table1[[#This Row],[Category]]="Electronics",Table1[[#This Row],[Sales]]*0.6,
IF(Table1[[#This Row],[Category]]="Furniture",Table1[[#This Row],[Sales]]*0.75,
IF(Table1[[#This Row],[Category]]="Clothing",Table1[[#This Row],[Sales]]*0.65,
Table1[[#This Row],[Sales]]*0.7)))</f>
        <v>3648.3999999999996</v>
      </c>
      <c r="I899" s="11">
        <f ca="1">Table1[[#This Row],[Sales]]-H899</f>
        <v>1563.6000000000004</v>
      </c>
      <c r="J899" s="2">
        <f ca="1">Table1[[#This Row],[Profit]]/Table1[[#This Row],[Sales]]</f>
        <v>0.30000000000000004</v>
      </c>
      <c r="K899" t="str">
        <f ca="1">TEXT(Table1[[#This Row],[Order_Date]],"mmm")</f>
        <v>Mar</v>
      </c>
      <c r="L899">
        <f ca="1">YEAR(Table1[[#This Row],[Order_Date]])</f>
        <v>2023</v>
      </c>
    </row>
    <row r="900" spans="1:12" x14ac:dyDescent="0.3">
      <c r="A900">
        <f t="shared" si="56"/>
        <v>899</v>
      </c>
      <c r="B900" s="1">
        <f t="shared" ca="1" si="57"/>
        <v>45264</v>
      </c>
      <c r="C900" t="s">
        <v>9</v>
      </c>
      <c r="D900" t="str">
        <f t="shared" ca="1" si="58"/>
        <v>Office Supplies</v>
      </c>
      <c r="E900" t="s">
        <v>70</v>
      </c>
      <c r="F900" s="11">
        <v>17436</v>
      </c>
      <c r="G900">
        <f t="shared" ca="1" si="59"/>
        <v>2</v>
      </c>
      <c r="H900" s="11">
        <f ca="1">IF(Table1[[#This Row],[Category]]="Electronics",Table1[[#This Row],[Sales]]*0.6,
IF(Table1[[#This Row],[Category]]="Furniture",Table1[[#This Row],[Sales]]*0.75,
IF(Table1[[#This Row],[Category]]="Clothing",Table1[[#This Row],[Sales]]*0.65,
Table1[[#This Row],[Sales]]*0.7)))</f>
        <v>12205.199999999999</v>
      </c>
      <c r="I900" s="11">
        <f ca="1">Table1[[#This Row],[Sales]]-H900</f>
        <v>5230.8000000000011</v>
      </c>
      <c r="J900" s="2">
        <f ca="1">Table1[[#This Row],[Profit]]/Table1[[#This Row],[Sales]]</f>
        <v>0.30000000000000004</v>
      </c>
      <c r="K900" t="str">
        <f ca="1">TEXT(Table1[[#This Row],[Order_Date]],"mmm")</f>
        <v>Dec</v>
      </c>
      <c r="L900">
        <f ca="1">YEAR(Table1[[#This Row],[Order_Date]])</f>
        <v>2023</v>
      </c>
    </row>
    <row r="901" spans="1:12" x14ac:dyDescent="0.3">
      <c r="A901">
        <f t="shared" si="56"/>
        <v>900</v>
      </c>
      <c r="B901" s="1">
        <f t="shared" ca="1" si="57"/>
        <v>45144</v>
      </c>
      <c r="C901" t="s">
        <v>10</v>
      </c>
      <c r="D901" t="str">
        <f t="shared" ca="1" si="58"/>
        <v>Office Supplies</v>
      </c>
      <c r="E901" t="s">
        <v>36</v>
      </c>
      <c r="F901" s="11">
        <v>8125</v>
      </c>
      <c r="G901">
        <f t="shared" ca="1" si="59"/>
        <v>2</v>
      </c>
      <c r="H901" s="11">
        <f ca="1">IF(Table1[[#This Row],[Category]]="Electronics",Table1[[#This Row],[Sales]]*0.6,
IF(Table1[[#This Row],[Category]]="Furniture",Table1[[#This Row],[Sales]]*0.75,
IF(Table1[[#This Row],[Category]]="Clothing",Table1[[#This Row],[Sales]]*0.65,
Table1[[#This Row],[Sales]]*0.7)))</f>
        <v>5687.5</v>
      </c>
      <c r="I901" s="11">
        <f ca="1">Table1[[#This Row],[Sales]]-H901</f>
        <v>2437.5</v>
      </c>
      <c r="J901" s="2">
        <f ca="1">Table1[[#This Row],[Profit]]/Table1[[#This Row],[Sales]]</f>
        <v>0.3</v>
      </c>
      <c r="K901" t="str">
        <f ca="1">TEXT(Table1[[#This Row],[Order_Date]],"mmm")</f>
        <v>Aug</v>
      </c>
      <c r="L901">
        <f ca="1">YEAR(Table1[[#This Row],[Order_Date]])</f>
        <v>2023</v>
      </c>
    </row>
    <row r="902" spans="1:12" x14ac:dyDescent="0.3">
      <c r="A902">
        <f t="shared" si="56"/>
        <v>901</v>
      </c>
      <c r="B902" s="1">
        <f t="shared" ca="1" si="57"/>
        <v>45081</v>
      </c>
      <c r="C902" t="s">
        <v>7</v>
      </c>
      <c r="D902" t="str">
        <f t="shared" ca="1" si="58"/>
        <v>Clothing</v>
      </c>
      <c r="E902" t="s">
        <v>56</v>
      </c>
      <c r="F902" s="11">
        <v>5145</v>
      </c>
      <c r="G902">
        <f t="shared" ca="1" si="59"/>
        <v>5</v>
      </c>
      <c r="H902" s="11">
        <f ca="1">IF(Table1[[#This Row],[Category]]="Electronics",Table1[[#This Row],[Sales]]*0.6,
IF(Table1[[#This Row],[Category]]="Furniture",Table1[[#This Row],[Sales]]*0.75,
IF(Table1[[#This Row],[Category]]="Clothing",Table1[[#This Row],[Sales]]*0.65,
Table1[[#This Row],[Sales]]*0.7)))</f>
        <v>3344.25</v>
      </c>
      <c r="I902" s="11">
        <f ca="1">Table1[[#This Row],[Sales]]-H902</f>
        <v>1800.75</v>
      </c>
      <c r="J902" s="2">
        <f ca="1">Table1[[#This Row],[Profit]]/Table1[[#This Row],[Sales]]</f>
        <v>0.35</v>
      </c>
      <c r="K902" t="str">
        <f ca="1">TEXT(Table1[[#This Row],[Order_Date]],"mmm")</f>
        <v>Jun</v>
      </c>
      <c r="L902">
        <f ca="1">YEAR(Table1[[#This Row],[Order_Date]])</f>
        <v>2023</v>
      </c>
    </row>
    <row r="903" spans="1:12" x14ac:dyDescent="0.3">
      <c r="A903">
        <f t="shared" si="56"/>
        <v>902</v>
      </c>
      <c r="B903" s="1">
        <f t="shared" ca="1" si="57"/>
        <v>45113</v>
      </c>
      <c r="C903" t="s">
        <v>8</v>
      </c>
      <c r="D903" t="str">
        <f t="shared" ca="1" si="58"/>
        <v>Furniture</v>
      </c>
      <c r="E903" t="s">
        <v>67</v>
      </c>
      <c r="F903" s="11">
        <v>11812</v>
      </c>
      <c r="G903">
        <f t="shared" ca="1" si="59"/>
        <v>10</v>
      </c>
      <c r="H903" s="11">
        <f ca="1">IF(Table1[[#This Row],[Category]]="Electronics",Table1[[#This Row],[Sales]]*0.6,
IF(Table1[[#This Row],[Category]]="Furniture",Table1[[#This Row],[Sales]]*0.75,
IF(Table1[[#This Row],[Category]]="Clothing",Table1[[#This Row],[Sales]]*0.65,
Table1[[#This Row],[Sales]]*0.7)))</f>
        <v>8859</v>
      </c>
      <c r="I903" s="11">
        <f ca="1">Table1[[#This Row],[Sales]]-H903</f>
        <v>2953</v>
      </c>
      <c r="J903" s="2">
        <f ca="1">Table1[[#This Row],[Profit]]/Table1[[#This Row],[Sales]]</f>
        <v>0.25</v>
      </c>
      <c r="K903" t="str">
        <f ca="1">TEXT(Table1[[#This Row],[Order_Date]],"mmm")</f>
        <v>Jul</v>
      </c>
      <c r="L903">
        <f ca="1">YEAR(Table1[[#This Row],[Order_Date]])</f>
        <v>2023</v>
      </c>
    </row>
    <row r="904" spans="1:12" x14ac:dyDescent="0.3">
      <c r="A904">
        <f t="shared" si="56"/>
        <v>903</v>
      </c>
      <c r="B904" s="1">
        <f t="shared" ca="1" si="57"/>
        <v>45243</v>
      </c>
      <c r="C904" t="s">
        <v>9</v>
      </c>
      <c r="D904" t="str">
        <f t="shared" ca="1" si="58"/>
        <v>Furniture</v>
      </c>
      <c r="E904" t="s">
        <v>42</v>
      </c>
      <c r="F904" s="11">
        <v>18451</v>
      </c>
      <c r="G904">
        <f t="shared" ca="1" si="59"/>
        <v>9</v>
      </c>
      <c r="H904" s="11">
        <f ca="1">IF(Table1[[#This Row],[Category]]="Electronics",Table1[[#This Row],[Sales]]*0.6,
IF(Table1[[#This Row],[Category]]="Furniture",Table1[[#This Row],[Sales]]*0.75,
IF(Table1[[#This Row],[Category]]="Clothing",Table1[[#This Row],[Sales]]*0.65,
Table1[[#This Row],[Sales]]*0.7)))</f>
        <v>13838.25</v>
      </c>
      <c r="I904" s="11">
        <f ca="1">Table1[[#This Row],[Sales]]-H904</f>
        <v>4612.75</v>
      </c>
      <c r="J904" s="2">
        <f ca="1">Table1[[#This Row],[Profit]]/Table1[[#This Row],[Sales]]</f>
        <v>0.25</v>
      </c>
      <c r="K904" t="str">
        <f ca="1">TEXT(Table1[[#This Row],[Order_Date]],"mmm")</f>
        <v>Nov</v>
      </c>
      <c r="L904">
        <f ca="1">YEAR(Table1[[#This Row],[Order_Date]])</f>
        <v>2023</v>
      </c>
    </row>
    <row r="905" spans="1:12" x14ac:dyDescent="0.3">
      <c r="A905">
        <f t="shared" si="56"/>
        <v>904</v>
      </c>
      <c r="B905" s="1">
        <f t="shared" ca="1" si="57"/>
        <v>45188</v>
      </c>
      <c r="C905" t="s">
        <v>10</v>
      </c>
      <c r="D905" t="str">
        <f t="shared" ca="1" si="58"/>
        <v>Furniture</v>
      </c>
      <c r="E905" t="s">
        <v>63</v>
      </c>
      <c r="F905" s="11">
        <v>6728</v>
      </c>
      <c r="G905">
        <f t="shared" ca="1" si="59"/>
        <v>3</v>
      </c>
      <c r="H905" s="11">
        <f ca="1">IF(Table1[[#This Row],[Category]]="Electronics",Table1[[#This Row],[Sales]]*0.6,
IF(Table1[[#This Row],[Category]]="Furniture",Table1[[#This Row],[Sales]]*0.75,
IF(Table1[[#This Row],[Category]]="Clothing",Table1[[#This Row],[Sales]]*0.65,
Table1[[#This Row],[Sales]]*0.7)))</f>
        <v>5046</v>
      </c>
      <c r="I905" s="11">
        <f ca="1">Table1[[#This Row],[Sales]]-H905</f>
        <v>1682</v>
      </c>
      <c r="J905" s="2">
        <f ca="1">Table1[[#This Row],[Profit]]/Table1[[#This Row],[Sales]]</f>
        <v>0.25</v>
      </c>
      <c r="K905" t="str">
        <f ca="1">TEXT(Table1[[#This Row],[Order_Date]],"mmm")</f>
        <v>Sep</v>
      </c>
      <c r="L905">
        <f ca="1">YEAR(Table1[[#This Row],[Order_Date]])</f>
        <v>2023</v>
      </c>
    </row>
    <row r="906" spans="1:12" x14ac:dyDescent="0.3">
      <c r="A906">
        <f t="shared" si="56"/>
        <v>905</v>
      </c>
      <c r="B906" s="1">
        <f t="shared" ca="1" si="57"/>
        <v>45141</v>
      </c>
      <c r="C906" t="s">
        <v>7</v>
      </c>
      <c r="D906" t="str">
        <f t="shared" ca="1" si="58"/>
        <v>Furniture</v>
      </c>
      <c r="E906" t="s">
        <v>64</v>
      </c>
      <c r="F906" s="11">
        <v>17102</v>
      </c>
      <c r="G906">
        <f t="shared" ca="1" si="59"/>
        <v>7</v>
      </c>
      <c r="H906" s="11">
        <f ca="1">IF(Table1[[#This Row],[Category]]="Electronics",Table1[[#This Row],[Sales]]*0.6,
IF(Table1[[#This Row],[Category]]="Furniture",Table1[[#This Row],[Sales]]*0.75,
IF(Table1[[#This Row],[Category]]="Clothing",Table1[[#This Row],[Sales]]*0.65,
Table1[[#This Row],[Sales]]*0.7)))</f>
        <v>12826.5</v>
      </c>
      <c r="I906" s="11">
        <f ca="1">Table1[[#This Row],[Sales]]-H906</f>
        <v>4275.5</v>
      </c>
      <c r="J906" s="2">
        <f ca="1">Table1[[#This Row],[Profit]]/Table1[[#This Row],[Sales]]</f>
        <v>0.25</v>
      </c>
      <c r="K906" t="str">
        <f ca="1">TEXT(Table1[[#This Row],[Order_Date]],"mmm")</f>
        <v>Aug</v>
      </c>
      <c r="L906">
        <f ca="1">YEAR(Table1[[#This Row],[Order_Date]])</f>
        <v>2023</v>
      </c>
    </row>
    <row r="907" spans="1:12" x14ac:dyDescent="0.3">
      <c r="A907">
        <f t="shared" si="56"/>
        <v>906</v>
      </c>
      <c r="B907" s="1">
        <f t="shared" ca="1" si="57"/>
        <v>45234</v>
      </c>
      <c r="C907" t="s">
        <v>8</v>
      </c>
      <c r="D907" t="str">
        <f t="shared" ca="1" si="58"/>
        <v>Furniture</v>
      </c>
      <c r="E907" t="s">
        <v>55</v>
      </c>
      <c r="F907" s="11">
        <v>11242</v>
      </c>
      <c r="G907">
        <f t="shared" ca="1" si="59"/>
        <v>1</v>
      </c>
      <c r="H907" s="11">
        <f ca="1">IF(Table1[[#This Row],[Category]]="Electronics",Table1[[#This Row],[Sales]]*0.6,
IF(Table1[[#This Row],[Category]]="Furniture",Table1[[#This Row],[Sales]]*0.75,
IF(Table1[[#This Row],[Category]]="Clothing",Table1[[#This Row],[Sales]]*0.65,
Table1[[#This Row],[Sales]]*0.7)))</f>
        <v>8431.5</v>
      </c>
      <c r="I907" s="11">
        <f ca="1">Table1[[#This Row],[Sales]]-H907</f>
        <v>2810.5</v>
      </c>
      <c r="J907" s="2">
        <f ca="1">Table1[[#This Row],[Profit]]/Table1[[#This Row],[Sales]]</f>
        <v>0.25</v>
      </c>
      <c r="K907" t="str">
        <f ca="1">TEXT(Table1[[#This Row],[Order_Date]],"mmm")</f>
        <v>Nov</v>
      </c>
      <c r="L907">
        <f ca="1">YEAR(Table1[[#This Row],[Order_Date]])</f>
        <v>2023</v>
      </c>
    </row>
    <row r="908" spans="1:12" x14ac:dyDescent="0.3">
      <c r="A908">
        <f t="shared" si="56"/>
        <v>907</v>
      </c>
      <c r="B908" s="1">
        <f t="shared" ca="1" si="57"/>
        <v>45266</v>
      </c>
      <c r="C908" t="s">
        <v>9</v>
      </c>
      <c r="D908" t="str">
        <f t="shared" ca="1" si="58"/>
        <v>Furniture</v>
      </c>
      <c r="E908" t="s">
        <v>54</v>
      </c>
      <c r="F908" s="11">
        <v>19611</v>
      </c>
      <c r="G908">
        <f t="shared" ca="1" si="59"/>
        <v>4</v>
      </c>
      <c r="H908" s="11">
        <f ca="1">IF(Table1[[#This Row],[Category]]="Electronics",Table1[[#This Row],[Sales]]*0.6,
IF(Table1[[#This Row],[Category]]="Furniture",Table1[[#This Row],[Sales]]*0.75,
IF(Table1[[#This Row],[Category]]="Clothing",Table1[[#This Row],[Sales]]*0.65,
Table1[[#This Row],[Sales]]*0.7)))</f>
        <v>14708.25</v>
      </c>
      <c r="I908" s="11">
        <f ca="1">Table1[[#This Row],[Sales]]-H908</f>
        <v>4902.75</v>
      </c>
      <c r="J908" s="2">
        <f ca="1">Table1[[#This Row],[Profit]]/Table1[[#This Row],[Sales]]</f>
        <v>0.25</v>
      </c>
      <c r="K908" t="str">
        <f ca="1">TEXT(Table1[[#This Row],[Order_Date]],"mmm")</f>
        <v>Dec</v>
      </c>
      <c r="L908">
        <f ca="1">YEAR(Table1[[#This Row],[Order_Date]])</f>
        <v>2023</v>
      </c>
    </row>
    <row r="909" spans="1:12" x14ac:dyDescent="0.3">
      <c r="A909">
        <f t="shared" si="56"/>
        <v>908</v>
      </c>
      <c r="B909" s="1">
        <f t="shared" ca="1" si="57"/>
        <v>45162</v>
      </c>
      <c r="C909" t="s">
        <v>10</v>
      </c>
      <c r="D909" t="str">
        <f t="shared" ca="1" si="58"/>
        <v>Office Supplies</v>
      </c>
      <c r="E909" t="s">
        <v>75</v>
      </c>
      <c r="F909" s="11">
        <v>11992</v>
      </c>
      <c r="G909">
        <f t="shared" ca="1" si="59"/>
        <v>10</v>
      </c>
      <c r="H909" s="11">
        <f ca="1">IF(Table1[[#This Row],[Category]]="Electronics",Table1[[#This Row],[Sales]]*0.6,
IF(Table1[[#This Row],[Category]]="Furniture",Table1[[#This Row],[Sales]]*0.75,
IF(Table1[[#This Row],[Category]]="Clothing",Table1[[#This Row],[Sales]]*0.65,
Table1[[#This Row],[Sales]]*0.7)))</f>
        <v>8394.4</v>
      </c>
      <c r="I909" s="11">
        <f ca="1">Table1[[#This Row],[Sales]]-H909</f>
        <v>3597.6000000000004</v>
      </c>
      <c r="J909" s="2">
        <f ca="1">Table1[[#This Row],[Profit]]/Table1[[#This Row],[Sales]]</f>
        <v>0.30000000000000004</v>
      </c>
      <c r="K909" t="str">
        <f ca="1">TEXT(Table1[[#This Row],[Order_Date]],"mmm")</f>
        <v>Aug</v>
      </c>
      <c r="L909">
        <f ca="1">YEAR(Table1[[#This Row],[Order_Date]])</f>
        <v>2023</v>
      </c>
    </row>
    <row r="910" spans="1:12" x14ac:dyDescent="0.3">
      <c r="A910">
        <f t="shared" si="56"/>
        <v>909</v>
      </c>
      <c r="B910" s="1">
        <f t="shared" ca="1" si="57"/>
        <v>44942</v>
      </c>
      <c r="C910" t="s">
        <v>7</v>
      </c>
      <c r="D910" t="str">
        <f t="shared" ca="1" si="58"/>
        <v>Electronics</v>
      </c>
      <c r="E910" t="s">
        <v>38</v>
      </c>
      <c r="F910" s="11">
        <v>1429</v>
      </c>
      <c r="G910">
        <f t="shared" ca="1" si="59"/>
        <v>10</v>
      </c>
      <c r="H910" s="11">
        <f ca="1">IF(Table1[[#This Row],[Category]]="Electronics",Table1[[#This Row],[Sales]]*0.6,
IF(Table1[[#This Row],[Category]]="Furniture",Table1[[#This Row],[Sales]]*0.75,
IF(Table1[[#This Row],[Category]]="Clothing",Table1[[#This Row],[Sales]]*0.65,
Table1[[#This Row],[Sales]]*0.7)))</f>
        <v>857.4</v>
      </c>
      <c r="I910" s="11">
        <f ca="1">Table1[[#This Row],[Sales]]-H910</f>
        <v>571.6</v>
      </c>
      <c r="J910" s="2">
        <f ca="1">Table1[[#This Row],[Profit]]/Table1[[#This Row],[Sales]]</f>
        <v>0.4</v>
      </c>
      <c r="K910" t="str">
        <f ca="1">TEXT(Table1[[#This Row],[Order_Date]],"mmm")</f>
        <v>Jan</v>
      </c>
      <c r="L910">
        <f ca="1">YEAR(Table1[[#This Row],[Order_Date]])</f>
        <v>2023</v>
      </c>
    </row>
    <row r="911" spans="1:12" x14ac:dyDescent="0.3">
      <c r="A911">
        <f t="shared" si="56"/>
        <v>910</v>
      </c>
      <c r="B911" s="1">
        <f t="shared" ca="1" si="57"/>
        <v>45109</v>
      </c>
      <c r="C911" t="s">
        <v>8</v>
      </c>
      <c r="D911" t="str">
        <f t="shared" ca="1" si="58"/>
        <v>Furniture</v>
      </c>
      <c r="E911" t="s">
        <v>78</v>
      </c>
      <c r="F911" s="11">
        <v>13772</v>
      </c>
      <c r="G911">
        <f t="shared" ca="1" si="59"/>
        <v>1</v>
      </c>
      <c r="H911" s="11">
        <f ca="1">IF(Table1[[#This Row],[Category]]="Electronics",Table1[[#This Row],[Sales]]*0.6,
IF(Table1[[#This Row],[Category]]="Furniture",Table1[[#This Row],[Sales]]*0.75,
IF(Table1[[#This Row],[Category]]="Clothing",Table1[[#This Row],[Sales]]*0.65,
Table1[[#This Row],[Sales]]*0.7)))</f>
        <v>10329</v>
      </c>
      <c r="I911" s="11">
        <f ca="1">Table1[[#This Row],[Sales]]-H911</f>
        <v>3443</v>
      </c>
      <c r="J911" s="2">
        <f ca="1">Table1[[#This Row],[Profit]]/Table1[[#This Row],[Sales]]</f>
        <v>0.25</v>
      </c>
      <c r="K911" t="str">
        <f ca="1">TEXT(Table1[[#This Row],[Order_Date]],"mmm")</f>
        <v>Jul</v>
      </c>
      <c r="L911">
        <f ca="1">YEAR(Table1[[#This Row],[Order_Date]])</f>
        <v>2023</v>
      </c>
    </row>
    <row r="912" spans="1:12" x14ac:dyDescent="0.3">
      <c r="A912">
        <f t="shared" si="56"/>
        <v>911</v>
      </c>
      <c r="B912" s="1">
        <f t="shared" ca="1" si="57"/>
        <v>45213</v>
      </c>
      <c r="C912" t="s">
        <v>9</v>
      </c>
      <c r="D912" t="str">
        <f t="shared" ca="1" si="58"/>
        <v>Office Supplies</v>
      </c>
      <c r="E912" t="s">
        <v>70</v>
      </c>
      <c r="F912" s="11">
        <v>14570</v>
      </c>
      <c r="G912">
        <f t="shared" ca="1" si="59"/>
        <v>8</v>
      </c>
      <c r="H912" s="11">
        <f ca="1">IF(Table1[[#This Row],[Category]]="Electronics",Table1[[#This Row],[Sales]]*0.6,
IF(Table1[[#This Row],[Category]]="Furniture",Table1[[#This Row],[Sales]]*0.75,
IF(Table1[[#This Row],[Category]]="Clothing",Table1[[#This Row],[Sales]]*0.65,
Table1[[#This Row],[Sales]]*0.7)))</f>
        <v>10199</v>
      </c>
      <c r="I912" s="11">
        <f ca="1">Table1[[#This Row],[Sales]]-H912</f>
        <v>4371</v>
      </c>
      <c r="J912" s="2">
        <f ca="1">Table1[[#This Row],[Profit]]/Table1[[#This Row],[Sales]]</f>
        <v>0.3</v>
      </c>
      <c r="K912" t="str">
        <f ca="1">TEXT(Table1[[#This Row],[Order_Date]],"mmm")</f>
        <v>Oct</v>
      </c>
      <c r="L912">
        <f ca="1">YEAR(Table1[[#This Row],[Order_Date]])</f>
        <v>2023</v>
      </c>
    </row>
    <row r="913" spans="1:12" x14ac:dyDescent="0.3">
      <c r="A913">
        <f t="shared" si="56"/>
        <v>912</v>
      </c>
      <c r="B913" s="1">
        <f t="shared" ca="1" si="57"/>
        <v>45236</v>
      </c>
      <c r="C913" t="s">
        <v>10</v>
      </c>
      <c r="D913" t="str">
        <f t="shared" ca="1" si="58"/>
        <v>Electronics</v>
      </c>
      <c r="E913" t="s">
        <v>83</v>
      </c>
      <c r="F913" s="11">
        <v>1584</v>
      </c>
      <c r="G913">
        <f t="shared" ca="1" si="59"/>
        <v>9</v>
      </c>
      <c r="H913" s="11">
        <f ca="1">IF(Table1[[#This Row],[Category]]="Electronics",Table1[[#This Row],[Sales]]*0.6,
IF(Table1[[#This Row],[Category]]="Furniture",Table1[[#This Row],[Sales]]*0.75,
IF(Table1[[#This Row],[Category]]="Clothing",Table1[[#This Row],[Sales]]*0.65,
Table1[[#This Row],[Sales]]*0.7)))</f>
        <v>950.4</v>
      </c>
      <c r="I913" s="11">
        <f ca="1">Table1[[#This Row],[Sales]]-H913</f>
        <v>633.6</v>
      </c>
      <c r="J913" s="2">
        <f ca="1">Table1[[#This Row],[Profit]]/Table1[[#This Row],[Sales]]</f>
        <v>0.4</v>
      </c>
      <c r="K913" t="str">
        <f ca="1">TEXT(Table1[[#This Row],[Order_Date]],"mmm")</f>
        <v>Nov</v>
      </c>
      <c r="L913">
        <f ca="1">YEAR(Table1[[#This Row],[Order_Date]])</f>
        <v>2023</v>
      </c>
    </row>
    <row r="914" spans="1:12" x14ac:dyDescent="0.3">
      <c r="A914">
        <f t="shared" si="56"/>
        <v>913</v>
      </c>
      <c r="B914" s="1">
        <f t="shared" ca="1" si="57"/>
        <v>45069</v>
      </c>
      <c r="C914" t="s">
        <v>7</v>
      </c>
      <c r="D914" t="str">
        <f t="shared" ca="1" si="58"/>
        <v>Office Supplies</v>
      </c>
      <c r="E914" t="s">
        <v>72</v>
      </c>
      <c r="F914" s="11">
        <v>16537</v>
      </c>
      <c r="G914">
        <f t="shared" ca="1" si="59"/>
        <v>8</v>
      </c>
      <c r="H914" s="11">
        <f ca="1">IF(Table1[[#This Row],[Category]]="Electronics",Table1[[#This Row],[Sales]]*0.6,
IF(Table1[[#This Row],[Category]]="Furniture",Table1[[#This Row],[Sales]]*0.75,
IF(Table1[[#This Row],[Category]]="Clothing",Table1[[#This Row],[Sales]]*0.65,
Table1[[#This Row],[Sales]]*0.7)))</f>
        <v>11575.9</v>
      </c>
      <c r="I914" s="11">
        <f ca="1">Table1[[#This Row],[Sales]]-H914</f>
        <v>4961.1000000000004</v>
      </c>
      <c r="J914" s="2">
        <f ca="1">Table1[[#This Row],[Profit]]/Table1[[#This Row],[Sales]]</f>
        <v>0.30000000000000004</v>
      </c>
      <c r="K914" t="str">
        <f ca="1">TEXT(Table1[[#This Row],[Order_Date]],"mmm")</f>
        <v>May</v>
      </c>
      <c r="L914">
        <f ca="1">YEAR(Table1[[#This Row],[Order_Date]])</f>
        <v>2023</v>
      </c>
    </row>
    <row r="915" spans="1:12" x14ac:dyDescent="0.3">
      <c r="A915">
        <f t="shared" si="56"/>
        <v>914</v>
      </c>
      <c r="B915" s="1">
        <f t="shared" ca="1" si="57"/>
        <v>44940</v>
      </c>
      <c r="C915" t="s">
        <v>8</v>
      </c>
      <c r="D915" t="str">
        <f t="shared" ca="1" si="58"/>
        <v>Electronics</v>
      </c>
      <c r="E915" t="s">
        <v>39</v>
      </c>
      <c r="F915" s="11">
        <v>3609</v>
      </c>
      <c r="G915">
        <f t="shared" ca="1" si="59"/>
        <v>10</v>
      </c>
      <c r="H915" s="11">
        <f ca="1">IF(Table1[[#This Row],[Category]]="Electronics",Table1[[#This Row],[Sales]]*0.6,
IF(Table1[[#This Row],[Category]]="Furniture",Table1[[#This Row],[Sales]]*0.75,
IF(Table1[[#This Row],[Category]]="Clothing",Table1[[#This Row],[Sales]]*0.65,
Table1[[#This Row],[Sales]]*0.7)))</f>
        <v>2165.4</v>
      </c>
      <c r="I915" s="11">
        <f ca="1">Table1[[#This Row],[Sales]]-H915</f>
        <v>1443.6</v>
      </c>
      <c r="J915" s="2">
        <f ca="1">Table1[[#This Row],[Profit]]/Table1[[#This Row],[Sales]]</f>
        <v>0.39999999999999997</v>
      </c>
      <c r="K915" t="str">
        <f ca="1">TEXT(Table1[[#This Row],[Order_Date]],"mmm")</f>
        <v>Jan</v>
      </c>
      <c r="L915">
        <f ca="1">YEAR(Table1[[#This Row],[Order_Date]])</f>
        <v>2023</v>
      </c>
    </row>
    <row r="916" spans="1:12" x14ac:dyDescent="0.3">
      <c r="A916">
        <f t="shared" si="56"/>
        <v>915</v>
      </c>
      <c r="B916" s="1">
        <f t="shared" ca="1" si="57"/>
        <v>45155</v>
      </c>
      <c r="C916" t="s">
        <v>9</v>
      </c>
      <c r="D916" t="str">
        <f t="shared" ca="1" si="58"/>
        <v>Electronics</v>
      </c>
      <c r="E916" t="s">
        <v>59</v>
      </c>
      <c r="F916" s="11">
        <v>11389</v>
      </c>
      <c r="G916">
        <f t="shared" ca="1" si="59"/>
        <v>9</v>
      </c>
      <c r="H916" s="11">
        <f ca="1">IF(Table1[[#This Row],[Category]]="Electronics",Table1[[#This Row],[Sales]]*0.6,
IF(Table1[[#This Row],[Category]]="Furniture",Table1[[#This Row],[Sales]]*0.75,
IF(Table1[[#This Row],[Category]]="Clothing",Table1[[#This Row],[Sales]]*0.65,
Table1[[#This Row],[Sales]]*0.7)))</f>
        <v>6833.4</v>
      </c>
      <c r="I916" s="11">
        <f ca="1">Table1[[#This Row],[Sales]]-H916</f>
        <v>4555.6000000000004</v>
      </c>
      <c r="J916" s="2">
        <f ca="1">Table1[[#This Row],[Profit]]/Table1[[#This Row],[Sales]]</f>
        <v>0.4</v>
      </c>
      <c r="K916" t="str">
        <f ca="1">TEXT(Table1[[#This Row],[Order_Date]],"mmm")</f>
        <v>Aug</v>
      </c>
      <c r="L916">
        <f ca="1">YEAR(Table1[[#This Row],[Order_Date]])</f>
        <v>2023</v>
      </c>
    </row>
    <row r="917" spans="1:12" x14ac:dyDescent="0.3">
      <c r="A917">
        <f t="shared" si="56"/>
        <v>916</v>
      </c>
      <c r="B917" s="1">
        <f t="shared" ca="1" si="57"/>
        <v>45180</v>
      </c>
      <c r="C917" t="s">
        <v>10</v>
      </c>
      <c r="D917" t="str">
        <f t="shared" ca="1" si="58"/>
        <v>Office Supplies</v>
      </c>
      <c r="E917" t="s">
        <v>71</v>
      </c>
      <c r="F917" s="11">
        <v>14092</v>
      </c>
      <c r="G917">
        <f t="shared" ca="1" si="59"/>
        <v>8</v>
      </c>
      <c r="H917" s="11">
        <f ca="1">IF(Table1[[#This Row],[Category]]="Electronics",Table1[[#This Row],[Sales]]*0.6,
IF(Table1[[#This Row],[Category]]="Furniture",Table1[[#This Row],[Sales]]*0.75,
IF(Table1[[#This Row],[Category]]="Clothing",Table1[[#This Row],[Sales]]*0.65,
Table1[[#This Row],[Sales]]*0.7)))</f>
        <v>9864.4</v>
      </c>
      <c r="I917" s="11">
        <f ca="1">Table1[[#This Row],[Sales]]-H917</f>
        <v>4227.6000000000004</v>
      </c>
      <c r="J917" s="2">
        <f ca="1">Table1[[#This Row],[Profit]]/Table1[[#This Row],[Sales]]</f>
        <v>0.30000000000000004</v>
      </c>
      <c r="K917" t="str">
        <f ca="1">TEXT(Table1[[#This Row],[Order_Date]],"mmm")</f>
        <v>Sep</v>
      </c>
      <c r="L917">
        <f ca="1">YEAR(Table1[[#This Row],[Order_Date]])</f>
        <v>2023</v>
      </c>
    </row>
    <row r="918" spans="1:12" x14ac:dyDescent="0.3">
      <c r="A918">
        <f t="shared" si="56"/>
        <v>917</v>
      </c>
      <c r="B918" s="1">
        <f t="shared" ca="1" si="57"/>
        <v>45140</v>
      </c>
      <c r="C918" t="s">
        <v>7</v>
      </c>
      <c r="D918" t="str">
        <f t="shared" ca="1" si="58"/>
        <v>Electronics</v>
      </c>
      <c r="E918" t="s">
        <v>84</v>
      </c>
      <c r="F918" s="11">
        <v>10902</v>
      </c>
      <c r="G918">
        <f t="shared" ca="1" si="59"/>
        <v>3</v>
      </c>
      <c r="H918" s="11">
        <f ca="1">IF(Table1[[#This Row],[Category]]="Electronics",Table1[[#This Row],[Sales]]*0.6,
IF(Table1[[#This Row],[Category]]="Furniture",Table1[[#This Row],[Sales]]*0.75,
IF(Table1[[#This Row],[Category]]="Clothing",Table1[[#This Row],[Sales]]*0.65,
Table1[[#This Row],[Sales]]*0.7)))</f>
        <v>6541.2</v>
      </c>
      <c r="I918" s="11">
        <f ca="1">Table1[[#This Row],[Sales]]-H918</f>
        <v>4360.8</v>
      </c>
      <c r="J918" s="2">
        <f ca="1">Table1[[#This Row],[Profit]]/Table1[[#This Row],[Sales]]</f>
        <v>0.4</v>
      </c>
      <c r="K918" t="str">
        <f ca="1">TEXT(Table1[[#This Row],[Order_Date]],"mmm")</f>
        <v>Aug</v>
      </c>
      <c r="L918">
        <f ca="1">YEAR(Table1[[#This Row],[Order_Date]])</f>
        <v>2023</v>
      </c>
    </row>
    <row r="919" spans="1:12" x14ac:dyDescent="0.3">
      <c r="A919">
        <f t="shared" si="56"/>
        <v>918</v>
      </c>
      <c r="B919" s="1">
        <f t="shared" ca="1" si="57"/>
        <v>45277</v>
      </c>
      <c r="C919" t="s">
        <v>8</v>
      </c>
      <c r="D919" t="str">
        <f t="shared" ca="1" si="58"/>
        <v>Office Supplies</v>
      </c>
      <c r="E919" t="s">
        <v>63</v>
      </c>
      <c r="F919" s="11">
        <v>5576</v>
      </c>
      <c r="G919">
        <f t="shared" ca="1" si="59"/>
        <v>2</v>
      </c>
      <c r="H919" s="11">
        <f ca="1">IF(Table1[[#This Row],[Category]]="Electronics",Table1[[#This Row],[Sales]]*0.6,
IF(Table1[[#This Row],[Category]]="Furniture",Table1[[#This Row],[Sales]]*0.75,
IF(Table1[[#This Row],[Category]]="Clothing",Table1[[#This Row],[Sales]]*0.65,
Table1[[#This Row],[Sales]]*0.7)))</f>
        <v>3903.2</v>
      </c>
      <c r="I919" s="11">
        <f ca="1">Table1[[#This Row],[Sales]]-H919</f>
        <v>1672.8000000000002</v>
      </c>
      <c r="J919" s="2">
        <f ca="1">Table1[[#This Row],[Profit]]/Table1[[#This Row],[Sales]]</f>
        <v>0.30000000000000004</v>
      </c>
      <c r="K919" t="str">
        <f ca="1">TEXT(Table1[[#This Row],[Order_Date]],"mmm")</f>
        <v>Dec</v>
      </c>
      <c r="L919">
        <f ca="1">YEAR(Table1[[#This Row],[Order_Date]])</f>
        <v>2023</v>
      </c>
    </row>
    <row r="920" spans="1:12" x14ac:dyDescent="0.3">
      <c r="A920">
        <f t="shared" si="56"/>
        <v>919</v>
      </c>
      <c r="B920" s="1">
        <f t="shared" ca="1" si="57"/>
        <v>44998</v>
      </c>
      <c r="C920" t="s">
        <v>9</v>
      </c>
      <c r="D920" t="str">
        <f t="shared" ca="1" si="58"/>
        <v>Electronics</v>
      </c>
      <c r="E920" t="s">
        <v>51</v>
      </c>
      <c r="F920" s="11">
        <v>12186</v>
      </c>
      <c r="G920">
        <f t="shared" ca="1" si="59"/>
        <v>6</v>
      </c>
      <c r="H920" s="11">
        <f ca="1">IF(Table1[[#This Row],[Category]]="Electronics",Table1[[#This Row],[Sales]]*0.6,
IF(Table1[[#This Row],[Category]]="Furniture",Table1[[#This Row],[Sales]]*0.75,
IF(Table1[[#This Row],[Category]]="Clothing",Table1[[#This Row],[Sales]]*0.65,
Table1[[#This Row],[Sales]]*0.7)))</f>
        <v>7311.5999999999995</v>
      </c>
      <c r="I920" s="11">
        <f ca="1">Table1[[#This Row],[Sales]]-H920</f>
        <v>4874.4000000000005</v>
      </c>
      <c r="J920" s="2">
        <f ca="1">Table1[[#This Row],[Profit]]/Table1[[#This Row],[Sales]]</f>
        <v>0.4</v>
      </c>
      <c r="K920" t="str">
        <f ca="1">TEXT(Table1[[#This Row],[Order_Date]],"mmm")</f>
        <v>Mar</v>
      </c>
      <c r="L920">
        <f ca="1">YEAR(Table1[[#This Row],[Order_Date]])</f>
        <v>2023</v>
      </c>
    </row>
    <row r="921" spans="1:12" x14ac:dyDescent="0.3">
      <c r="A921">
        <f t="shared" si="56"/>
        <v>920</v>
      </c>
      <c r="B921" s="1">
        <f t="shared" ca="1" si="57"/>
        <v>45215</v>
      </c>
      <c r="C921" t="s">
        <v>10</v>
      </c>
      <c r="D921" t="str">
        <f t="shared" ca="1" si="58"/>
        <v>Electronics</v>
      </c>
      <c r="E921" t="s">
        <v>43</v>
      </c>
      <c r="F921" s="11">
        <v>19418</v>
      </c>
      <c r="G921">
        <f t="shared" ca="1" si="59"/>
        <v>6</v>
      </c>
      <c r="H921" s="11">
        <f ca="1">IF(Table1[[#This Row],[Category]]="Electronics",Table1[[#This Row],[Sales]]*0.6,
IF(Table1[[#This Row],[Category]]="Furniture",Table1[[#This Row],[Sales]]*0.75,
IF(Table1[[#This Row],[Category]]="Clothing",Table1[[#This Row],[Sales]]*0.65,
Table1[[#This Row],[Sales]]*0.7)))</f>
        <v>11650.8</v>
      </c>
      <c r="I921" s="11">
        <f ca="1">Table1[[#This Row],[Sales]]-H921</f>
        <v>7767.2000000000007</v>
      </c>
      <c r="J921" s="2">
        <f ca="1">Table1[[#This Row],[Profit]]/Table1[[#This Row],[Sales]]</f>
        <v>0.4</v>
      </c>
      <c r="K921" t="str">
        <f ca="1">TEXT(Table1[[#This Row],[Order_Date]],"mmm")</f>
        <v>Oct</v>
      </c>
      <c r="L921">
        <f ca="1">YEAR(Table1[[#This Row],[Order_Date]])</f>
        <v>2023</v>
      </c>
    </row>
    <row r="922" spans="1:12" x14ac:dyDescent="0.3">
      <c r="A922">
        <f t="shared" si="56"/>
        <v>921</v>
      </c>
      <c r="B922" s="1">
        <f t="shared" ca="1" si="57"/>
        <v>45243</v>
      </c>
      <c r="C922" t="s">
        <v>7</v>
      </c>
      <c r="D922" t="str">
        <f t="shared" ca="1" si="58"/>
        <v>Clothing</v>
      </c>
      <c r="E922" t="s">
        <v>57</v>
      </c>
      <c r="F922" s="11">
        <v>8278</v>
      </c>
      <c r="G922">
        <f t="shared" ca="1" si="59"/>
        <v>3</v>
      </c>
      <c r="H922" s="11">
        <f ca="1">IF(Table1[[#This Row],[Category]]="Electronics",Table1[[#This Row],[Sales]]*0.6,
IF(Table1[[#This Row],[Category]]="Furniture",Table1[[#This Row],[Sales]]*0.75,
IF(Table1[[#This Row],[Category]]="Clothing",Table1[[#This Row],[Sales]]*0.65,
Table1[[#This Row],[Sales]]*0.7)))</f>
        <v>5380.7</v>
      </c>
      <c r="I922" s="11">
        <f ca="1">Table1[[#This Row],[Sales]]-H922</f>
        <v>2897.3</v>
      </c>
      <c r="J922" s="2">
        <f ca="1">Table1[[#This Row],[Profit]]/Table1[[#This Row],[Sales]]</f>
        <v>0.35000000000000003</v>
      </c>
      <c r="K922" t="str">
        <f ca="1">TEXT(Table1[[#This Row],[Order_Date]],"mmm")</f>
        <v>Nov</v>
      </c>
      <c r="L922">
        <f ca="1">YEAR(Table1[[#This Row],[Order_Date]])</f>
        <v>2023</v>
      </c>
    </row>
    <row r="923" spans="1:12" x14ac:dyDescent="0.3">
      <c r="A923">
        <f t="shared" si="56"/>
        <v>922</v>
      </c>
      <c r="B923" s="1">
        <f t="shared" ca="1" si="57"/>
        <v>45197</v>
      </c>
      <c r="C923" t="s">
        <v>8</v>
      </c>
      <c r="D923" t="str">
        <f t="shared" ca="1" si="58"/>
        <v>Clothing</v>
      </c>
      <c r="E923" t="s">
        <v>42</v>
      </c>
      <c r="F923" s="11">
        <v>19273</v>
      </c>
      <c r="G923">
        <f t="shared" ca="1" si="59"/>
        <v>7</v>
      </c>
      <c r="H923" s="11">
        <f ca="1">IF(Table1[[#This Row],[Category]]="Electronics",Table1[[#This Row],[Sales]]*0.6,
IF(Table1[[#This Row],[Category]]="Furniture",Table1[[#This Row],[Sales]]*0.75,
IF(Table1[[#This Row],[Category]]="Clothing",Table1[[#This Row],[Sales]]*0.65,
Table1[[#This Row],[Sales]]*0.7)))</f>
        <v>12527.45</v>
      </c>
      <c r="I923" s="11">
        <f ca="1">Table1[[#This Row],[Sales]]-H923</f>
        <v>6745.5499999999993</v>
      </c>
      <c r="J923" s="2">
        <f ca="1">Table1[[#This Row],[Profit]]/Table1[[#This Row],[Sales]]</f>
        <v>0.35</v>
      </c>
      <c r="K923" t="str">
        <f ca="1">TEXT(Table1[[#This Row],[Order_Date]],"mmm")</f>
        <v>Sep</v>
      </c>
      <c r="L923">
        <f ca="1">YEAR(Table1[[#This Row],[Order_Date]])</f>
        <v>2023</v>
      </c>
    </row>
    <row r="924" spans="1:12" x14ac:dyDescent="0.3">
      <c r="A924">
        <f t="shared" si="56"/>
        <v>923</v>
      </c>
      <c r="B924" s="1">
        <f t="shared" ca="1" si="57"/>
        <v>44944</v>
      </c>
      <c r="C924" t="s">
        <v>9</v>
      </c>
      <c r="D924" t="str">
        <f t="shared" ca="1" si="58"/>
        <v>Furniture</v>
      </c>
      <c r="E924" t="s">
        <v>83</v>
      </c>
      <c r="F924" s="11">
        <v>11324</v>
      </c>
      <c r="G924">
        <f t="shared" ca="1" si="59"/>
        <v>6</v>
      </c>
      <c r="H924" s="11">
        <f ca="1">IF(Table1[[#This Row],[Category]]="Electronics",Table1[[#This Row],[Sales]]*0.6,
IF(Table1[[#This Row],[Category]]="Furniture",Table1[[#This Row],[Sales]]*0.75,
IF(Table1[[#This Row],[Category]]="Clothing",Table1[[#This Row],[Sales]]*0.65,
Table1[[#This Row],[Sales]]*0.7)))</f>
        <v>8493</v>
      </c>
      <c r="I924" s="11">
        <f ca="1">Table1[[#This Row],[Sales]]-H924</f>
        <v>2831</v>
      </c>
      <c r="J924" s="2">
        <f ca="1">Table1[[#This Row],[Profit]]/Table1[[#This Row],[Sales]]</f>
        <v>0.25</v>
      </c>
      <c r="K924" t="str">
        <f ca="1">TEXT(Table1[[#This Row],[Order_Date]],"mmm")</f>
        <v>Jan</v>
      </c>
      <c r="L924">
        <f ca="1">YEAR(Table1[[#This Row],[Order_Date]])</f>
        <v>2023</v>
      </c>
    </row>
    <row r="925" spans="1:12" x14ac:dyDescent="0.3">
      <c r="A925">
        <f t="shared" si="56"/>
        <v>924</v>
      </c>
      <c r="B925" s="1">
        <f t="shared" ca="1" si="57"/>
        <v>44950</v>
      </c>
      <c r="C925" t="s">
        <v>10</v>
      </c>
      <c r="D925" t="str">
        <f t="shared" ca="1" si="58"/>
        <v>Office Supplies</v>
      </c>
      <c r="E925" t="s">
        <v>60</v>
      </c>
      <c r="F925" s="11">
        <v>15538</v>
      </c>
      <c r="G925">
        <f t="shared" ca="1" si="59"/>
        <v>1</v>
      </c>
      <c r="H925" s="11">
        <f ca="1">IF(Table1[[#This Row],[Category]]="Electronics",Table1[[#This Row],[Sales]]*0.6,
IF(Table1[[#This Row],[Category]]="Furniture",Table1[[#This Row],[Sales]]*0.75,
IF(Table1[[#This Row],[Category]]="Clothing",Table1[[#This Row],[Sales]]*0.65,
Table1[[#This Row],[Sales]]*0.7)))</f>
        <v>10876.599999999999</v>
      </c>
      <c r="I925" s="11">
        <f ca="1">Table1[[#This Row],[Sales]]-H925</f>
        <v>4661.4000000000015</v>
      </c>
      <c r="J925" s="2">
        <f ca="1">Table1[[#This Row],[Profit]]/Table1[[#This Row],[Sales]]</f>
        <v>0.3000000000000001</v>
      </c>
      <c r="K925" t="str">
        <f ca="1">TEXT(Table1[[#This Row],[Order_Date]],"mmm")</f>
        <v>Jan</v>
      </c>
      <c r="L925">
        <f ca="1">YEAR(Table1[[#This Row],[Order_Date]])</f>
        <v>2023</v>
      </c>
    </row>
    <row r="926" spans="1:12" x14ac:dyDescent="0.3">
      <c r="A926">
        <f t="shared" si="56"/>
        <v>925</v>
      </c>
      <c r="B926" s="1">
        <f t="shared" ca="1" si="57"/>
        <v>45047</v>
      </c>
      <c r="C926" t="s">
        <v>7</v>
      </c>
      <c r="D926" t="str">
        <f t="shared" ca="1" si="58"/>
        <v>Office Supplies</v>
      </c>
      <c r="E926" t="s">
        <v>41</v>
      </c>
      <c r="F926" s="11">
        <v>18315</v>
      </c>
      <c r="G926">
        <f t="shared" ca="1" si="59"/>
        <v>1</v>
      </c>
      <c r="H926" s="11">
        <f ca="1">IF(Table1[[#This Row],[Category]]="Electronics",Table1[[#This Row],[Sales]]*0.6,
IF(Table1[[#This Row],[Category]]="Furniture",Table1[[#This Row],[Sales]]*0.75,
IF(Table1[[#This Row],[Category]]="Clothing",Table1[[#This Row],[Sales]]*0.65,
Table1[[#This Row],[Sales]]*0.7)))</f>
        <v>12820.5</v>
      </c>
      <c r="I926" s="11">
        <f ca="1">Table1[[#This Row],[Sales]]-H926</f>
        <v>5494.5</v>
      </c>
      <c r="J926" s="2">
        <f ca="1">Table1[[#This Row],[Profit]]/Table1[[#This Row],[Sales]]</f>
        <v>0.3</v>
      </c>
      <c r="K926" t="str">
        <f ca="1">TEXT(Table1[[#This Row],[Order_Date]],"mmm")</f>
        <v>May</v>
      </c>
      <c r="L926">
        <f ca="1">YEAR(Table1[[#This Row],[Order_Date]])</f>
        <v>2023</v>
      </c>
    </row>
    <row r="927" spans="1:12" x14ac:dyDescent="0.3">
      <c r="A927">
        <f t="shared" si="56"/>
        <v>926</v>
      </c>
      <c r="B927" s="1">
        <f t="shared" ca="1" si="57"/>
        <v>45214</v>
      </c>
      <c r="C927" t="s">
        <v>8</v>
      </c>
      <c r="D927" t="str">
        <f t="shared" ca="1" si="58"/>
        <v>Office Supplies</v>
      </c>
      <c r="E927" t="s">
        <v>82</v>
      </c>
      <c r="F927" s="11">
        <v>1638</v>
      </c>
      <c r="G927">
        <f t="shared" ca="1" si="59"/>
        <v>10</v>
      </c>
      <c r="H927" s="11">
        <f ca="1">IF(Table1[[#This Row],[Category]]="Electronics",Table1[[#This Row],[Sales]]*0.6,
IF(Table1[[#This Row],[Category]]="Furniture",Table1[[#This Row],[Sales]]*0.75,
IF(Table1[[#This Row],[Category]]="Clothing",Table1[[#This Row],[Sales]]*0.65,
Table1[[#This Row],[Sales]]*0.7)))</f>
        <v>1146.5999999999999</v>
      </c>
      <c r="I927" s="11">
        <f ca="1">Table1[[#This Row],[Sales]]-H927</f>
        <v>491.40000000000009</v>
      </c>
      <c r="J927" s="2">
        <f ca="1">Table1[[#This Row],[Profit]]/Table1[[#This Row],[Sales]]</f>
        <v>0.30000000000000004</v>
      </c>
      <c r="K927" t="str">
        <f ca="1">TEXT(Table1[[#This Row],[Order_Date]],"mmm")</f>
        <v>Oct</v>
      </c>
      <c r="L927">
        <f ca="1">YEAR(Table1[[#This Row],[Order_Date]])</f>
        <v>2023</v>
      </c>
    </row>
    <row r="928" spans="1:12" x14ac:dyDescent="0.3">
      <c r="A928">
        <f t="shared" si="56"/>
        <v>927</v>
      </c>
      <c r="B928" s="1">
        <f t="shared" ca="1" si="57"/>
        <v>45143</v>
      </c>
      <c r="C928" t="s">
        <v>9</v>
      </c>
      <c r="D928" t="str">
        <f t="shared" ca="1" si="58"/>
        <v>Electronics</v>
      </c>
      <c r="E928" t="s">
        <v>56</v>
      </c>
      <c r="F928" s="11">
        <v>10096</v>
      </c>
      <c r="G928">
        <f t="shared" ca="1" si="59"/>
        <v>7</v>
      </c>
      <c r="H928" s="11">
        <f ca="1">IF(Table1[[#This Row],[Category]]="Electronics",Table1[[#This Row],[Sales]]*0.6,
IF(Table1[[#This Row],[Category]]="Furniture",Table1[[#This Row],[Sales]]*0.75,
IF(Table1[[#This Row],[Category]]="Clothing",Table1[[#This Row],[Sales]]*0.65,
Table1[[#This Row],[Sales]]*0.7)))</f>
        <v>6057.5999999999995</v>
      </c>
      <c r="I928" s="11">
        <f ca="1">Table1[[#This Row],[Sales]]-H928</f>
        <v>4038.4000000000005</v>
      </c>
      <c r="J928" s="2">
        <f ca="1">Table1[[#This Row],[Profit]]/Table1[[#This Row],[Sales]]</f>
        <v>0.40000000000000008</v>
      </c>
      <c r="K928" t="str">
        <f ca="1">TEXT(Table1[[#This Row],[Order_Date]],"mmm")</f>
        <v>Aug</v>
      </c>
      <c r="L928">
        <f ca="1">YEAR(Table1[[#This Row],[Order_Date]])</f>
        <v>2023</v>
      </c>
    </row>
    <row r="929" spans="1:12" x14ac:dyDescent="0.3">
      <c r="A929">
        <f t="shared" si="56"/>
        <v>928</v>
      </c>
      <c r="B929" s="1">
        <f t="shared" ca="1" si="57"/>
        <v>45044</v>
      </c>
      <c r="C929" t="s">
        <v>10</v>
      </c>
      <c r="D929" t="str">
        <f t="shared" ca="1" si="58"/>
        <v>Clothing</v>
      </c>
      <c r="E929" t="s">
        <v>46</v>
      </c>
      <c r="F929" s="11">
        <v>17072</v>
      </c>
      <c r="G929">
        <f t="shared" ca="1" si="59"/>
        <v>6</v>
      </c>
      <c r="H929" s="11">
        <f ca="1">IF(Table1[[#This Row],[Category]]="Electronics",Table1[[#This Row],[Sales]]*0.6,
IF(Table1[[#This Row],[Category]]="Furniture",Table1[[#This Row],[Sales]]*0.75,
IF(Table1[[#This Row],[Category]]="Clothing",Table1[[#This Row],[Sales]]*0.65,
Table1[[#This Row],[Sales]]*0.7)))</f>
        <v>11096.800000000001</v>
      </c>
      <c r="I929" s="11">
        <f ca="1">Table1[[#This Row],[Sales]]-H929</f>
        <v>5975.1999999999989</v>
      </c>
      <c r="J929" s="2">
        <f ca="1">Table1[[#This Row],[Profit]]/Table1[[#This Row],[Sales]]</f>
        <v>0.34999999999999992</v>
      </c>
      <c r="K929" t="str">
        <f ca="1">TEXT(Table1[[#This Row],[Order_Date]],"mmm")</f>
        <v>Apr</v>
      </c>
      <c r="L929">
        <f ca="1">YEAR(Table1[[#This Row],[Order_Date]])</f>
        <v>2023</v>
      </c>
    </row>
    <row r="930" spans="1:12" x14ac:dyDescent="0.3">
      <c r="A930">
        <f t="shared" si="56"/>
        <v>929</v>
      </c>
      <c r="B930" s="1">
        <f t="shared" ca="1" si="57"/>
        <v>45281</v>
      </c>
      <c r="C930" t="s">
        <v>7</v>
      </c>
      <c r="D930" t="str">
        <f t="shared" ca="1" si="58"/>
        <v>Furniture</v>
      </c>
      <c r="E930" t="s">
        <v>69</v>
      </c>
      <c r="F930" s="11">
        <v>19876</v>
      </c>
      <c r="G930">
        <f t="shared" ca="1" si="59"/>
        <v>3</v>
      </c>
      <c r="H930" s="11">
        <f ca="1">IF(Table1[[#This Row],[Category]]="Electronics",Table1[[#This Row],[Sales]]*0.6,
IF(Table1[[#This Row],[Category]]="Furniture",Table1[[#This Row],[Sales]]*0.75,
IF(Table1[[#This Row],[Category]]="Clothing",Table1[[#This Row],[Sales]]*0.65,
Table1[[#This Row],[Sales]]*0.7)))</f>
        <v>14907</v>
      </c>
      <c r="I930" s="11">
        <f ca="1">Table1[[#This Row],[Sales]]-H930</f>
        <v>4969</v>
      </c>
      <c r="J930" s="2">
        <f ca="1">Table1[[#This Row],[Profit]]/Table1[[#This Row],[Sales]]</f>
        <v>0.25</v>
      </c>
      <c r="K930" t="str">
        <f ca="1">TEXT(Table1[[#This Row],[Order_Date]],"mmm")</f>
        <v>Dec</v>
      </c>
      <c r="L930">
        <f ca="1">YEAR(Table1[[#This Row],[Order_Date]])</f>
        <v>2023</v>
      </c>
    </row>
    <row r="931" spans="1:12" x14ac:dyDescent="0.3">
      <c r="A931">
        <f t="shared" si="56"/>
        <v>930</v>
      </c>
      <c r="B931" s="1">
        <f t="shared" ca="1" si="57"/>
        <v>45249</v>
      </c>
      <c r="C931" t="s">
        <v>8</v>
      </c>
      <c r="D931" t="str">
        <f t="shared" ca="1" si="58"/>
        <v>Electronics</v>
      </c>
      <c r="E931" t="s">
        <v>69</v>
      </c>
      <c r="F931" s="11">
        <v>7314</v>
      </c>
      <c r="G931">
        <f t="shared" ca="1" si="59"/>
        <v>3</v>
      </c>
      <c r="H931" s="11">
        <f ca="1">IF(Table1[[#This Row],[Category]]="Electronics",Table1[[#This Row],[Sales]]*0.6,
IF(Table1[[#This Row],[Category]]="Furniture",Table1[[#This Row],[Sales]]*0.75,
IF(Table1[[#This Row],[Category]]="Clothing",Table1[[#This Row],[Sales]]*0.65,
Table1[[#This Row],[Sales]]*0.7)))</f>
        <v>4388.3999999999996</v>
      </c>
      <c r="I931" s="11">
        <f ca="1">Table1[[#This Row],[Sales]]-H931</f>
        <v>2925.6000000000004</v>
      </c>
      <c r="J931" s="2">
        <f ca="1">Table1[[#This Row],[Profit]]/Table1[[#This Row],[Sales]]</f>
        <v>0.4</v>
      </c>
      <c r="K931" t="str">
        <f ca="1">TEXT(Table1[[#This Row],[Order_Date]],"mmm")</f>
        <v>Nov</v>
      </c>
      <c r="L931">
        <f ca="1">YEAR(Table1[[#This Row],[Order_Date]])</f>
        <v>2023</v>
      </c>
    </row>
    <row r="932" spans="1:12" x14ac:dyDescent="0.3">
      <c r="A932">
        <f t="shared" si="56"/>
        <v>931</v>
      </c>
      <c r="B932" s="1">
        <f t="shared" ca="1" si="57"/>
        <v>45255</v>
      </c>
      <c r="C932" t="s">
        <v>9</v>
      </c>
      <c r="D932" t="str">
        <f t="shared" ca="1" si="58"/>
        <v>Clothing</v>
      </c>
      <c r="E932" t="s">
        <v>38</v>
      </c>
      <c r="F932" s="11">
        <v>8661</v>
      </c>
      <c r="G932">
        <f t="shared" ca="1" si="59"/>
        <v>10</v>
      </c>
      <c r="H932" s="11">
        <f ca="1">IF(Table1[[#This Row],[Category]]="Electronics",Table1[[#This Row],[Sales]]*0.6,
IF(Table1[[#This Row],[Category]]="Furniture",Table1[[#This Row],[Sales]]*0.75,
IF(Table1[[#This Row],[Category]]="Clothing",Table1[[#This Row],[Sales]]*0.65,
Table1[[#This Row],[Sales]]*0.7)))</f>
        <v>5629.6500000000005</v>
      </c>
      <c r="I932" s="11">
        <f ca="1">Table1[[#This Row],[Sales]]-H932</f>
        <v>3031.3499999999995</v>
      </c>
      <c r="J932" s="2">
        <f ca="1">Table1[[#This Row],[Profit]]/Table1[[#This Row],[Sales]]</f>
        <v>0.34999999999999992</v>
      </c>
      <c r="K932" t="str">
        <f ca="1">TEXT(Table1[[#This Row],[Order_Date]],"mmm")</f>
        <v>Nov</v>
      </c>
      <c r="L932">
        <f ca="1">YEAR(Table1[[#This Row],[Order_Date]])</f>
        <v>2023</v>
      </c>
    </row>
    <row r="933" spans="1:12" x14ac:dyDescent="0.3">
      <c r="A933">
        <f t="shared" si="56"/>
        <v>932</v>
      </c>
      <c r="B933" s="1">
        <f t="shared" ca="1" si="57"/>
        <v>45275</v>
      </c>
      <c r="C933" t="s">
        <v>10</v>
      </c>
      <c r="D933" t="str">
        <f t="shared" ca="1" si="58"/>
        <v>Clothing</v>
      </c>
      <c r="E933" t="s">
        <v>56</v>
      </c>
      <c r="F933" s="11">
        <v>14130</v>
      </c>
      <c r="G933">
        <f t="shared" ca="1" si="59"/>
        <v>10</v>
      </c>
      <c r="H933" s="11">
        <f ca="1">IF(Table1[[#This Row],[Category]]="Electronics",Table1[[#This Row],[Sales]]*0.6,
IF(Table1[[#This Row],[Category]]="Furniture",Table1[[#This Row],[Sales]]*0.75,
IF(Table1[[#This Row],[Category]]="Clothing",Table1[[#This Row],[Sales]]*0.65,
Table1[[#This Row],[Sales]]*0.7)))</f>
        <v>9184.5</v>
      </c>
      <c r="I933" s="11">
        <f ca="1">Table1[[#This Row],[Sales]]-H933</f>
        <v>4945.5</v>
      </c>
      <c r="J933" s="2">
        <f ca="1">Table1[[#This Row],[Profit]]/Table1[[#This Row],[Sales]]</f>
        <v>0.35</v>
      </c>
      <c r="K933" t="str">
        <f ca="1">TEXT(Table1[[#This Row],[Order_Date]],"mmm")</f>
        <v>Dec</v>
      </c>
      <c r="L933">
        <f ca="1">YEAR(Table1[[#This Row],[Order_Date]])</f>
        <v>2023</v>
      </c>
    </row>
    <row r="934" spans="1:12" x14ac:dyDescent="0.3">
      <c r="A934">
        <f t="shared" si="56"/>
        <v>933</v>
      </c>
      <c r="B934" s="1">
        <f t="shared" ca="1" si="57"/>
        <v>45156</v>
      </c>
      <c r="C934" t="s">
        <v>7</v>
      </c>
      <c r="D934" t="str">
        <f t="shared" ca="1" si="58"/>
        <v>Electronics</v>
      </c>
      <c r="E934" t="s">
        <v>79</v>
      </c>
      <c r="F934" s="11">
        <v>17019</v>
      </c>
      <c r="G934">
        <f t="shared" ca="1" si="59"/>
        <v>1</v>
      </c>
      <c r="H934" s="11">
        <f ca="1">IF(Table1[[#This Row],[Category]]="Electronics",Table1[[#This Row],[Sales]]*0.6,
IF(Table1[[#This Row],[Category]]="Furniture",Table1[[#This Row],[Sales]]*0.75,
IF(Table1[[#This Row],[Category]]="Clothing",Table1[[#This Row],[Sales]]*0.65,
Table1[[#This Row],[Sales]]*0.7)))</f>
        <v>10211.4</v>
      </c>
      <c r="I934" s="11">
        <f ca="1">Table1[[#This Row],[Sales]]-H934</f>
        <v>6807.6</v>
      </c>
      <c r="J934" s="2">
        <f ca="1">Table1[[#This Row],[Profit]]/Table1[[#This Row],[Sales]]</f>
        <v>0.4</v>
      </c>
      <c r="K934" t="str">
        <f ca="1">TEXT(Table1[[#This Row],[Order_Date]],"mmm")</f>
        <v>Aug</v>
      </c>
      <c r="L934">
        <f ca="1">YEAR(Table1[[#This Row],[Order_Date]])</f>
        <v>2023</v>
      </c>
    </row>
    <row r="935" spans="1:12" x14ac:dyDescent="0.3">
      <c r="A935">
        <f t="shared" si="56"/>
        <v>934</v>
      </c>
      <c r="B935" s="1">
        <f t="shared" ca="1" si="57"/>
        <v>45131</v>
      </c>
      <c r="C935" t="s">
        <v>8</v>
      </c>
      <c r="D935" t="str">
        <f t="shared" ca="1" si="58"/>
        <v>Clothing</v>
      </c>
      <c r="E935" t="s">
        <v>36</v>
      </c>
      <c r="F935" s="11">
        <v>4391</v>
      </c>
      <c r="G935">
        <f t="shared" ca="1" si="59"/>
        <v>10</v>
      </c>
      <c r="H935" s="11">
        <f ca="1">IF(Table1[[#This Row],[Category]]="Electronics",Table1[[#This Row],[Sales]]*0.6,
IF(Table1[[#This Row],[Category]]="Furniture",Table1[[#This Row],[Sales]]*0.75,
IF(Table1[[#This Row],[Category]]="Clothing",Table1[[#This Row],[Sales]]*0.65,
Table1[[#This Row],[Sales]]*0.7)))</f>
        <v>2854.15</v>
      </c>
      <c r="I935" s="11">
        <f ca="1">Table1[[#This Row],[Sales]]-H935</f>
        <v>1536.85</v>
      </c>
      <c r="J935" s="2">
        <f ca="1">Table1[[#This Row],[Profit]]/Table1[[#This Row],[Sales]]</f>
        <v>0.35</v>
      </c>
      <c r="K935" t="str">
        <f ca="1">TEXT(Table1[[#This Row],[Order_Date]],"mmm")</f>
        <v>Jul</v>
      </c>
      <c r="L935">
        <f ca="1">YEAR(Table1[[#This Row],[Order_Date]])</f>
        <v>2023</v>
      </c>
    </row>
    <row r="936" spans="1:12" x14ac:dyDescent="0.3">
      <c r="A936">
        <f t="shared" si="56"/>
        <v>935</v>
      </c>
      <c r="B936" s="1">
        <f t="shared" ca="1" si="57"/>
        <v>45114</v>
      </c>
      <c r="C936" t="s">
        <v>9</v>
      </c>
      <c r="D936" t="str">
        <f t="shared" ca="1" si="58"/>
        <v>Furniture</v>
      </c>
      <c r="E936" t="s">
        <v>38</v>
      </c>
      <c r="F936" s="11">
        <v>4595</v>
      </c>
      <c r="G936">
        <f t="shared" ca="1" si="59"/>
        <v>2</v>
      </c>
      <c r="H936" s="11">
        <f ca="1">IF(Table1[[#This Row],[Category]]="Electronics",Table1[[#This Row],[Sales]]*0.6,
IF(Table1[[#This Row],[Category]]="Furniture",Table1[[#This Row],[Sales]]*0.75,
IF(Table1[[#This Row],[Category]]="Clothing",Table1[[#This Row],[Sales]]*0.65,
Table1[[#This Row],[Sales]]*0.7)))</f>
        <v>3446.25</v>
      </c>
      <c r="I936" s="11">
        <f ca="1">Table1[[#This Row],[Sales]]-H936</f>
        <v>1148.75</v>
      </c>
      <c r="J936" s="2">
        <f ca="1">Table1[[#This Row],[Profit]]/Table1[[#This Row],[Sales]]</f>
        <v>0.25</v>
      </c>
      <c r="K936" t="str">
        <f ca="1">TEXT(Table1[[#This Row],[Order_Date]],"mmm")</f>
        <v>Jul</v>
      </c>
      <c r="L936">
        <f ca="1">YEAR(Table1[[#This Row],[Order_Date]])</f>
        <v>2023</v>
      </c>
    </row>
    <row r="937" spans="1:12" x14ac:dyDescent="0.3">
      <c r="A937">
        <f t="shared" si="56"/>
        <v>936</v>
      </c>
      <c r="B937" s="1">
        <f t="shared" ca="1" si="57"/>
        <v>44936</v>
      </c>
      <c r="C937" t="s">
        <v>10</v>
      </c>
      <c r="D937" t="str">
        <f t="shared" ca="1" si="58"/>
        <v>Clothing</v>
      </c>
      <c r="E937" t="s">
        <v>54</v>
      </c>
      <c r="F937" s="11">
        <v>11143</v>
      </c>
      <c r="G937">
        <f t="shared" ca="1" si="59"/>
        <v>2</v>
      </c>
      <c r="H937" s="11">
        <f ca="1">IF(Table1[[#This Row],[Category]]="Electronics",Table1[[#This Row],[Sales]]*0.6,
IF(Table1[[#This Row],[Category]]="Furniture",Table1[[#This Row],[Sales]]*0.75,
IF(Table1[[#This Row],[Category]]="Clothing",Table1[[#This Row],[Sales]]*0.65,
Table1[[#This Row],[Sales]]*0.7)))</f>
        <v>7242.95</v>
      </c>
      <c r="I937" s="11">
        <f ca="1">Table1[[#This Row],[Sales]]-H937</f>
        <v>3900.05</v>
      </c>
      <c r="J937" s="2">
        <f ca="1">Table1[[#This Row],[Profit]]/Table1[[#This Row],[Sales]]</f>
        <v>0.35000000000000003</v>
      </c>
      <c r="K937" t="str">
        <f ca="1">TEXT(Table1[[#This Row],[Order_Date]],"mmm")</f>
        <v>Jan</v>
      </c>
      <c r="L937">
        <f ca="1">YEAR(Table1[[#This Row],[Order_Date]])</f>
        <v>2023</v>
      </c>
    </row>
    <row r="938" spans="1:12" x14ac:dyDescent="0.3">
      <c r="A938">
        <f t="shared" si="56"/>
        <v>937</v>
      </c>
      <c r="B938" s="1">
        <f t="shared" ca="1" si="57"/>
        <v>45223</v>
      </c>
      <c r="C938" t="s">
        <v>7</v>
      </c>
      <c r="D938" t="str">
        <f t="shared" ca="1" si="58"/>
        <v>Office Supplies</v>
      </c>
      <c r="E938" t="s">
        <v>78</v>
      </c>
      <c r="F938" s="11">
        <v>1789</v>
      </c>
      <c r="G938">
        <f t="shared" ca="1" si="59"/>
        <v>3</v>
      </c>
      <c r="H938" s="11">
        <f ca="1">IF(Table1[[#This Row],[Category]]="Electronics",Table1[[#This Row],[Sales]]*0.6,
IF(Table1[[#This Row],[Category]]="Furniture",Table1[[#This Row],[Sales]]*0.75,
IF(Table1[[#This Row],[Category]]="Clothing",Table1[[#This Row],[Sales]]*0.65,
Table1[[#This Row],[Sales]]*0.7)))</f>
        <v>1252.3</v>
      </c>
      <c r="I938" s="11">
        <f ca="1">Table1[[#This Row],[Sales]]-H938</f>
        <v>536.70000000000005</v>
      </c>
      <c r="J938" s="2">
        <f ca="1">Table1[[#This Row],[Profit]]/Table1[[#This Row],[Sales]]</f>
        <v>0.30000000000000004</v>
      </c>
      <c r="K938" t="str">
        <f ca="1">TEXT(Table1[[#This Row],[Order_Date]],"mmm")</f>
        <v>Oct</v>
      </c>
      <c r="L938">
        <f ca="1">YEAR(Table1[[#This Row],[Order_Date]])</f>
        <v>2023</v>
      </c>
    </row>
    <row r="939" spans="1:12" x14ac:dyDescent="0.3">
      <c r="A939">
        <f t="shared" si="56"/>
        <v>938</v>
      </c>
      <c r="B939" s="1">
        <f t="shared" ca="1" si="57"/>
        <v>45282</v>
      </c>
      <c r="C939" t="s">
        <v>8</v>
      </c>
      <c r="D939" t="str">
        <f t="shared" ca="1" si="58"/>
        <v>Office Supplies</v>
      </c>
      <c r="E939" t="s">
        <v>75</v>
      </c>
      <c r="F939" s="11">
        <v>12788</v>
      </c>
      <c r="G939">
        <f t="shared" ca="1" si="59"/>
        <v>8</v>
      </c>
      <c r="H939" s="11">
        <f ca="1">IF(Table1[[#This Row],[Category]]="Electronics",Table1[[#This Row],[Sales]]*0.6,
IF(Table1[[#This Row],[Category]]="Furniture",Table1[[#This Row],[Sales]]*0.75,
IF(Table1[[#This Row],[Category]]="Clothing",Table1[[#This Row],[Sales]]*0.65,
Table1[[#This Row],[Sales]]*0.7)))</f>
        <v>8951.5999999999985</v>
      </c>
      <c r="I939" s="11">
        <f ca="1">Table1[[#This Row],[Sales]]-H939</f>
        <v>3836.4000000000015</v>
      </c>
      <c r="J939" s="2">
        <f ca="1">Table1[[#This Row],[Profit]]/Table1[[#This Row],[Sales]]</f>
        <v>0.3000000000000001</v>
      </c>
      <c r="K939" t="str">
        <f ca="1">TEXT(Table1[[#This Row],[Order_Date]],"mmm")</f>
        <v>Dec</v>
      </c>
      <c r="L939">
        <f ca="1">YEAR(Table1[[#This Row],[Order_Date]])</f>
        <v>2023</v>
      </c>
    </row>
    <row r="940" spans="1:12" x14ac:dyDescent="0.3">
      <c r="A940">
        <f t="shared" si="56"/>
        <v>939</v>
      </c>
      <c r="B940" s="1">
        <f t="shared" ca="1" si="57"/>
        <v>45212</v>
      </c>
      <c r="C940" t="s">
        <v>9</v>
      </c>
      <c r="D940" t="str">
        <f t="shared" ca="1" si="58"/>
        <v>Clothing</v>
      </c>
      <c r="E940" t="s">
        <v>73</v>
      </c>
      <c r="F940" s="11">
        <v>15771</v>
      </c>
      <c r="G940">
        <f t="shared" ca="1" si="59"/>
        <v>8</v>
      </c>
      <c r="H940" s="11">
        <f ca="1">IF(Table1[[#This Row],[Category]]="Electronics",Table1[[#This Row],[Sales]]*0.6,
IF(Table1[[#This Row],[Category]]="Furniture",Table1[[#This Row],[Sales]]*0.75,
IF(Table1[[#This Row],[Category]]="Clothing",Table1[[#This Row],[Sales]]*0.65,
Table1[[#This Row],[Sales]]*0.7)))</f>
        <v>10251.15</v>
      </c>
      <c r="I940" s="11">
        <f ca="1">Table1[[#This Row],[Sales]]-H940</f>
        <v>5519.85</v>
      </c>
      <c r="J940" s="2">
        <f ca="1">Table1[[#This Row],[Profit]]/Table1[[#This Row],[Sales]]</f>
        <v>0.35000000000000003</v>
      </c>
      <c r="K940" t="str">
        <f ca="1">TEXT(Table1[[#This Row],[Order_Date]],"mmm")</f>
        <v>Oct</v>
      </c>
      <c r="L940">
        <f ca="1">YEAR(Table1[[#This Row],[Order_Date]])</f>
        <v>2023</v>
      </c>
    </row>
    <row r="941" spans="1:12" x14ac:dyDescent="0.3">
      <c r="A941">
        <f t="shared" si="56"/>
        <v>940</v>
      </c>
      <c r="B941" s="1">
        <f t="shared" ca="1" si="57"/>
        <v>44931</v>
      </c>
      <c r="C941" t="s">
        <v>10</v>
      </c>
      <c r="D941" t="str">
        <f t="shared" ca="1" si="58"/>
        <v>Office Supplies</v>
      </c>
      <c r="E941" t="s">
        <v>45</v>
      </c>
      <c r="F941" s="11">
        <v>12271</v>
      </c>
      <c r="G941">
        <f t="shared" ca="1" si="59"/>
        <v>1</v>
      </c>
      <c r="H941" s="11">
        <f ca="1">IF(Table1[[#This Row],[Category]]="Electronics",Table1[[#This Row],[Sales]]*0.6,
IF(Table1[[#This Row],[Category]]="Furniture",Table1[[#This Row],[Sales]]*0.75,
IF(Table1[[#This Row],[Category]]="Clothing",Table1[[#This Row],[Sales]]*0.65,
Table1[[#This Row],[Sales]]*0.7)))</f>
        <v>8589.6999999999989</v>
      </c>
      <c r="I941" s="11">
        <f ca="1">Table1[[#This Row],[Sales]]-H941</f>
        <v>3681.3000000000011</v>
      </c>
      <c r="J941" s="2">
        <f ca="1">Table1[[#This Row],[Profit]]/Table1[[#This Row],[Sales]]</f>
        <v>0.3000000000000001</v>
      </c>
      <c r="K941" t="str">
        <f ca="1">TEXT(Table1[[#This Row],[Order_Date]],"mmm")</f>
        <v>Jan</v>
      </c>
      <c r="L941">
        <f ca="1">YEAR(Table1[[#This Row],[Order_Date]])</f>
        <v>2023</v>
      </c>
    </row>
    <row r="942" spans="1:12" x14ac:dyDescent="0.3">
      <c r="A942">
        <f t="shared" si="56"/>
        <v>941</v>
      </c>
      <c r="B942" s="1">
        <f t="shared" ca="1" si="57"/>
        <v>45143</v>
      </c>
      <c r="C942" t="s">
        <v>7</v>
      </c>
      <c r="D942" t="str">
        <f t="shared" ca="1" si="58"/>
        <v>Electronics</v>
      </c>
      <c r="E942" t="s">
        <v>73</v>
      </c>
      <c r="F942" s="11">
        <v>18059</v>
      </c>
      <c r="G942">
        <f t="shared" ca="1" si="59"/>
        <v>10</v>
      </c>
      <c r="H942" s="11">
        <f ca="1">IF(Table1[[#This Row],[Category]]="Electronics",Table1[[#This Row],[Sales]]*0.6,
IF(Table1[[#This Row],[Category]]="Furniture",Table1[[#This Row],[Sales]]*0.75,
IF(Table1[[#This Row],[Category]]="Clothing",Table1[[#This Row],[Sales]]*0.65,
Table1[[#This Row],[Sales]]*0.7)))</f>
        <v>10835.4</v>
      </c>
      <c r="I942" s="11">
        <f ca="1">Table1[[#This Row],[Sales]]-H942</f>
        <v>7223.6</v>
      </c>
      <c r="J942" s="2">
        <f ca="1">Table1[[#This Row],[Profit]]/Table1[[#This Row],[Sales]]</f>
        <v>0.4</v>
      </c>
      <c r="K942" t="str">
        <f ca="1">TEXT(Table1[[#This Row],[Order_Date]],"mmm")</f>
        <v>Aug</v>
      </c>
      <c r="L942">
        <f ca="1">YEAR(Table1[[#This Row],[Order_Date]])</f>
        <v>2023</v>
      </c>
    </row>
    <row r="943" spans="1:12" x14ac:dyDescent="0.3">
      <c r="A943">
        <f t="shared" si="56"/>
        <v>942</v>
      </c>
      <c r="B943" s="1">
        <f t="shared" ca="1" si="57"/>
        <v>45073</v>
      </c>
      <c r="C943" t="s">
        <v>8</v>
      </c>
      <c r="D943" t="str">
        <f t="shared" ca="1" si="58"/>
        <v>Electronics</v>
      </c>
      <c r="E943" t="s">
        <v>47</v>
      </c>
      <c r="F943" s="11">
        <v>14138</v>
      </c>
      <c r="G943">
        <f t="shared" ca="1" si="59"/>
        <v>7</v>
      </c>
      <c r="H943" s="11">
        <f ca="1">IF(Table1[[#This Row],[Category]]="Electronics",Table1[[#This Row],[Sales]]*0.6,
IF(Table1[[#This Row],[Category]]="Furniture",Table1[[#This Row],[Sales]]*0.75,
IF(Table1[[#This Row],[Category]]="Clothing",Table1[[#This Row],[Sales]]*0.65,
Table1[[#This Row],[Sales]]*0.7)))</f>
        <v>8482.7999999999993</v>
      </c>
      <c r="I943" s="11">
        <f ca="1">Table1[[#This Row],[Sales]]-H943</f>
        <v>5655.2000000000007</v>
      </c>
      <c r="J943" s="2">
        <f ca="1">Table1[[#This Row],[Profit]]/Table1[[#This Row],[Sales]]</f>
        <v>0.40000000000000008</v>
      </c>
      <c r="K943" t="str">
        <f ca="1">TEXT(Table1[[#This Row],[Order_Date]],"mmm")</f>
        <v>May</v>
      </c>
      <c r="L943">
        <f ca="1">YEAR(Table1[[#This Row],[Order_Date]])</f>
        <v>2023</v>
      </c>
    </row>
    <row r="944" spans="1:12" x14ac:dyDescent="0.3">
      <c r="A944">
        <f t="shared" si="56"/>
        <v>943</v>
      </c>
      <c r="B944" s="1">
        <f t="shared" ca="1" si="57"/>
        <v>45110</v>
      </c>
      <c r="C944" t="s">
        <v>9</v>
      </c>
      <c r="D944" t="str">
        <f t="shared" ca="1" si="58"/>
        <v>Electronics</v>
      </c>
      <c r="E944" t="s">
        <v>44</v>
      </c>
      <c r="F944" s="11">
        <v>4372</v>
      </c>
      <c r="G944">
        <f t="shared" ca="1" si="59"/>
        <v>5</v>
      </c>
      <c r="H944" s="11">
        <f ca="1">IF(Table1[[#This Row],[Category]]="Electronics",Table1[[#This Row],[Sales]]*0.6,
IF(Table1[[#This Row],[Category]]="Furniture",Table1[[#This Row],[Sales]]*0.75,
IF(Table1[[#This Row],[Category]]="Clothing",Table1[[#This Row],[Sales]]*0.65,
Table1[[#This Row],[Sales]]*0.7)))</f>
        <v>2623.2</v>
      </c>
      <c r="I944" s="11">
        <f ca="1">Table1[[#This Row],[Sales]]-H944</f>
        <v>1748.8000000000002</v>
      </c>
      <c r="J944" s="2">
        <f ca="1">Table1[[#This Row],[Profit]]/Table1[[#This Row],[Sales]]</f>
        <v>0.4</v>
      </c>
      <c r="K944" t="str">
        <f ca="1">TEXT(Table1[[#This Row],[Order_Date]],"mmm")</f>
        <v>Jul</v>
      </c>
      <c r="L944">
        <f ca="1">YEAR(Table1[[#This Row],[Order_Date]])</f>
        <v>2023</v>
      </c>
    </row>
    <row r="945" spans="1:12" x14ac:dyDescent="0.3">
      <c r="A945">
        <f t="shared" si="56"/>
        <v>944</v>
      </c>
      <c r="B945" s="1">
        <f t="shared" ca="1" si="57"/>
        <v>45087</v>
      </c>
      <c r="C945" t="s">
        <v>10</v>
      </c>
      <c r="D945" t="str">
        <f t="shared" ca="1" si="58"/>
        <v>Furniture</v>
      </c>
      <c r="E945" t="s">
        <v>50</v>
      </c>
      <c r="F945" s="11">
        <v>17729</v>
      </c>
      <c r="G945">
        <f t="shared" ca="1" si="59"/>
        <v>2</v>
      </c>
      <c r="H945" s="11">
        <f ca="1">IF(Table1[[#This Row],[Category]]="Electronics",Table1[[#This Row],[Sales]]*0.6,
IF(Table1[[#This Row],[Category]]="Furniture",Table1[[#This Row],[Sales]]*0.75,
IF(Table1[[#This Row],[Category]]="Clothing",Table1[[#This Row],[Sales]]*0.65,
Table1[[#This Row],[Sales]]*0.7)))</f>
        <v>13296.75</v>
      </c>
      <c r="I945" s="11">
        <f ca="1">Table1[[#This Row],[Sales]]-H945</f>
        <v>4432.25</v>
      </c>
      <c r="J945" s="2">
        <f ca="1">Table1[[#This Row],[Profit]]/Table1[[#This Row],[Sales]]</f>
        <v>0.25</v>
      </c>
      <c r="K945" t="str">
        <f ca="1">TEXT(Table1[[#This Row],[Order_Date]],"mmm")</f>
        <v>Jun</v>
      </c>
      <c r="L945">
        <f ca="1">YEAR(Table1[[#This Row],[Order_Date]])</f>
        <v>2023</v>
      </c>
    </row>
    <row r="946" spans="1:12" x14ac:dyDescent="0.3">
      <c r="A946">
        <f t="shared" si="56"/>
        <v>945</v>
      </c>
      <c r="B946" s="1">
        <f t="shared" ca="1" si="57"/>
        <v>45242</v>
      </c>
      <c r="C946" t="s">
        <v>7</v>
      </c>
      <c r="D946" t="str">
        <f t="shared" ca="1" si="58"/>
        <v>Office Supplies</v>
      </c>
      <c r="E946" t="s">
        <v>52</v>
      </c>
      <c r="F946" s="11">
        <v>13234</v>
      </c>
      <c r="G946">
        <f t="shared" ca="1" si="59"/>
        <v>5</v>
      </c>
      <c r="H946" s="11">
        <f ca="1">IF(Table1[[#This Row],[Category]]="Electronics",Table1[[#This Row],[Sales]]*0.6,
IF(Table1[[#This Row],[Category]]="Furniture",Table1[[#This Row],[Sales]]*0.75,
IF(Table1[[#This Row],[Category]]="Clothing",Table1[[#This Row],[Sales]]*0.65,
Table1[[#This Row],[Sales]]*0.7)))</f>
        <v>9263.7999999999993</v>
      </c>
      <c r="I946" s="11">
        <f ca="1">Table1[[#This Row],[Sales]]-H946</f>
        <v>3970.2000000000007</v>
      </c>
      <c r="J946" s="2">
        <f ca="1">Table1[[#This Row],[Profit]]/Table1[[#This Row],[Sales]]</f>
        <v>0.30000000000000004</v>
      </c>
      <c r="K946" t="str">
        <f ca="1">TEXT(Table1[[#This Row],[Order_Date]],"mmm")</f>
        <v>Nov</v>
      </c>
      <c r="L946">
        <f ca="1">YEAR(Table1[[#This Row],[Order_Date]])</f>
        <v>2023</v>
      </c>
    </row>
    <row r="947" spans="1:12" x14ac:dyDescent="0.3">
      <c r="A947">
        <f t="shared" si="56"/>
        <v>946</v>
      </c>
      <c r="B947" s="1">
        <f t="shared" ca="1" si="57"/>
        <v>45052</v>
      </c>
      <c r="C947" t="s">
        <v>8</v>
      </c>
      <c r="D947" t="str">
        <f t="shared" ca="1" si="58"/>
        <v>Electronics</v>
      </c>
      <c r="E947" t="s">
        <v>45</v>
      </c>
      <c r="F947" s="11">
        <v>4720</v>
      </c>
      <c r="G947">
        <f t="shared" ca="1" si="59"/>
        <v>2</v>
      </c>
      <c r="H947" s="11">
        <f ca="1">IF(Table1[[#This Row],[Category]]="Electronics",Table1[[#This Row],[Sales]]*0.6,
IF(Table1[[#This Row],[Category]]="Furniture",Table1[[#This Row],[Sales]]*0.75,
IF(Table1[[#This Row],[Category]]="Clothing",Table1[[#This Row],[Sales]]*0.65,
Table1[[#This Row],[Sales]]*0.7)))</f>
        <v>2832</v>
      </c>
      <c r="I947" s="11">
        <f ca="1">Table1[[#This Row],[Sales]]-H947</f>
        <v>1888</v>
      </c>
      <c r="J947" s="2">
        <f ca="1">Table1[[#This Row],[Profit]]/Table1[[#This Row],[Sales]]</f>
        <v>0.4</v>
      </c>
      <c r="K947" t="str">
        <f ca="1">TEXT(Table1[[#This Row],[Order_Date]],"mmm")</f>
        <v>May</v>
      </c>
      <c r="L947">
        <f ca="1">YEAR(Table1[[#This Row],[Order_Date]])</f>
        <v>2023</v>
      </c>
    </row>
    <row r="948" spans="1:12" x14ac:dyDescent="0.3">
      <c r="A948">
        <f t="shared" si="56"/>
        <v>947</v>
      </c>
      <c r="B948" s="1">
        <f t="shared" ca="1" si="57"/>
        <v>44997</v>
      </c>
      <c r="C948" t="s">
        <v>9</v>
      </c>
      <c r="D948" t="str">
        <f t="shared" ca="1" si="58"/>
        <v>Clothing</v>
      </c>
      <c r="E948" t="s">
        <v>50</v>
      </c>
      <c r="F948" s="11">
        <v>15779</v>
      </c>
      <c r="G948">
        <f t="shared" ca="1" si="59"/>
        <v>2</v>
      </c>
      <c r="H948" s="11">
        <f ca="1">IF(Table1[[#This Row],[Category]]="Electronics",Table1[[#This Row],[Sales]]*0.6,
IF(Table1[[#This Row],[Category]]="Furniture",Table1[[#This Row],[Sales]]*0.75,
IF(Table1[[#This Row],[Category]]="Clothing",Table1[[#This Row],[Sales]]*0.65,
Table1[[#This Row],[Sales]]*0.7)))</f>
        <v>10256.35</v>
      </c>
      <c r="I948" s="11">
        <f ca="1">Table1[[#This Row],[Sales]]-H948</f>
        <v>5522.65</v>
      </c>
      <c r="J948" s="2">
        <f ca="1">Table1[[#This Row],[Profit]]/Table1[[#This Row],[Sales]]</f>
        <v>0.35</v>
      </c>
      <c r="K948" t="str">
        <f ca="1">TEXT(Table1[[#This Row],[Order_Date]],"mmm")</f>
        <v>Mar</v>
      </c>
      <c r="L948">
        <f ca="1">YEAR(Table1[[#This Row],[Order_Date]])</f>
        <v>2023</v>
      </c>
    </row>
    <row r="949" spans="1:12" x14ac:dyDescent="0.3">
      <c r="A949">
        <f t="shared" si="56"/>
        <v>948</v>
      </c>
      <c r="B949" s="1">
        <f t="shared" ca="1" si="57"/>
        <v>45030</v>
      </c>
      <c r="C949" t="s">
        <v>10</v>
      </c>
      <c r="D949" t="str">
        <f t="shared" ca="1" si="58"/>
        <v>Furniture</v>
      </c>
      <c r="E949" t="s">
        <v>73</v>
      </c>
      <c r="F949" s="11">
        <v>14165</v>
      </c>
      <c r="G949">
        <f t="shared" ca="1" si="59"/>
        <v>3</v>
      </c>
      <c r="H949" s="11">
        <f ca="1">IF(Table1[[#This Row],[Category]]="Electronics",Table1[[#This Row],[Sales]]*0.6,
IF(Table1[[#This Row],[Category]]="Furniture",Table1[[#This Row],[Sales]]*0.75,
IF(Table1[[#This Row],[Category]]="Clothing",Table1[[#This Row],[Sales]]*0.65,
Table1[[#This Row],[Sales]]*0.7)))</f>
        <v>10623.75</v>
      </c>
      <c r="I949" s="11">
        <f ca="1">Table1[[#This Row],[Sales]]-H949</f>
        <v>3541.25</v>
      </c>
      <c r="J949" s="2">
        <f ca="1">Table1[[#This Row],[Profit]]/Table1[[#This Row],[Sales]]</f>
        <v>0.25</v>
      </c>
      <c r="K949" t="str">
        <f ca="1">TEXT(Table1[[#This Row],[Order_Date]],"mmm")</f>
        <v>Apr</v>
      </c>
      <c r="L949">
        <f ca="1">YEAR(Table1[[#This Row],[Order_Date]])</f>
        <v>2023</v>
      </c>
    </row>
    <row r="950" spans="1:12" x14ac:dyDescent="0.3">
      <c r="A950">
        <f t="shared" si="56"/>
        <v>949</v>
      </c>
      <c r="B950" s="1">
        <f t="shared" ca="1" si="57"/>
        <v>45134</v>
      </c>
      <c r="C950" t="s">
        <v>7</v>
      </c>
      <c r="D950" t="str">
        <f t="shared" ca="1" si="58"/>
        <v>Office Supplies</v>
      </c>
      <c r="E950" t="s">
        <v>83</v>
      </c>
      <c r="F950" s="11">
        <v>10602</v>
      </c>
      <c r="G950">
        <f t="shared" ca="1" si="59"/>
        <v>1</v>
      </c>
      <c r="H950" s="11">
        <f ca="1">IF(Table1[[#This Row],[Category]]="Electronics",Table1[[#This Row],[Sales]]*0.6,
IF(Table1[[#This Row],[Category]]="Furniture",Table1[[#This Row],[Sales]]*0.75,
IF(Table1[[#This Row],[Category]]="Clothing",Table1[[#This Row],[Sales]]*0.65,
Table1[[#This Row],[Sales]]*0.7)))</f>
        <v>7421.4</v>
      </c>
      <c r="I950" s="11">
        <f ca="1">Table1[[#This Row],[Sales]]-H950</f>
        <v>3180.6000000000004</v>
      </c>
      <c r="J950" s="2">
        <f ca="1">Table1[[#This Row],[Profit]]/Table1[[#This Row],[Sales]]</f>
        <v>0.30000000000000004</v>
      </c>
      <c r="K950" t="str">
        <f ca="1">TEXT(Table1[[#This Row],[Order_Date]],"mmm")</f>
        <v>Jul</v>
      </c>
      <c r="L950">
        <f ca="1">YEAR(Table1[[#This Row],[Order_Date]])</f>
        <v>2023</v>
      </c>
    </row>
    <row r="951" spans="1:12" x14ac:dyDescent="0.3">
      <c r="A951">
        <f t="shared" si="56"/>
        <v>950</v>
      </c>
      <c r="B951" s="1">
        <f t="shared" ca="1" si="57"/>
        <v>45231</v>
      </c>
      <c r="C951" t="s">
        <v>8</v>
      </c>
      <c r="D951" t="str">
        <f t="shared" ca="1" si="58"/>
        <v>Office Supplies</v>
      </c>
      <c r="E951" t="s">
        <v>70</v>
      </c>
      <c r="F951" s="11">
        <v>8902</v>
      </c>
      <c r="G951">
        <f t="shared" ca="1" si="59"/>
        <v>9</v>
      </c>
      <c r="H951" s="11">
        <f ca="1">IF(Table1[[#This Row],[Category]]="Electronics",Table1[[#This Row],[Sales]]*0.6,
IF(Table1[[#This Row],[Category]]="Furniture",Table1[[#This Row],[Sales]]*0.75,
IF(Table1[[#This Row],[Category]]="Clothing",Table1[[#This Row],[Sales]]*0.65,
Table1[[#This Row],[Sales]]*0.7)))</f>
        <v>6231.4</v>
      </c>
      <c r="I951" s="11">
        <f ca="1">Table1[[#This Row],[Sales]]-H951</f>
        <v>2670.6000000000004</v>
      </c>
      <c r="J951" s="2">
        <f ca="1">Table1[[#This Row],[Profit]]/Table1[[#This Row],[Sales]]</f>
        <v>0.30000000000000004</v>
      </c>
      <c r="K951" t="str">
        <f ca="1">TEXT(Table1[[#This Row],[Order_Date]],"mmm")</f>
        <v>Nov</v>
      </c>
      <c r="L951">
        <f ca="1">YEAR(Table1[[#This Row],[Order_Date]])</f>
        <v>2023</v>
      </c>
    </row>
    <row r="952" spans="1:12" x14ac:dyDescent="0.3">
      <c r="A952">
        <f t="shared" si="56"/>
        <v>951</v>
      </c>
      <c r="B952" s="1">
        <f t="shared" ca="1" si="57"/>
        <v>45024</v>
      </c>
      <c r="C952" t="s">
        <v>9</v>
      </c>
      <c r="D952" t="str">
        <f t="shared" ca="1" si="58"/>
        <v>Furniture</v>
      </c>
      <c r="E952" t="s">
        <v>79</v>
      </c>
      <c r="F952" s="11">
        <v>13236</v>
      </c>
      <c r="G952">
        <f t="shared" ca="1" si="59"/>
        <v>10</v>
      </c>
      <c r="H952" s="11">
        <f ca="1">IF(Table1[[#This Row],[Category]]="Electronics",Table1[[#This Row],[Sales]]*0.6,
IF(Table1[[#This Row],[Category]]="Furniture",Table1[[#This Row],[Sales]]*0.75,
IF(Table1[[#This Row],[Category]]="Clothing",Table1[[#This Row],[Sales]]*0.65,
Table1[[#This Row],[Sales]]*0.7)))</f>
        <v>9927</v>
      </c>
      <c r="I952" s="11">
        <f ca="1">Table1[[#This Row],[Sales]]-H952</f>
        <v>3309</v>
      </c>
      <c r="J952" s="2">
        <f ca="1">Table1[[#This Row],[Profit]]/Table1[[#This Row],[Sales]]</f>
        <v>0.25</v>
      </c>
      <c r="K952" t="str">
        <f ca="1">TEXT(Table1[[#This Row],[Order_Date]],"mmm")</f>
        <v>Apr</v>
      </c>
      <c r="L952">
        <f ca="1">YEAR(Table1[[#This Row],[Order_Date]])</f>
        <v>2023</v>
      </c>
    </row>
    <row r="953" spans="1:12" x14ac:dyDescent="0.3">
      <c r="A953">
        <f t="shared" si="56"/>
        <v>952</v>
      </c>
      <c r="B953" s="1">
        <f t="shared" ca="1" si="57"/>
        <v>45029</v>
      </c>
      <c r="C953" t="s">
        <v>10</v>
      </c>
      <c r="D953" t="str">
        <f t="shared" ca="1" si="58"/>
        <v>Electronics</v>
      </c>
      <c r="E953" t="s">
        <v>65</v>
      </c>
      <c r="F953" s="11">
        <v>9882</v>
      </c>
      <c r="G953">
        <f t="shared" ca="1" si="59"/>
        <v>7</v>
      </c>
      <c r="H953" s="11">
        <f ca="1">IF(Table1[[#This Row],[Category]]="Electronics",Table1[[#This Row],[Sales]]*0.6,
IF(Table1[[#This Row],[Category]]="Furniture",Table1[[#This Row],[Sales]]*0.75,
IF(Table1[[#This Row],[Category]]="Clothing",Table1[[#This Row],[Sales]]*0.65,
Table1[[#This Row],[Sales]]*0.7)))</f>
        <v>5929.2</v>
      </c>
      <c r="I953" s="11">
        <f ca="1">Table1[[#This Row],[Sales]]-H953</f>
        <v>3952.8</v>
      </c>
      <c r="J953" s="2">
        <f ca="1">Table1[[#This Row],[Profit]]/Table1[[#This Row],[Sales]]</f>
        <v>0.4</v>
      </c>
      <c r="K953" t="str">
        <f ca="1">TEXT(Table1[[#This Row],[Order_Date]],"mmm")</f>
        <v>Apr</v>
      </c>
      <c r="L953">
        <f ca="1">YEAR(Table1[[#This Row],[Order_Date]])</f>
        <v>2023</v>
      </c>
    </row>
    <row r="954" spans="1:12" x14ac:dyDescent="0.3">
      <c r="A954">
        <f t="shared" si="56"/>
        <v>953</v>
      </c>
      <c r="B954" s="1">
        <f t="shared" ca="1" si="57"/>
        <v>45201</v>
      </c>
      <c r="C954" t="s">
        <v>7</v>
      </c>
      <c r="D954" t="str">
        <f t="shared" ca="1" si="58"/>
        <v>Electronics</v>
      </c>
      <c r="E954" t="s">
        <v>45</v>
      </c>
      <c r="F954" s="11">
        <v>6133</v>
      </c>
      <c r="G954">
        <f t="shared" ca="1" si="59"/>
        <v>9</v>
      </c>
      <c r="H954" s="11">
        <f ca="1">IF(Table1[[#This Row],[Category]]="Electronics",Table1[[#This Row],[Sales]]*0.6,
IF(Table1[[#This Row],[Category]]="Furniture",Table1[[#This Row],[Sales]]*0.75,
IF(Table1[[#This Row],[Category]]="Clothing",Table1[[#This Row],[Sales]]*0.65,
Table1[[#This Row],[Sales]]*0.7)))</f>
        <v>3679.7999999999997</v>
      </c>
      <c r="I954" s="11">
        <f ca="1">Table1[[#This Row],[Sales]]-H954</f>
        <v>2453.2000000000003</v>
      </c>
      <c r="J954" s="2">
        <f ca="1">Table1[[#This Row],[Profit]]/Table1[[#This Row],[Sales]]</f>
        <v>0.4</v>
      </c>
      <c r="K954" t="str">
        <f ca="1">TEXT(Table1[[#This Row],[Order_Date]],"mmm")</f>
        <v>Oct</v>
      </c>
      <c r="L954">
        <f ca="1">YEAR(Table1[[#This Row],[Order_Date]])</f>
        <v>2023</v>
      </c>
    </row>
    <row r="955" spans="1:12" x14ac:dyDescent="0.3">
      <c r="A955">
        <f t="shared" si="56"/>
        <v>954</v>
      </c>
      <c r="B955" s="1">
        <f t="shared" ca="1" si="57"/>
        <v>45142</v>
      </c>
      <c r="C955" t="s">
        <v>8</v>
      </c>
      <c r="D955" t="str">
        <f t="shared" ca="1" si="58"/>
        <v>Furniture</v>
      </c>
      <c r="E955" t="s">
        <v>76</v>
      </c>
      <c r="F955" s="11">
        <v>6665</v>
      </c>
      <c r="G955">
        <f t="shared" ca="1" si="59"/>
        <v>7</v>
      </c>
      <c r="H955" s="11">
        <f ca="1">IF(Table1[[#This Row],[Category]]="Electronics",Table1[[#This Row],[Sales]]*0.6,
IF(Table1[[#This Row],[Category]]="Furniture",Table1[[#This Row],[Sales]]*0.75,
IF(Table1[[#This Row],[Category]]="Clothing",Table1[[#This Row],[Sales]]*0.65,
Table1[[#This Row],[Sales]]*0.7)))</f>
        <v>4998.75</v>
      </c>
      <c r="I955" s="11">
        <f ca="1">Table1[[#This Row],[Sales]]-H955</f>
        <v>1666.25</v>
      </c>
      <c r="J955" s="2">
        <f ca="1">Table1[[#This Row],[Profit]]/Table1[[#This Row],[Sales]]</f>
        <v>0.25</v>
      </c>
      <c r="K955" t="str">
        <f ca="1">TEXT(Table1[[#This Row],[Order_Date]],"mmm")</f>
        <v>Aug</v>
      </c>
      <c r="L955">
        <f ca="1">YEAR(Table1[[#This Row],[Order_Date]])</f>
        <v>2023</v>
      </c>
    </row>
    <row r="956" spans="1:12" x14ac:dyDescent="0.3">
      <c r="A956">
        <f t="shared" si="56"/>
        <v>955</v>
      </c>
      <c r="B956" s="1">
        <f t="shared" ca="1" si="57"/>
        <v>45007</v>
      </c>
      <c r="C956" t="s">
        <v>9</v>
      </c>
      <c r="D956" t="str">
        <f t="shared" ca="1" si="58"/>
        <v>Clothing</v>
      </c>
      <c r="E956" t="s">
        <v>44</v>
      </c>
      <c r="F956" s="11">
        <v>16631</v>
      </c>
      <c r="G956">
        <f t="shared" ca="1" si="59"/>
        <v>6</v>
      </c>
      <c r="H956" s="11">
        <f ca="1">IF(Table1[[#This Row],[Category]]="Electronics",Table1[[#This Row],[Sales]]*0.6,
IF(Table1[[#This Row],[Category]]="Furniture",Table1[[#This Row],[Sales]]*0.75,
IF(Table1[[#This Row],[Category]]="Clothing",Table1[[#This Row],[Sales]]*0.65,
Table1[[#This Row],[Sales]]*0.7)))</f>
        <v>10810.15</v>
      </c>
      <c r="I956" s="11">
        <f ca="1">Table1[[#This Row],[Sales]]-H956</f>
        <v>5820.85</v>
      </c>
      <c r="J956" s="2">
        <f ca="1">Table1[[#This Row],[Profit]]/Table1[[#This Row],[Sales]]</f>
        <v>0.35000000000000003</v>
      </c>
      <c r="K956" t="str">
        <f ca="1">TEXT(Table1[[#This Row],[Order_Date]],"mmm")</f>
        <v>Mar</v>
      </c>
      <c r="L956">
        <f ca="1">YEAR(Table1[[#This Row],[Order_Date]])</f>
        <v>2023</v>
      </c>
    </row>
    <row r="957" spans="1:12" x14ac:dyDescent="0.3">
      <c r="A957">
        <f t="shared" si="56"/>
        <v>956</v>
      </c>
      <c r="B957" s="1">
        <f t="shared" ca="1" si="57"/>
        <v>45000</v>
      </c>
      <c r="C957" t="s">
        <v>10</v>
      </c>
      <c r="D957" t="str">
        <f t="shared" ca="1" si="58"/>
        <v>Furniture</v>
      </c>
      <c r="E957" t="s">
        <v>49</v>
      </c>
      <c r="F957" s="11">
        <v>14784</v>
      </c>
      <c r="G957">
        <f t="shared" ca="1" si="59"/>
        <v>9</v>
      </c>
      <c r="H957" s="11">
        <f ca="1">IF(Table1[[#This Row],[Category]]="Electronics",Table1[[#This Row],[Sales]]*0.6,
IF(Table1[[#This Row],[Category]]="Furniture",Table1[[#This Row],[Sales]]*0.75,
IF(Table1[[#This Row],[Category]]="Clothing",Table1[[#This Row],[Sales]]*0.65,
Table1[[#This Row],[Sales]]*0.7)))</f>
        <v>11088</v>
      </c>
      <c r="I957" s="11">
        <f ca="1">Table1[[#This Row],[Sales]]-H957</f>
        <v>3696</v>
      </c>
      <c r="J957" s="2">
        <f ca="1">Table1[[#This Row],[Profit]]/Table1[[#This Row],[Sales]]</f>
        <v>0.25</v>
      </c>
      <c r="K957" t="str">
        <f ca="1">TEXT(Table1[[#This Row],[Order_Date]],"mmm")</f>
        <v>Mar</v>
      </c>
      <c r="L957">
        <f ca="1">YEAR(Table1[[#This Row],[Order_Date]])</f>
        <v>2023</v>
      </c>
    </row>
    <row r="958" spans="1:12" x14ac:dyDescent="0.3">
      <c r="A958">
        <f t="shared" si="56"/>
        <v>957</v>
      </c>
      <c r="B958" s="1">
        <f t="shared" ca="1" si="57"/>
        <v>45157</v>
      </c>
      <c r="C958" t="s">
        <v>7</v>
      </c>
      <c r="D958" t="str">
        <f t="shared" ca="1" si="58"/>
        <v>Clothing</v>
      </c>
      <c r="E958" t="s">
        <v>43</v>
      </c>
      <c r="F958" s="11">
        <v>4639</v>
      </c>
      <c r="G958">
        <f t="shared" ca="1" si="59"/>
        <v>9</v>
      </c>
      <c r="H958" s="11">
        <f ca="1">IF(Table1[[#This Row],[Category]]="Electronics",Table1[[#This Row],[Sales]]*0.6,
IF(Table1[[#This Row],[Category]]="Furniture",Table1[[#This Row],[Sales]]*0.75,
IF(Table1[[#This Row],[Category]]="Clothing",Table1[[#This Row],[Sales]]*0.65,
Table1[[#This Row],[Sales]]*0.7)))</f>
        <v>3015.35</v>
      </c>
      <c r="I958" s="11">
        <f ca="1">Table1[[#This Row],[Sales]]-H958</f>
        <v>1623.65</v>
      </c>
      <c r="J958" s="2">
        <f ca="1">Table1[[#This Row],[Profit]]/Table1[[#This Row],[Sales]]</f>
        <v>0.35000000000000003</v>
      </c>
      <c r="K958" t="str">
        <f ca="1">TEXT(Table1[[#This Row],[Order_Date]],"mmm")</f>
        <v>Aug</v>
      </c>
      <c r="L958">
        <f ca="1">YEAR(Table1[[#This Row],[Order_Date]])</f>
        <v>2023</v>
      </c>
    </row>
    <row r="959" spans="1:12" x14ac:dyDescent="0.3">
      <c r="A959">
        <f t="shared" si="56"/>
        <v>958</v>
      </c>
      <c r="B959" s="1">
        <f t="shared" ca="1" si="57"/>
        <v>45280</v>
      </c>
      <c r="C959" t="s">
        <v>8</v>
      </c>
      <c r="D959" t="str">
        <f t="shared" ca="1" si="58"/>
        <v>Clothing</v>
      </c>
      <c r="E959" t="s">
        <v>72</v>
      </c>
      <c r="F959" s="11">
        <v>3264</v>
      </c>
      <c r="G959">
        <f t="shared" ca="1" si="59"/>
        <v>2</v>
      </c>
      <c r="H959" s="11">
        <f ca="1">IF(Table1[[#This Row],[Category]]="Electronics",Table1[[#This Row],[Sales]]*0.6,
IF(Table1[[#This Row],[Category]]="Furniture",Table1[[#This Row],[Sales]]*0.75,
IF(Table1[[#This Row],[Category]]="Clothing",Table1[[#This Row],[Sales]]*0.65,
Table1[[#This Row],[Sales]]*0.7)))</f>
        <v>2121.6</v>
      </c>
      <c r="I959" s="11">
        <f ca="1">Table1[[#This Row],[Sales]]-H959</f>
        <v>1142.4000000000001</v>
      </c>
      <c r="J959" s="2">
        <f ca="1">Table1[[#This Row],[Profit]]/Table1[[#This Row],[Sales]]</f>
        <v>0.35000000000000003</v>
      </c>
      <c r="K959" t="str">
        <f ca="1">TEXT(Table1[[#This Row],[Order_Date]],"mmm")</f>
        <v>Dec</v>
      </c>
      <c r="L959">
        <f ca="1">YEAR(Table1[[#This Row],[Order_Date]])</f>
        <v>2023</v>
      </c>
    </row>
    <row r="960" spans="1:12" x14ac:dyDescent="0.3">
      <c r="A960">
        <f t="shared" si="56"/>
        <v>959</v>
      </c>
      <c r="B960" s="1">
        <f t="shared" ca="1" si="57"/>
        <v>45006</v>
      </c>
      <c r="C960" t="s">
        <v>9</v>
      </c>
      <c r="D960" t="str">
        <f t="shared" ca="1" si="58"/>
        <v>Electronics</v>
      </c>
      <c r="E960" t="s">
        <v>70</v>
      </c>
      <c r="F960" s="11">
        <v>8286</v>
      </c>
      <c r="G960">
        <f t="shared" ca="1" si="59"/>
        <v>10</v>
      </c>
      <c r="H960" s="11">
        <f ca="1">IF(Table1[[#This Row],[Category]]="Electronics",Table1[[#This Row],[Sales]]*0.6,
IF(Table1[[#This Row],[Category]]="Furniture",Table1[[#This Row],[Sales]]*0.75,
IF(Table1[[#This Row],[Category]]="Clothing",Table1[[#This Row],[Sales]]*0.65,
Table1[[#This Row],[Sales]]*0.7)))</f>
        <v>4971.5999999999995</v>
      </c>
      <c r="I960" s="11">
        <f ca="1">Table1[[#This Row],[Sales]]-H960</f>
        <v>3314.4000000000005</v>
      </c>
      <c r="J960" s="2">
        <f ca="1">Table1[[#This Row],[Profit]]/Table1[[#This Row],[Sales]]</f>
        <v>0.40000000000000008</v>
      </c>
      <c r="K960" t="str">
        <f ca="1">TEXT(Table1[[#This Row],[Order_Date]],"mmm")</f>
        <v>Mar</v>
      </c>
      <c r="L960">
        <f ca="1">YEAR(Table1[[#This Row],[Order_Date]])</f>
        <v>2023</v>
      </c>
    </row>
    <row r="961" spans="1:12" x14ac:dyDescent="0.3">
      <c r="A961">
        <f t="shared" si="56"/>
        <v>960</v>
      </c>
      <c r="B961" s="1">
        <f t="shared" ca="1" si="57"/>
        <v>44940</v>
      </c>
      <c r="C961" t="s">
        <v>10</v>
      </c>
      <c r="D961" t="str">
        <f t="shared" ca="1" si="58"/>
        <v>Electronics</v>
      </c>
      <c r="E961" t="s">
        <v>59</v>
      </c>
      <c r="F961" s="11">
        <v>3832</v>
      </c>
      <c r="G961">
        <f t="shared" ca="1" si="59"/>
        <v>7</v>
      </c>
      <c r="H961" s="11">
        <f ca="1">IF(Table1[[#This Row],[Category]]="Electronics",Table1[[#This Row],[Sales]]*0.6,
IF(Table1[[#This Row],[Category]]="Furniture",Table1[[#This Row],[Sales]]*0.75,
IF(Table1[[#This Row],[Category]]="Clothing",Table1[[#This Row],[Sales]]*0.65,
Table1[[#This Row],[Sales]]*0.7)))</f>
        <v>2299.1999999999998</v>
      </c>
      <c r="I961" s="11">
        <f ca="1">Table1[[#This Row],[Sales]]-H961</f>
        <v>1532.8000000000002</v>
      </c>
      <c r="J961" s="2">
        <f ca="1">Table1[[#This Row],[Profit]]/Table1[[#This Row],[Sales]]</f>
        <v>0.4</v>
      </c>
      <c r="K961" t="str">
        <f ca="1">TEXT(Table1[[#This Row],[Order_Date]],"mmm")</f>
        <v>Jan</v>
      </c>
      <c r="L961">
        <f ca="1">YEAR(Table1[[#This Row],[Order_Date]])</f>
        <v>2023</v>
      </c>
    </row>
    <row r="962" spans="1:12" x14ac:dyDescent="0.3">
      <c r="A962">
        <f t="shared" si="56"/>
        <v>961</v>
      </c>
      <c r="B962" s="1">
        <f t="shared" ca="1" si="57"/>
        <v>45205</v>
      </c>
      <c r="C962" t="s">
        <v>7</v>
      </c>
      <c r="D962" t="str">
        <f t="shared" ca="1" si="58"/>
        <v>Office Supplies</v>
      </c>
      <c r="E962" t="s">
        <v>42</v>
      </c>
      <c r="F962" s="11">
        <v>12279</v>
      </c>
      <c r="G962">
        <f t="shared" ca="1" si="59"/>
        <v>9</v>
      </c>
      <c r="H962" s="11">
        <f ca="1">IF(Table1[[#This Row],[Category]]="Electronics",Table1[[#This Row],[Sales]]*0.6,
IF(Table1[[#This Row],[Category]]="Furniture",Table1[[#This Row],[Sales]]*0.75,
IF(Table1[[#This Row],[Category]]="Clothing",Table1[[#This Row],[Sales]]*0.65,
Table1[[#This Row],[Sales]]*0.7)))</f>
        <v>8595.2999999999993</v>
      </c>
      <c r="I962" s="11">
        <f ca="1">Table1[[#This Row],[Sales]]-H962</f>
        <v>3683.7000000000007</v>
      </c>
      <c r="J962" s="2">
        <f ca="1">Table1[[#This Row],[Profit]]/Table1[[#This Row],[Sales]]</f>
        <v>0.30000000000000004</v>
      </c>
      <c r="K962" t="str">
        <f ca="1">TEXT(Table1[[#This Row],[Order_Date]],"mmm")</f>
        <v>Oct</v>
      </c>
      <c r="L962">
        <f ca="1">YEAR(Table1[[#This Row],[Order_Date]])</f>
        <v>2023</v>
      </c>
    </row>
    <row r="963" spans="1:12" x14ac:dyDescent="0.3">
      <c r="A963">
        <f t="shared" ref="A963:A1026" si="60">ROW()-1</f>
        <v>962</v>
      </c>
      <c r="B963" s="1">
        <f t="shared" ref="B963:B1026" ca="1" si="61">DATE(2023, RANDBETWEEN(1,12), RANDBETWEEN(1,28))</f>
        <v>45100</v>
      </c>
      <c r="C963" t="s">
        <v>8</v>
      </c>
      <c r="D963" t="str">
        <f t="shared" ref="D963:D1026" ca="1" si="62">CHOOSE(RANDBETWEEN(1,4),"Electronics","Furniture","Clothing","Office Supplies")</f>
        <v>Clothing</v>
      </c>
      <c r="E963" t="s">
        <v>52</v>
      </c>
      <c r="F963" s="11">
        <v>2081</v>
      </c>
      <c r="G963">
        <f t="shared" ref="G963:G1026" ca="1" si="63">RANDBETWEEN(1,10)</f>
        <v>1</v>
      </c>
      <c r="H963" s="11">
        <f ca="1">IF(Table1[[#This Row],[Category]]="Electronics",Table1[[#This Row],[Sales]]*0.6,
IF(Table1[[#This Row],[Category]]="Furniture",Table1[[#This Row],[Sales]]*0.75,
IF(Table1[[#This Row],[Category]]="Clothing",Table1[[#This Row],[Sales]]*0.65,
Table1[[#This Row],[Sales]]*0.7)))</f>
        <v>1352.65</v>
      </c>
      <c r="I963" s="11">
        <f ca="1">Table1[[#This Row],[Sales]]-H963</f>
        <v>728.34999999999991</v>
      </c>
      <c r="J963" s="2">
        <f ca="1">Table1[[#This Row],[Profit]]/Table1[[#This Row],[Sales]]</f>
        <v>0.35</v>
      </c>
      <c r="K963" t="str">
        <f ca="1">TEXT(Table1[[#This Row],[Order_Date]],"mmm")</f>
        <v>Jun</v>
      </c>
      <c r="L963">
        <f ca="1">YEAR(Table1[[#This Row],[Order_Date]])</f>
        <v>2023</v>
      </c>
    </row>
    <row r="964" spans="1:12" x14ac:dyDescent="0.3">
      <c r="A964">
        <f t="shared" si="60"/>
        <v>963</v>
      </c>
      <c r="B964" s="1">
        <f t="shared" ca="1" si="61"/>
        <v>45031</v>
      </c>
      <c r="C964" t="s">
        <v>9</v>
      </c>
      <c r="D964" t="str">
        <f t="shared" ca="1" si="62"/>
        <v>Office Supplies</v>
      </c>
      <c r="E964" t="s">
        <v>73</v>
      </c>
      <c r="F964" s="11">
        <v>1936</v>
      </c>
      <c r="G964">
        <f t="shared" ca="1" si="63"/>
        <v>1</v>
      </c>
      <c r="H964" s="11">
        <f ca="1">IF(Table1[[#This Row],[Category]]="Electronics",Table1[[#This Row],[Sales]]*0.6,
IF(Table1[[#This Row],[Category]]="Furniture",Table1[[#This Row],[Sales]]*0.75,
IF(Table1[[#This Row],[Category]]="Clothing",Table1[[#This Row],[Sales]]*0.65,
Table1[[#This Row],[Sales]]*0.7)))</f>
        <v>1355.1999999999998</v>
      </c>
      <c r="I964" s="11">
        <f ca="1">Table1[[#This Row],[Sales]]-H964</f>
        <v>580.80000000000018</v>
      </c>
      <c r="J964" s="2">
        <f ca="1">Table1[[#This Row],[Profit]]/Table1[[#This Row],[Sales]]</f>
        <v>0.3000000000000001</v>
      </c>
      <c r="K964" t="str">
        <f ca="1">TEXT(Table1[[#This Row],[Order_Date]],"mmm")</f>
        <v>Apr</v>
      </c>
      <c r="L964">
        <f ca="1">YEAR(Table1[[#This Row],[Order_Date]])</f>
        <v>2023</v>
      </c>
    </row>
    <row r="965" spans="1:12" x14ac:dyDescent="0.3">
      <c r="A965">
        <f t="shared" si="60"/>
        <v>964</v>
      </c>
      <c r="B965" s="1">
        <f t="shared" ca="1" si="61"/>
        <v>45281</v>
      </c>
      <c r="C965" t="s">
        <v>10</v>
      </c>
      <c r="D965" t="str">
        <f t="shared" ca="1" si="62"/>
        <v>Clothing</v>
      </c>
      <c r="E965" t="s">
        <v>41</v>
      </c>
      <c r="F965" s="11">
        <v>11365</v>
      </c>
      <c r="G965">
        <f t="shared" ca="1" si="63"/>
        <v>5</v>
      </c>
      <c r="H965" s="11">
        <f ca="1">IF(Table1[[#This Row],[Category]]="Electronics",Table1[[#This Row],[Sales]]*0.6,
IF(Table1[[#This Row],[Category]]="Furniture",Table1[[#This Row],[Sales]]*0.75,
IF(Table1[[#This Row],[Category]]="Clothing",Table1[[#This Row],[Sales]]*0.65,
Table1[[#This Row],[Sales]]*0.7)))</f>
        <v>7387.25</v>
      </c>
      <c r="I965" s="11">
        <f ca="1">Table1[[#This Row],[Sales]]-H965</f>
        <v>3977.75</v>
      </c>
      <c r="J965" s="2">
        <f ca="1">Table1[[#This Row],[Profit]]/Table1[[#This Row],[Sales]]</f>
        <v>0.35</v>
      </c>
      <c r="K965" t="str">
        <f ca="1">TEXT(Table1[[#This Row],[Order_Date]],"mmm")</f>
        <v>Dec</v>
      </c>
      <c r="L965">
        <f ca="1">YEAR(Table1[[#This Row],[Order_Date]])</f>
        <v>2023</v>
      </c>
    </row>
    <row r="966" spans="1:12" x14ac:dyDescent="0.3">
      <c r="A966">
        <f t="shared" si="60"/>
        <v>965</v>
      </c>
      <c r="B966" s="1">
        <f t="shared" ca="1" si="61"/>
        <v>45103</v>
      </c>
      <c r="C966" t="s">
        <v>7</v>
      </c>
      <c r="D966" t="str">
        <f t="shared" ca="1" si="62"/>
        <v>Furniture</v>
      </c>
      <c r="E966" t="s">
        <v>40</v>
      </c>
      <c r="F966" s="11">
        <v>2950</v>
      </c>
      <c r="G966">
        <f t="shared" ca="1" si="63"/>
        <v>7</v>
      </c>
      <c r="H966" s="11">
        <f ca="1">IF(Table1[[#This Row],[Category]]="Electronics",Table1[[#This Row],[Sales]]*0.6,
IF(Table1[[#This Row],[Category]]="Furniture",Table1[[#This Row],[Sales]]*0.75,
IF(Table1[[#This Row],[Category]]="Clothing",Table1[[#This Row],[Sales]]*0.65,
Table1[[#This Row],[Sales]]*0.7)))</f>
        <v>2212.5</v>
      </c>
      <c r="I966" s="11">
        <f ca="1">Table1[[#This Row],[Sales]]-H966</f>
        <v>737.5</v>
      </c>
      <c r="J966" s="2">
        <f ca="1">Table1[[#This Row],[Profit]]/Table1[[#This Row],[Sales]]</f>
        <v>0.25</v>
      </c>
      <c r="K966" t="str">
        <f ca="1">TEXT(Table1[[#This Row],[Order_Date]],"mmm")</f>
        <v>Jun</v>
      </c>
      <c r="L966">
        <f ca="1">YEAR(Table1[[#This Row],[Order_Date]])</f>
        <v>2023</v>
      </c>
    </row>
    <row r="967" spans="1:12" x14ac:dyDescent="0.3">
      <c r="A967">
        <f t="shared" si="60"/>
        <v>966</v>
      </c>
      <c r="B967" s="1">
        <f t="shared" ca="1" si="61"/>
        <v>45217</v>
      </c>
      <c r="C967" t="s">
        <v>8</v>
      </c>
      <c r="D967" t="str">
        <f t="shared" ca="1" si="62"/>
        <v>Furniture</v>
      </c>
      <c r="E967" t="s">
        <v>60</v>
      </c>
      <c r="F967" s="11">
        <v>14231</v>
      </c>
      <c r="G967">
        <f t="shared" ca="1" si="63"/>
        <v>1</v>
      </c>
      <c r="H967" s="11">
        <f ca="1">IF(Table1[[#This Row],[Category]]="Electronics",Table1[[#This Row],[Sales]]*0.6,
IF(Table1[[#This Row],[Category]]="Furniture",Table1[[#This Row],[Sales]]*0.75,
IF(Table1[[#This Row],[Category]]="Clothing",Table1[[#This Row],[Sales]]*0.65,
Table1[[#This Row],[Sales]]*0.7)))</f>
        <v>10673.25</v>
      </c>
      <c r="I967" s="11">
        <f ca="1">Table1[[#This Row],[Sales]]-H967</f>
        <v>3557.75</v>
      </c>
      <c r="J967" s="2">
        <f ca="1">Table1[[#This Row],[Profit]]/Table1[[#This Row],[Sales]]</f>
        <v>0.25</v>
      </c>
      <c r="K967" t="str">
        <f ca="1">TEXT(Table1[[#This Row],[Order_Date]],"mmm")</f>
        <v>Oct</v>
      </c>
      <c r="L967">
        <f ca="1">YEAR(Table1[[#This Row],[Order_Date]])</f>
        <v>2023</v>
      </c>
    </row>
    <row r="968" spans="1:12" x14ac:dyDescent="0.3">
      <c r="A968">
        <f t="shared" si="60"/>
        <v>967</v>
      </c>
      <c r="B968" s="1">
        <f t="shared" ca="1" si="61"/>
        <v>45110</v>
      </c>
      <c r="C968" t="s">
        <v>9</v>
      </c>
      <c r="D968" t="str">
        <f t="shared" ca="1" si="62"/>
        <v>Office Supplies</v>
      </c>
      <c r="E968" t="s">
        <v>81</v>
      </c>
      <c r="F968" s="11">
        <v>6235</v>
      </c>
      <c r="G968">
        <f t="shared" ca="1" si="63"/>
        <v>10</v>
      </c>
      <c r="H968" s="11">
        <f ca="1">IF(Table1[[#This Row],[Category]]="Electronics",Table1[[#This Row],[Sales]]*0.6,
IF(Table1[[#This Row],[Category]]="Furniture",Table1[[#This Row],[Sales]]*0.75,
IF(Table1[[#This Row],[Category]]="Clothing",Table1[[#This Row],[Sales]]*0.65,
Table1[[#This Row],[Sales]]*0.7)))</f>
        <v>4364.5</v>
      </c>
      <c r="I968" s="11">
        <f ca="1">Table1[[#This Row],[Sales]]-H968</f>
        <v>1870.5</v>
      </c>
      <c r="J968" s="2">
        <f ca="1">Table1[[#This Row],[Profit]]/Table1[[#This Row],[Sales]]</f>
        <v>0.3</v>
      </c>
      <c r="K968" t="str">
        <f ca="1">TEXT(Table1[[#This Row],[Order_Date]],"mmm")</f>
        <v>Jul</v>
      </c>
      <c r="L968">
        <f ca="1">YEAR(Table1[[#This Row],[Order_Date]])</f>
        <v>2023</v>
      </c>
    </row>
    <row r="969" spans="1:12" x14ac:dyDescent="0.3">
      <c r="A969">
        <f t="shared" si="60"/>
        <v>968</v>
      </c>
      <c r="B969" s="1">
        <f t="shared" ca="1" si="61"/>
        <v>45055</v>
      </c>
      <c r="C969" t="s">
        <v>10</v>
      </c>
      <c r="D969" t="str">
        <f t="shared" ca="1" si="62"/>
        <v>Clothing</v>
      </c>
      <c r="E969" t="s">
        <v>85</v>
      </c>
      <c r="F969" s="11">
        <v>16200</v>
      </c>
      <c r="G969">
        <f t="shared" ca="1" si="63"/>
        <v>3</v>
      </c>
      <c r="H969" s="11">
        <f ca="1">IF(Table1[[#This Row],[Category]]="Electronics",Table1[[#This Row],[Sales]]*0.6,
IF(Table1[[#This Row],[Category]]="Furniture",Table1[[#This Row],[Sales]]*0.75,
IF(Table1[[#This Row],[Category]]="Clothing",Table1[[#This Row],[Sales]]*0.65,
Table1[[#This Row],[Sales]]*0.7)))</f>
        <v>10530</v>
      </c>
      <c r="I969" s="11">
        <f ca="1">Table1[[#This Row],[Sales]]-H969</f>
        <v>5670</v>
      </c>
      <c r="J969" s="2">
        <f ca="1">Table1[[#This Row],[Profit]]/Table1[[#This Row],[Sales]]</f>
        <v>0.35</v>
      </c>
      <c r="K969" t="str">
        <f ca="1">TEXT(Table1[[#This Row],[Order_Date]],"mmm")</f>
        <v>May</v>
      </c>
      <c r="L969">
        <f ca="1">YEAR(Table1[[#This Row],[Order_Date]])</f>
        <v>2023</v>
      </c>
    </row>
    <row r="970" spans="1:12" x14ac:dyDescent="0.3">
      <c r="A970">
        <f t="shared" si="60"/>
        <v>969</v>
      </c>
      <c r="B970" s="1">
        <f t="shared" ca="1" si="61"/>
        <v>45119</v>
      </c>
      <c r="C970" t="s">
        <v>7</v>
      </c>
      <c r="D970" t="str">
        <f t="shared" ca="1" si="62"/>
        <v>Electronics</v>
      </c>
      <c r="E970" t="s">
        <v>42</v>
      </c>
      <c r="F970" s="11">
        <v>9523</v>
      </c>
      <c r="G970">
        <f t="shared" ca="1" si="63"/>
        <v>10</v>
      </c>
      <c r="H970" s="11">
        <f ca="1">IF(Table1[[#This Row],[Category]]="Electronics",Table1[[#This Row],[Sales]]*0.6,
IF(Table1[[#This Row],[Category]]="Furniture",Table1[[#This Row],[Sales]]*0.75,
IF(Table1[[#This Row],[Category]]="Clothing",Table1[[#This Row],[Sales]]*0.65,
Table1[[#This Row],[Sales]]*0.7)))</f>
        <v>5713.8</v>
      </c>
      <c r="I970" s="11">
        <f ca="1">Table1[[#This Row],[Sales]]-H970</f>
        <v>3809.2</v>
      </c>
      <c r="J970" s="2">
        <f ca="1">Table1[[#This Row],[Profit]]/Table1[[#This Row],[Sales]]</f>
        <v>0.39999999999999997</v>
      </c>
      <c r="K970" t="str">
        <f ca="1">TEXT(Table1[[#This Row],[Order_Date]],"mmm")</f>
        <v>Jul</v>
      </c>
      <c r="L970">
        <f ca="1">YEAR(Table1[[#This Row],[Order_Date]])</f>
        <v>2023</v>
      </c>
    </row>
    <row r="971" spans="1:12" x14ac:dyDescent="0.3">
      <c r="A971">
        <f t="shared" si="60"/>
        <v>970</v>
      </c>
      <c r="B971" s="1">
        <f t="shared" ca="1" si="61"/>
        <v>45284</v>
      </c>
      <c r="C971" t="s">
        <v>8</v>
      </c>
      <c r="D971" t="str">
        <f t="shared" ca="1" si="62"/>
        <v>Furniture</v>
      </c>
      <c r="E971" t="s">
        <v>65</v>
      </c>
      <c r="F971" s="11">
        <v>14332</v>
      </c>
      <c r="G971">
        <f t="shared" ca="1" si="63"/>
        <v>9</v>
      </c>
      <c r="H971" s="11">
        <f ca="1">IF(Table1[[#This Row],[Category]]="Electronics",Table1[[#This Row],[Sales]]*0.6,
IF(Table1[[#This Row],[Category]]="Furniture",Table1[[#This Row],[Sales]]*0.75,
IF(Table1[[#This Row],[Category]]="Clothing",Table1[[#This Row],[Sales]]*0.65,
Table1[[#This Row],[Sales]]*0.7)))</f>
        <v>10749</v>
      </c>
      <c r="I971" s="11">
        <f ca="1">Table1[[#This Row],[Sales]]-H971</f>
        <v>3583</v>
      </c>
      <c r="J971" s="2">
        <f ca="1">Table1[[#This Row],[Profit]]/Table1[[#This Row],[Sales]]</f>
        <v>0.25</v>
      </c>
      <c r="K971" t="str">
        <f ca="1">TEXT(Table1[[#This Row],[Order_Date]],"mmm")</f>
        <v>Dec</v>
      </c>
      <c r="L971">
        <f ca="1">YEAR(Table1[[#This Row],[Order_Date]])</f>
        <v>2023</v>
      </c>
    </row>
    <row r="972" spans="1:12" x14ac:dyDescent="0.3">
      <c r="A972">
        <f t="shared" si="60"/>
        <v>971</v>
      </c>
      <c r="B972" s="1">
        <f t="shared" ca="1" si="61"/>
        <v>45115</v>
      </c>
      <c r="C972" t="s">
        <v>9</v>
      </c>
      <c r="D972" t="str">
        <f t="shared" ca="1" si="62"/>
        <v>Office Supplies</v>
      </c>
      <c r="E972" t="s">
        <v>46</v>
      </c>
      <c r="F972" s="11">
        <v>17334</v>
      </c>
      <c r="G972">
        <f t="shared" ca="1" si="63"/>
        <v>6</v>
      </c>
      <c r="H972" s="11">
        <f ca="1">IF(Table1[[#This Row],[Category]]="Electronics",Table1[[#This Row],[Sales]]*0.6,
IF(Table1[[#This Row],[Category]]="Furniture",Table1[[#This Row],[Sales]]*0.75,
IF(Table1[[#This Row],[Category]]="Clothing",Table1[[#This Row],[Sales]]*0.65,
Table1[[#This Row],[Sales]]*0.7)))</f>
        <v>12133.8</v>
      </c>
      <c r="I972" s="11">
        <f ca="1">Table1[[#This Row],[Sales]]-H972</f>
        <v>5200.2000000000007</v>
      </c>
      <c r="J972" s="2">
        <f ca="1">Table1[[#This Row],[Profit]]/Table1[[#This Row],[Sales]]</f>
        <v>0.30000000000000004</v>
      </c>
      <c r="K972" t="str">
        <f ca="1">TEXT(Table1[[#This Row],[Order_Date]],"mmm")</f>
        <v>Jul</v>
      </c>
      <c r="L972">
        <f ca="1">YEAR(Table1[[#This Row],[Order_Date]])</f>
        <v>2023</v>
      </c>
    </row>
    <row r="973" spans="1:12" x14ac:dyDescent="0.3">
      <c r="A973">
        <f t="shared" si="60"/>
        <v>972</v>
      </c>
      <c r="B973" s="1">
        <f t="shared" ca="1" si="61"/>
        <v>45219</v>
      </c>
      <c r="C973" t="s">
        <v>10</v>
      </c>
      <c r="D973" t="str">
        <f t="shared" ca="1" si="62"/>
        <v>Office Supplies</v>
      </c>
      <c r="E973" t="s">
        <v>59</v>
      </c>
      <c r="F973" s="11">
        <v>13871</v>
      </c>
      <c r="G973">
        <f t="shared" ca="1" si="63"/>
        <v>9</v>
      </c>
      <c r="H973" s="11">
        <f ca="1">IF(Table1[[#This Row],[Category]]="Electronics",Table1[[#This Row],[Sales]]*0.6,
IF(Table1[[#This Row],[Category]]="Furniture",Table1[[#This Row],[Sales]]*0.75,
IF(Table1[[#This Row],[Category]]="Clothing",Table1[[#This Row],[Sales]]*0.65,
Table1[[#This Row],[Sales]]*0.7)))</f>
        <v>9709.6999999999989</v>
      </c>
      <c r="I973" s="11">
        <f ca="1">Table1[[#This Row],[Sales]]-H973</f>
        <v>4161.3000000000011</v>
      </c>
      <c r="J973" s="2">
        <f ca="1">Table1[[#This Row],[Profit]]/Table1[[#This Row],[Sales]]</f>
        <v>0.3000000000000001</v>
      </c>
      <c r="K973" t="str">
        <f ca="1">TEXT(Table1[[#This Row],[Order_Date]],"mmm")</f>
        <v>Oct</v>
      </c>
      <c r="L973">
        <f ca="1">YEAR(Table1[[#This Row],[Order_Date]])</f>
        <v>2023</v>
      </c>
    </row>
    <row r="974" spans="1:12" x14ac:dyDescent="0.3">
      <c r="A974">
        <f t="shared" si="60"/>
        <v>973</v>
      </c>
      <c r="B974" s="1">
        <f t="shared" ca="1" si="61"/>
        <v>45095</v>
      </c>
      <c r="C974" t="s">
        <v>7</v>
      </c>
      <c r="D974" t="str">
        <f t="shared" ca="1" si="62"/>
        <v>Clothing</v>
      </c>
      <c r="E974" t="s">
        <v>62</v>
      </c>
      <c r="F974" s="11">
        <v>10312</v>
      </c>
      <c r="G974">
        <f t="shared" ca="1" si="63"/>
        <v>4</v>
      </c>
      <c r="H974" s="11">
        <f ca="1">IF(Table1[[#This Row],[Category]]="Electronics",Table1[[#This Row],[Sales]]*0.6,
IF(Table1[[#This Row],[Category]]="Furniture",Table1[[#This Row],[Sales]]*0.75,
IF(Table1[[#This Row],[Category]]="Clothing",Table1[[#This Row],[Sales]]*0.65,
Table1[[#This Row],[Sales]]*0.7)))</f>
        <v>6702.8</v>
      </c>
      <c r="I974" s="11">
        <f ca="1">Table1[[#This Row],[Sales]]-H974</f>
        <v>3609.2</v>
      </c>
      <c r="J974" s="2">
        <f ca="1">Table1[[#This Row],[Profit]]/Table1[[#This Row],[Sales]]</f>
        <v>0.35</v>
      </c>
      <c r="K974" t="str">
        <f ca="1">TEXT(Table1[[#This Row],[Order_Date]],"mmm")</f>
        <v>Jun</v>
      </c>
      <c r="L974">
        <f ca="1">YEAR(Table1[[#This Row],[Order_Date]])</f>
        <v>2023</v>
      </c>
    </row>
    <row r="975" spans="1:12" x14ac:dyDescent="0.3">
      <c r="A975">
        <f t="shared" si="60"/>
        <v>974</v>
      </c>
      <c r="B975" s="1">
        <f t="shared" ca="1" si="61"/>
        <v>44993</v>
      </c>
      <c r="C975" t="s">
        <v>8</v>
      </c>
      <c r="D975" t="str">
        <f t="shared" ca="1" si="62"/>
        <v>Clothing</v>
      </c>
      <c r="E975" t="s">
        <v>57</v>
      </c>
      <c r="F975" s="11">
        <v>4180</v>
      </c>
      <c r="G975">
        <f t="shared" ca="1" si="63"/>
        <v>10</v>
      </c>
      <c r="H975" s="11">
        <f ca="1">IF(Table1[[#This Row],[Category]]="Electronics",Table1[[#This Row],[Sales]]*0.6,
IF(Table1[[#This Row],[Category]]="Furniture",Table1[[#This Row],[Sales]]*0.75,
IF(Table1[[#This Row],[Category]]="Clothing",Table1[[#This Row],[Sales]]*0.65,
Table1[[#This Row],[Sales]]*0.7)))</f>
        <v>2717</v>
      </c>
      <c r="I975" s="11">
        <f ca="1">Table1[[#This Row],[Sales]]-H975</f>
        <v>1463</v>
      </c>
      <c r="J975" s="2">
        <f ca="1">Table1[[#This Row],[Profit]]/Table1[[#This Row],[Sales]]</f>
        <v>0.35</v>
      </c>
      <c r="K975" t="str">
        <f ca="1">TEXT(Table1[[#This Row],[Order_Date]],"mmm")</f>
        <v>Mar</v>
      </c>
      <c r="L975">
        <f ca="1">YEAR(Table1[[#This Row],[Order_Date]])</f>
        <v>2023</v>
      </c>
    </row>
    <row r="976" spans="1:12" x14ac:dyDescent="0.3">
      <c r="A976">
        <f t="shared" si="60"/>
        <v>975</v>
      </c>
      <c r="B976" s="1">
        <f t="shared" ca="1" si="61"/>
        <v>45086</v>
      </c>
      <c r="C976" t="s">
        <v>9</v>
      </c>
      <c r="D976" t="str">
        <f t="shared" ca="1" si="62"/>
        <v>Electronics</v>
      </c>
      <c r="E976" t="s">
        <v>64</v>
      </c>
      <c r="F976" s="11">
        <v>2791</v>
      </c>
      <c r="G976">
        <f t="shared" ca="1" si="63"/>
        <v>1</v>
      </c>
      <c r="H976" s="11">
        <f ca="1">IF(Table1[[#This Row],[Category]]="Electronics",Table1[[#This Row],[Sales]]*0.6,
IF(Table1[[#This Row],[Category]]="Furniture",Table1[[#This Row],[Sales]]*0.75,
IF(Table1[[#This Row],[Category]]="Clothing",Table1[[#This Row],[Sales]]*0.65,
Table1[[#This Row],[Sales]]*0.7)))</f>
        <v>1674.6</v>
      </c>
      <c r="I976" s="11">
        <f ca="1">Table1[[#This Row],[Sales]]-H976</f>
        <v>1116.4000000000001</v>
      </c>
      <c r="J976" s="2">
        <f ca="1">Table1[[#This Row],[Profit]]/Table1[[#This Row],[Sales]]</f>
        <v>0.4</v>
      </c>
      <c r="K976" t="str">
        <f ca="1">TEXT(Table1[[#This Row],[Order_Date]],"mmm")</f>
        <v>Jun</v>
      </c>
      <c r="L976">
        <f ca="1">YEAR(Table1[[#This Row],[Order_Date]])</f>
        <v>2023</v>
      </c>
    </row>
    <row r="977" spans="1:12" x14ac:dyDescent="0.3">
      <c r="A977">
        <f t="shared" si="60"/>
        <v>976</v>
      </c>
      <c r="B977" s="1">
        <f t="shared" ca="1" si="61"/>
        <v>45233</v>
      </c>
      <c r="C977" t="s">
        <v>10</v>
      </c>
      <c r="D977" t="str">
        <f t="shared" ca="1" si="62"/>
        <v>Furniture</v>
      </c>
      <c r="E977" t="s">
        <v>37</v>
      </c>
      <c r="F977" s="11">
        <v>15972</v>
      </c>
      <c r="G977">
        <f t="shared" ca="1" si="63"/>
        <v>6</v>
      </c>
      <c r="H977" s="11">
        <f ca="1">IF(Table1[[#This Row],[Category]]="Electronics",Table1[[#This Row],[Sales]]*0.6,
IF(Table1[[#This Row],[Category]]="Furniture",Table1[[#This Row],[Sales]]*0.75,
IF(Table1[[#This Row],[Category]]="Clothing",Table1[[#This Row],[Sales]]*0.65,
Table1[[#This Row],[Sales]]*0.7)))</f>
        <v>11979</v>
      </c>
      <c r="I977" s="11">
        <f ca="1">Table1[[#This Row],[Sales]]-H977</f>
        <v>3993</v>
      </c>
      <c r="J977" s="2">
        <f ca="1">Table1[[#This Row],[Profit]]/Table1[[#This Row],[Sales]]</f>
        <v>0.25</v>
      </c>
      <c r="K977" t="str">
        <f ca="1">TEXT(Table1[[#This Row],[Order_Date]],"mmm")</f>
        <v>Nov</v>
      </c>
      <c r="L977">
        <f ca="1">YEAR(Table1[[#This Row],[Order_Date]])</f>
        <v>2023</v>
      </c>
    </row>
    <row r="978" spans="1:12" x14ac:dyDescent="0.3">
      <c r="A978">
        <f t="shared" si="60"/>
        <v>977</v>
      </c>
      <c r="B978" s="1">
        <f t="shared" ca="1" si="61"/>
        <v>45041</v>
      </c>
      <c r="C978" t="s">
        <v>7</v>
      </c>
      <c r="D978" t="str">
        <f t="shared" ca="1" si="62"/>
        <v>Electronics</v>
      </c>
      <c r="E978" t="s">
        <v>64</v>
      </c>
      <c r="F978" s="11">
        <v>16510</v>
      </c>
      <c r="G978">
        <f t="shared" ca="1" si="63"/>
        <v>10</v>
      </c>
      <c r="H978" s="11">
        <f ca="1">IF(Table1[[#This Row],[Category]]="Electronics",Table1[[#This Row],[Sales]]*0.6,
IF(Table1[[#This Row],[Category]]="Furniture",Table1[[#This Row],[Sales]]*0.75,
IF(Table1[[#This Row],[Category]]="Clothing",Table1[[#This Row],[Sales]]*0.65,
Table1[[#This Row],[Sales]]*0.7)))</f>
        <v>9906</v>
      </c>
      <c r="I978" s="11">
        <f ca="1">Table1[[#This Row],[Sales]]-H978</f>
        <v>6604</v>
      </c>
      <c r="J978" s="2">
        <f ca="1">Table1[[#This Row],[Profit]]/Table1[[#This Row],[Sales]]</f>
        <v>0.4</v>
      </c>
      <c r="K978" t="str">
        <f ca="1">TEXT(Table1[[#This Row],[Order_Date]],"mmm")</f>
        <v>Apr</v>
      </c>
      <c r="L978">
        <f ca="1">YEAR(Table1[[#This Row],[Order_Date]])</f>
        <v>2023</v>
      </c>
    </row>
    <row r="979" spans="1:12" x14ac:dyDescent="0.3">
      <c r="A979">
        <f t="shared" si="60"/>
        <v>978</v>
      </c>
      <c r="B979" s="1">
        <f t="shared" ca="1" si="61"/>
        <v>45134</v>
      </c>
      <c r="C979" t="s">
        <v>8</v>
      </c>
      <c r="D979" t="str">
        <f t="shared" ca="1" si="62"/>
        <v>Furniture</v>
      </c>
      <c r="E979" t="s">
        <v>83</v>
      </c>
      <c r="F979" s="11">
        <v>14462</v>
      </c>
      <c r="G979">
        <f t="shared" ca="1" si="63"/>
        <v>10</v>
      </c>
      <c r="H979" s="11">
        <f ca="1">IF(Table1[[#This Row],[Category]]="Electronics",Table1[[#This Row],[Sales]]*0.6,
IF(Table1[[#This Row],[Category]]="Furniture",Table1[[#This Row],[Sales]]*0.75,
IF(Table1[[#This Row],[Category]]="Clothing",Table1[[#This Row],[Sales]]*0.65,
Table1[[#This Row],[Sales]]*0.7)))</f>
        <v>10846.5</v>
      </c>
      <c r="I979" s="11">
        <f ca="1">Table1[[#This Row],[Sales]]-H979</f>
        <v>3615.5</v>
      </c>
      <c r="J979" s="2">
        <f ca="1">Table1[[#This Row],[Profit]]/Table1[[#This Row],[Sales]]</f>
        <v>0.25</v>
      </c>
      <c r="K979" t="str">
        <f ca="1">TEXT(Table1[[#This Row],[Order_Date]],"mmm")</f>
        <v>Jul</v>
      </c>
      <c r="L979">
        <f ca="1">YEAR(Table1[[#This Row],[Order_Date]])</f>
        <v>2023</v>
      </c>
    </row>
    <row r="980" spans="1:12" x14ac:dyDescent="0.3">
      <c r="A980">
        <f t="shared" si="60"/>
        <v>979</v>
      </c>
      <c r="B980" s="1">
        <f t="shared" ca="1" si="61"/>
        <v>45080</v>
      </c>
      <c r="C980" t="s">
        <v>9</v>
      </c>
      <c r="D980" t="str">
        <f t="shared" ca="1" si="62"/>
        <v>Electronics</v>
      </c>
      <c r="E980" t="s">
        <v>47</v>
      </c>
      <c r="F980" s="11">
        <v>10685</v>
      </c>
      <c r="G980">
        <f t="shared" ca="1" si="63"/>
        <v>8</v>
      </c>
      <c r="H980" s="11">
        <f ca="1">IF(Table1[[#This Row],[Category]]="Electronics",Table1[[#This Row],[Sales]]*0.6,
IF(Table1[[#This Row],[Category]]="Furniture",Table1[[#This Row],[Sales]]*0.75,
IF(Table1[[#This Row],[Category]]="Clothing",Table1[[#This Row],[Sales]]*0.65,
Table1[[#This Row],[Sales]]*0.7)))</f>
        <v>6411</v>
      </c>
      <c r="I980" s="11">
        <f ca="1">Table1[[#This Row],[Sales]]-H980</f>
        <v>4274</v>
      </c>
      <c r="J980" s="2">
        <f ca="1">Table1[[#This Row],[Profit]]/Table1[[#This Row],[Sales]]</f>
        <v>0.4</v>
      </c>
      <c r="K980" t="str">
        <f ca="1">TEXT(Table1[[#This Row],[Order_Date]],"mmm")</f>
        <v>Jun</v>
      </c>
      <c r="L980">
        <f ca="1">YEAR(Table1[[#This Row],[Order_Date]])</f>
        <v>2023</v>
      </c>
    </row>
    <row r="981" spans="1:12" x14ac:dyDescent="0.3">
      <c r="A981">
        <f t="shared" si="60"/>
        <v>980</v>
      </c>
      <c r="B981" s="1">
        <f t="shared" ca="1" si="61"/>
        <v>44952</v>
      </c>
      <c r="C981" t="s">
        <v>10</v>
      </c>
      <c r="D981" t="str">
        <f t="shared" ca="1" si="62"/>
        <v>Office Supplies</v>
      </c>
      <c r="E981" t="s">
        <v>81</v>
      </c>
      <c r="F981" s="11">
        <v>16249</v>
      </c>
      <c r="G981">
        <f t="shared" ca="1" si="63"/>
        <v>7</v>
      </c>
      <c r="H981" s="11">
        <f ca="1">IF(Table1[[#This Row],[Category]]="Electronics",Table1[[#This Row],[Sales]]*0.6,
IF(Table1[[#This Row],[Category]]="Furniture",Table1[[#This Row],[Sales]]*0.75,
IF(Table1[[#This Row],[Category]]="Clothing",Table1[[#This Row],[Sales]]*0.65,
Table1[[#This Row],[Sales]]*0.7)))</f>
        <v>11374.3</v>
      </c>
      <c r="I981" s="11">
        <f ca="1">Table1[[#This Row],[Sales]]-H981</f>
        <v>4874.7000000000007</v>
      </c>
      <c r="J981" s="2">
        <f ca="1">Table1[[#This Row],[Profit]]/Table1[[#This Row],[Sales]]</f>
        <v>0.30000000000000004</v>
      </c>
      <c r="K981" t="str">
        <f ca="1">TEXT(Table1[[#This Row],[Order_Date]],"mmm")</f>
        <v>Jan</v>
      </c>
      <c r="L981">
        <f ca="1">YEAR(Table1[[#This Row],[Order_Date]])</f>
        <v>2023</v>
      </c>
    </row>
    <row r="982" spans="1:12" x14ac:dyDescent="0.3">
      <c r="A982">
        <f t="shared" si="60"/>
        <v>981</v>
      </c>
      <c r="B982" s="1">
        <f t="shared" ca="1" si="61"/>
        <v>45063</v>
      </c>
      <c r="C982" t="s">
        <v>7</v>
      </c>
      <c r="D982" t="str">
        <f t="shared" ca="1" si="62"/>
        <v>Clothing</v>
      </c>
      <c r="E982" t="s">
        <v>83</v>
      </c>
      <c r="F982" s="11">
        <v>14770</v>
      </c>
      <c r="G982">
        <f t="shared" ca="1" si="63"/>
        <v>7</v>
      </c>
      <c r="H982" s="11">
        <f ca="1">IF(Table1[[#This Row],[Category]]="Electronics",Table1[[#This Row],[Sales]]*0.6,
IF(Table1[[#This Row],[Category]]="Furniture",Table1[[#This Row],[Sales]]*0.75,
IF(Table1[[#This Row],[Category]]="Clothing",Table1[[#This Row],[Sales]]*0.65,
Table1[[#This Row],[Sales]]*0.7)))</f>
        <v>9600.5</v>
      </c>
      <c r="I982" s="11">
        <f ca="1">Table1[[#This Row],[Sales]]-H982</f>
        <v>5169.5</v>
      </c>
      <c r="J982" s="2">
        <f ca="1">Table1[[#This Row],[Profit]]/Table1[[#This Row],[Sales]]</f>
        <v>0.35</v>
      </c>
      <c r="K982" t="str">
        <f ca="1">TEXT(Table1[[#This Row],[Order_Date]],"mmm")</f>
        <v>May</v>
      </c>
      <c r="L982">
        <f ca="1">YEAR(Table1[[#This Row],[Order_Date]])</f>
        <v>2023</v>
      </c>
    </row>
    <row r="983" spans="1:12" x14ac:dyDescent="0.3">
      <c r="A983">
        <f t="shared" si="60"/>
        <v>982</v>
      </c>
      <c r="B983" s="1">
        <f t="shared" ca="1" si="61"/>
        <v>44970</v>
      </c>
      <c r="C983" t="s">
        <v>8</v>
      </c>
      <c r="D983" t="str">
        <f t="shared" ca="1" si="62"/>
        <v>Office Supplies</v>
      </c>
      <c r="E983" t="s">
        <v>68</v>
      </c>
      <c r="F983" s="11">
        <v>1105</v>
      </c>
      <c r="G983">
        <f t="shared" ca="1" si="63"/>
        <v>2</v>
      </c>
      <c r="H983" s="11">
        <f ca="1">IF(Table1[[#This Row],[Category]]="Electronics",Table1[[#This Row],[Sales]]*0.6,
IF(Table1[[#This Row],[Category]]="Furniture",Table1[[#This Row],[Sales]]*0.75,
IF(Table1[[#This Row],[Category]]="Clothing",Table1[[#This Row],[Sales]]*0.65,
Table1[[#This Row],[Sales]]*0.7)))</f>
        <v>773.5</v>
      </c>
      <c r="I983" s="11">
        <f ca="1">Table1[[#This Row],[Sales]]-H983</f>
        <v>331.5</v>
      </c>
      <c r="J983" s="2">
        <f ca="1">Table1[[#This Row],[Profit]]/Table1[[#This Row],[Sales]]</f>
        <v>0.3</v>
      </c>
      <c r="K983" t="str">
        <f ca="1">TEXT(Table1[[#This Row],[Order_Date]],"mmm")</f>
        <v>Feb</v>
      </c>
      <c r="L983">
        <f ca="1">YEAR(Table1[[#This Row],[Order_Date]])</f>
        <v>2023</v>
      </c>
    </row>
    <row r="984" spans="1:12" x14ac:dyDescent="0.3">
      <c r="A984">
        <f t="shared" si="60"/>
        <v>983</v>
      </c>
      <c r="B984" s="1">
        <f t="shared" ca="1" si="61"/>
        <v>45144</v>
      </c>
      <c r="C984" t="s">
        <v>9</v>
      </c>
      <c r="D984" t="str">
        <f t="shared" ca="1" si="62"/>
        <v>Clothing</v>
      </c>
      <c r="E984" t="s">
        <v>79</v>
      </c>
      <c r="F984" s="11">
        <v>18175</v>
      </c>
      <c r="G984">
        <f t="shared" ca="1" si="63"/>
        <v>4</v>
      </c>
      <c r="H984" s="11">
        <f ca="1">IF(Table1[[#This Row],[Category]]="Electronics",Table1[[#This Row],[Sales]]*0.6,
IF(Table1[[#This Row],[Category]]="Furniture",Table1[[#This Row],[Sales]]*0.75,
IF(Table1[[#This Row],[Category]]="Clothing",Table1[[#This Row],[Sales]]*0.65,
Table1[[#This Row],[Sales]]*0.7)))</f>
        <v>11813.75</v>
      </c>
      <c r="I984" s="11">
        <f ca="1">Table1[[#This Row],[Sales]]-H984</f>
        <v>6361.25</v>
      </c>
      <c r="J984" s="2">
        <f ca="1">Table1[[#This Row],[Profit]]/Table1[[#This Row],[Sales]]</f>
        <v>0.35</v>
      </c>
      <c r="K984" t="str">
        <f ca="1">TEXT(Table1[[#This Row],[Order_Date]],"mmm")</f>
        <v>Aug</v>
      </c>
      <c r="L984">
        <f ca="1">YEAR(Table1[[#This Row],[Order_Date]])</f>
        <v>2023</v>
      </c>
    </row>
    <row r="985" spans="1:12" x14ac:dyDescent="0.3">
      <c r="A985">
        <f t="shared" si="60"/>
        <v>984</v>
      </c>
      <c r="B985" s="1">
        <f t="shared" ca="1" si="61"/>
        <v>44959</v>
      </c>
      <c r="C985" t="s">
        <v>10</v>
      </c>
      <c r="D985" t="str">
        <f t="shared" ca="1" si="62"/>
        <v>Office Supplies</v>
      </c>
      <c r="E985" t="s">
        <v>44</v>
      </c>
      <c r="F985" s="11">
        <v>12713</v>
      </c>
      <c r="G985">
        <f t="shared" ca="1" si="63"/>
        <v>3</v>
      </c>
      <c r="H985" s="11">
        <f ca="1">IF(Table1[[#This Row],[Category]]="Electronics",Table1[[#This Row],[Sales]]*0.6,
IF(Table1[[#This Row],[Category]]="Furniture",Table1[[#This Row],[Sales]]*0.75,
IF(Table1[[#This Row],[Category]]="Clothing",Table1[[#This Row],[Sales]]*0.65,
Table1[[#This Row],[Sales]]*0.7)))</f>
        <v>8899.0999999999985</v>
      </c>
      <c r="I985" s="11">
        <f ca="1">Table1[[#This Row],[Sales]]-H985</f>
        <v>3813.9000000000015</v>
      </c>
      <c r="J985" s="2">
        <f ca="1">Table1[[#This Row],[Profit]]/Table1[[#This Row],[Sales]]</f>
        <v>0.3000000000000001</v>
      </c>
      <c r="K985" t="str">
        <f ca="1">TEXT(Table1[[#This Row],[Order_Date]],"mmm")</f>
        <v>Feb</v>
      </c>
      <c r="L985">
        <f ca="1">YEAR(Table1[[#This Row],[Order_Date]])</f>
        <v>2023</v>
      </c>
    </row>
    <row r="986" spans="1:12" x14ac:dyDescent="0.3">
      <c r="A986">
        <f t="shared" si="60"/>
        <v>985</v>
      </c>
      <c r="B986" s="1">
        <f t="shared" ca="1" si="61"/>
        <v>44933</v>
      </c>
      <c r="C986" t="s">
        <v>7</v>
      </c>
      <c r="D986" t="str">
        <f t="shared" ca="1" si="62"/>
        <v>Clothing</v>
      </c>
      <c r="E986" t="s">
        <v>71</v>
      </c>
      <c r="F986" s="11">
        <v>17687</v>
      </c>
      <c r="G986">
        <f t="shared" ca="1" si="63"/>
        <v>9</v>
      </c>
      <c r="H986" s="11">
        <f ca="1">IF(Table1[[#This Row],[Category]]="Electronics",Table1[[#This Row],[Sales]]*0.6,
IF(Table1[[#This Row],[Category]]="Furniture",Table1[[#This Row],[Sales]]*0.75,
IF(Table1[[#This Row],[Category]]="Clothing",Table1[[#This Row],[Sales]]*0.65,
Table1[[#This Row],[Sales]]*0.7)))</f>
        <v>11496.550000000001</v>
      </c>
      <c r="I986" s="11">
        <f ca="1">Table1[[#This Row],[Sales]]-H986</f>
        <v>6190.4499999999989</v>
      </c>
      <c r="J986" s="2">
        <f ca="1">Table1[[#This Row],[Profit]]/Table1[[#This Row],[Sales]]</f>
        <v>0.34999999999999992</v>
      </c>
      <c r="K986" t="str">
        <f ca="1">TEXT(Table1[[#This Row],[Order_Date]],"mmm")</f>
        <v>Jan</v>
      </c>
      <c r="L986">
        <f ca="1">YEAR(Table1[[#This Row],[Order_Date]])</f>
        <v>2023</v>
      </c>
    </row>
    <row r="987" spans="1:12" x14ac:dyDescent="0.3">
      <c r="A987">
        <f t="shared" si="60"/>
        <v>986</v>
      </c>
      <c r="B987" s="1">
        <f t="shared" ca="1" si="61"/>
        <v>44983</v>
      </c>
      <c r="C987" t="s">
        <v>8</v>
      </c>
      <c r="D987" t="str">
        <f t="shared" ca="1" si="62"/>
        <v>Office Supplies</v>
      </c>
      <c r="E987" t="s">
        <v>47</v>
      </c>
      <c r="F987" s="11">
        <v>7400</v>
      </c>
      <c r="G987">
        <f t="shared" ca="1" si="63"/>
        <v>10</v>
      </c>
      <c r="H987" s="11">
        <f ca="1">IF(Table1[[#This Row],[Category]]="Electronics",Table1[[#This Row],[Sales]]*0.6,
IF(Table1[[#This Row],[Category]]="Furniture",Table1[[#This Row],[Sales]]*0.75,
IF(Table1[[#This Row],[Category]]="Clothing",Table1[[#This Row],[Sales]]*0.65,
Table1[[#This Row],[Sales]]*0.7)))</f>
        <v>5180</v>
      </c>
      <c r="I987" s="11">
        <f ca="1">Table1[[#This Row],[Sales]]-H987</f>
        <v>2220</v>
      </c>
      <c r="J987" s="2">
        <f ca="1">Table1[[#This Row],[Profit]]/Table1[[#This Row],[Sales]]</f>
        <v>0.3</v>
      </c>
      <c r="K987" t="str">
        <f ca="1">TEXT(Table1[[#This Row],[Order_Date]],"mmm")</f>
        <v>Feb</v>
      </c>
      <c r="L987">
        <f ca="1">YEAR(Table1[[#This Row],[Order_Date]])</f>
        <v>2023</v>
      </c>
    </row>
    <row r="988" spans="1:12" x14ac:dyDescent="0.3">
      <c r="A988">
        <f t="shared" si="60"/>
        <v>987</v>
      </c>
      <c r="B988" s="1">
        <f t="shared" ca="1" si="61"/>
        <v>45074</v>
      </c>
      <c r="C988" t="s">
        <v>9</v>
      </c>
      <c r="D988" t="str">
        <f t="shared" ca="1" si="62"/>
        <v>Electronics</v>
      </c>
      <c r="E988" t="s">
        <v>40</v>
      </c>
      <c r="F988" s="11">
        <v>4876</v>
      </c>
      <c r="G988">
        <f t="shared" ca="1" si="63"/>
        <v>2</v>
      </c>
      <c r="H988" s="11">
        <f ca="1">IF(Table1[[#This Row],[Category]]="Electronics",Table1[[#This Row],[Sales]]*0.6,
IF(Table1[[#This Row],[Category]]="Furniture",Table1[[#This Row],[Sales]]*0.75,
IF(Table1[[#This Row],[Category]]="Clothing",Table1[[#This Row],[Sales]]*0.65,
Table1[[#This Row],[Sales]]*0.7)))</f>
        <v>2925.6</v>
      </c>
      <c r="I988" s="11">
        <f ca="1">Table1[[#This Row],[Sales]]-H988</f>
        <v>1950.4</v>
      </c>
      <c r="J988" s="2">
        <f ca="1">Table1[[#This Row],[Profit]]/Table1[[#This Row],[Sales]]</f>
        <v>0.4</v>
      </c>
      <c r="K988" t="str">
        <f ca="1">TEXT(Table1[[#This Row],[Order_Date]],"mmm")</f>
        <v>May</v>
      </c>
      <c r="L988">
        <f ca="1">YEAR(Table1[[#This Row],[Order_Date]])</f>
        <v>2023</v>
      </c>
    </row>
    <row r="989" spans="1:12" x14ac:dyDescent="0.3">
      <c r="A989">
        <f t="shared" si="60"/>
        <v>988</v>
      </c>
      <c r="B989" s="1">
        <f t="shared" ca="1" si="61"/>
        <v>45131</v>
      </c>
      <c r="C989" t="s">
        <v>10</v>
      </c>
      <c r="D989" t="str">
        <f t="shared" ca="1" si="62"/>
        <v>Office Supplies</v>
      </c>
      <c r="E989" t="s">
        <v>84</v>
      </c>
      <c r="F989" s="11">
        <v>10084</v>
      </c>
      <c r="G989">
        <f t="shared" ca="1" si="63"/>
        <v>9</v>
      </c>
      <c r="H989" s="11">
        <f ca="1">IF(Table1[[#This Row],[Category]]="Electronics",Table1[[#This Row],[Sales]]*0.6,
IF(Table1[[#This Row],[Category]]="Furniture",Table1[[#This Row],[Sales]]*0.75,
IF(Table1[[#This Row],[Category]]="Clothing",Table1[[#This Row],[Sales]]*0.65,
Table1[[#This Row],[Sales]]*0.7)))</f>
        <v>7058.7999999999993</v>
      </c>
      <c r="I989" s="11">
        <f ca="1">Table1[[#This Row],[Sales]]-H989</f>
        <v>3025.2000000000007</v>
      </c>
      <c r="J989" s="2">
        <f ca="1">Table1[[#This Row],[Profit]]/Table1[[#This Row],[Sales]]</f>
        <v>0.30000000000000004</v>
      </c>
      <c r="K989" t="str">
        <f ca="1">TEXT(Table1[[#This Row],[Order_Date]],"mmm")</f>
        <v>Jul</v>
      </c>
      <c r="L989">
        <f ca="1">YEAR(Table1[[#This Row],[Order_Date]])</f>
        <v>2023</v>
      </c>
    </row>
    <row r="990" spans="1:12" x14ac:dyDescent="0.3">
      <c r="A990">
        <f t="shared" si="60"/>
        <v>989</v>
      </c>
      <c r="B990" s="1">
        <f t="shared" ca="1" si="61"/>
        <v>45220</v>
      </c>
      <c r="C990" t="s">
        <v>7</v>
      </c>
      <c r="D990" t="str">
        <f t="shared" ca="1" si="62"/>
        <v>Office Supplies</v>
      </c>
      <c r="E990" t="s">
        <v>59</v>
      </c>
      <c r="F990" s="11">
        <v>5515</v>
      </c>
      <c r="G990">
        <f t="shared" ca="1" si="63"/>
        <v>7</v>
      </c>
      <c r="H990" s="11">
        <f ca="1">IF(Table1[[#This Row],[Category]]="Electronics",Table1[[#This Row],[Sales]]*0.6,
IF(Table1[[#This Row],[Category]]="Furniture",Table1[[#This Row],[Sales]]*0.75,
IF(Table1[[#This Row],[Category]]="Clothing",Table1[[#This Row],[Sales]]*0.65,
Table1[[#This Row],[Sales]]*0.7)))</f>
        <v>3860.4999999999995</v>
      </c>
      <c r="I990" s="11">
        <f ca="1">Table1[[#This Row],[Sales]]-H990</f>
        <v>1654.5000000000005</v>
      </c>
      <c r="J990" s="2">
        <f ca="1">Table1[[#This Row],[Profit]]/Table1[[#This Row],[Sales]]</f>
        <v>0.3000000000000001</v>
      </c>
      <c r="K990" t="str">
        <f ca="1">TEXT(Table1[[#This Row],[Order_Date]],"mmm")</f>
        <v>Oct</v>
      </c>
      <c r="L990">
        <f ca="1">YEAR(Table1[[#This Row],[Order_Date]])</f>
        <v>2023</v>
      </c>
    </row>
    <row r="991" spans="1:12" x14ac:dyDescent="0.3">
      <c r="A991">
        <f t="shared" si="60"/>
        <v>990</v>
      </c>
      <c r="B991" s="1">
        <f t="shared" ca="1" si="61"/>
        <v>44930</v>
      </c>
      <c r="C991" t="s">
        <v>8</v>
      </c>
      <c r="D991" t="str">
        <f t="shared" ca="1" si="62"/>
        <v>Clothing</v>
      </c>
      <c r="E991" t="s">
        <v>37</v>
      </c>
      <c r="F991" s="11">
        <v>5950</v>
      </c>
      <c r="G991">
        <f t="shared" ca="1" si="63"/>
        <v>6</v>
      </c>
      <c r="H991" s="11">
        <f ca="1">IF(Table1[[#This Row],[Category]]="Electronics",Table1[[#This Row],[Sales]]*0.6,
IF(Table1[[#This Row],[Category]]="Furniture",Table1[[#This Row],[Sales]]*0.75,
IF(Table1[[#This Row],[Category]]="Clothing",Table1[[#This Row],[Sales]]*0.65,
Table1[[#This Row],[Sales]]*0.7)))</f>
        <v>3867.5</v>
      </c>
      <c r="I991" s="11">
        <f ca="1">Table1[[#This Row],[Sales]]-H991</f>
        <v>2082.5</v>
      </c>
      <c r="J991" s="2">
        <f ca="1">Table1[[#This Row],[Profit]]/Table1[[#This Row],[Sales]]</f>
        <v>0.35</v>
      </c>
      <c r="K991" t="str">
        <f ca="1">TEXT(Table1[[#This Row],[Order_Date]],"mmm")</f>
        <v>Jan</v>
      </c>
      <c r="L991">
        <f ca="1">YEAR(Table1[[#This Row],[Order_Date]])</f>
        <v>2023</v>
      </c>
    </row>
    <row r="992" spans="1:12" x14ac:dyDescent="0.3">
      <c r="A992">
        <f t="shared" si="60"/>
        <v>991</v>
      </c>
      <c r="B992" s="1">
        <f t="shared" ca="1" si="61"/>
        <v>45139</v>
      </c>
      <c r="C992" t="s">
        <v>9</v>
      </c>
      <c r="D992" t="str">
        <f t="shared" ca="1" si="62"/>
        <v>Clothing</v>
      </c>
      <c r="E992" t="s">
        <v>38</v>
      </c>
      <c r="F992" s="11">
        <v>2674</v>
      </c>
      <c r="G992">
        <f t="shared" ca="1" si="63"/>
        <v>2</v>
      </c>
      <c r="H992" s="11">
        <f ca="1">IF(Table1[[#This Row],[Category]]="Electronics",Table1[[#This Row],[Sales]]*0.6,
IF(Table1[[#This Row],[Category]]="Furniture",Table1[[#This Row],[Sales]]*0.75,
IF(Table1[[#This Row],[Category]]="Clothing",Table1[[#This Row],[Sales]]*0.65,
Table1[[#This Row],[Sales]]*0.7)))</f>
        <v>1738.1000000000001</v>
      </c>
      <c r="I992" s="11">
        <f ca="1">Table1[[#This Row],[Sales]]-H992</f>
        <v>935.89999999999986</v>
      </c>
      <c r="J992" s="2">
        <f ca="1">Table1[[#This Row],[Profit]]/Table1[[#This Row],[Sales]]</f>
        <v>0.34999999999999992</v>
      </c>
      <c r="K992" t="str">
        <f ca="1">TEXT(Table1[[#This Row],[Order_Date]],"mmm")</f>
        <v>Aug</v>
      </c>
      <c r="L992">
        <f ca="1">YEAR(Table1[[#This Row],[Order_Date]])</f>
        <v>2023</v>
      </c>
    </row>
    <row r="993" spans="1:12" x14ac:dyDescent="0.3">
      <c r="A993">
        <f t="shared" si="60"/>
        <v>992</v>
      </c>
      <c r="B993" s="1">
        <f t="shared" ca="1" si="61"/>
        <v>45226</v>
      </c>
      <c r="C993" t="s">
        <v>10</v>
      </c>
      <c r="D993" t="str">
        <f t="shared" ca="1" si="62"/>
        <v>Electronics</v>
      </c>
      <c r="E993" t="s">
        <v>62</v>
      </c>
      <c r="F993" s="11">
        <v>6764</v>
      </c>
      <c r="G993">
        <f t="shared" ca="1" si="63"/>
        <v>1</v>
      </c>
      <c r="H993" s="11">
        <f ca="1">IF(Table1[[#This Row],[Category]]="Electronics",Table1[[#This Row],[Sales]]*0.6,
IF(Table1[[#This Row],[Category]]="Furniture",Table1[[#This Row],[Sales]]*0.75,
IF(Table1[[#This Row],[Category]]="Clothing",Table1[[#This Row],[Sales]]*0.65,
Table1[[#This Row],[Sales]]*0.7)))</f>
        <v>4058.3999999999996</v>
      </c>
      <c r="I993" s="11">
        <f ca="1">Table1[[#This Row],[Sales]]-H993</f>
        <v>2705.6000000000004</v>
      </c>
      <c r="J993" s="2">
        <f ca="1">Table1[[#This Row],[Profit]]/Table1[[#This Row],[Sales]]</f>
        <v>0.40000000000000008</v>
      </c>
      <c r="K993" t="str">
        <f ca="1">TEXT(Table1[[#This Row],[Order_Date]],"mmm")</f>
        <v>Oct</v>
      </c>
      <c r="L993">
        <f ca="1">YEAR(Table1[[#This Row],[Order_Date]])</f>
        <v>2023</v>
      </c>
    </row>
    <row r="994" spans="1:12" x14ac:dyDescent="0.3">
      <c r="A994">
        <f t="shared" si="60"/>
        <v>993</v>
      </c>
      <c r="B994" s="1">
        <f t="shared" ca="1" si="61"/>
        <v>45035</v>
      </c>
      <c r="C994" t="s">
        <v>7</v>
      </c>
      <c r="D994" t="str">
        <f t="shared" ca="1" si="62"/>
        <v>Office Supplies</v>
      </c>
      <c r="E994" t="s">
        <v>72</v>
      </c>
      <c r="F994" s="11">
        <v>5091</v>
      </c>
      <c r="G994">
        <f t="shared" ca="1" si="63"/>
        <v>2</v>
      </c>
      <c r="H994" s="11">
        <f ca="1">IF(Table1[[#This Row],[Category]]="Electronics",Table1[[#This Row],[Sales]]*0.6,
IF(Table1[[#This Row],[Category]]="Furniture",Table1[[#This Row],[Sales]]*0.75,
IF(Table1[[#This Row],[Category]]="Clothing",Table1[[#This Row],[Sales]]*0.65,
Table1[[#This Row],[Sales]]*0.7)))</f>
        <v>3563.7</v>
      </c>
      <c r="I994" s="11">
        <f ca="1">Table1[[#This Row],[Sales]]-H994</f>
        <v>1527.3000000000002</v>
      </c>
      <c r="J994" s="2">
        <f ca="1">Table1[[#This Row],[Profit]]/Table1[[#This Row],[Sales]]</f>
        <v>0.30000000000000004</v>
      </c>
      <c r="K994" t="str">
        <f ca="1">TEXT(Table1[[#This Row],[Order_Date]],"mmm")</f>
        <v>Apr</v>
      </c>
      <c r="L994">
        <f ca="1">YEAR(Table1[[#This Row],[Order_Date]])</f>
        <v>2023</v>
      </c>
    </row>
    <row r="995" spans="1:12" x14ac:dyDescent="0.3">
      <c r="A995">
        <f t="shared" si="60"/>
        <v>994</v>
      </c>
      <c r="B995" s="1">
        <f t="shared" ca="1" si="61"/>
        <v>45181</v>
      </c>
      <c r="C995" t="s">
        <v>8</v>
      </c>
      <c r="D995" t="str">
        <f t="shared" ca="1" si="62"/>
        <v>Furniture</v>
      </c>
      <c r="E995" t="s">
        <v>66</v>
      </c>
      <c r="F995" s="11">
        <v>18038</v>
      </c>
      <c r="G995">
        <f t="shared" ca="1" si="63"/>
        <v>7</v>
      </c>
      <c r="H995" s="11">
        <f ca="1">IF(Table1[[#This Row],[Category]]="Electronics",Table1[[#This Row],[Sales]]*0.6,
IF(Table1[[#This Row],[Category]]="Furniture",Table1[[#This Row],[Sales]]*0.75,
IF(Table1[[#This Row],[Category]]="Clothing",Table1[[#This Row],[Sales]]*0.65,
Table1[[#This Row],[Sales]]*0.7)))</f>
        <v>13528.5</v>
      </c>
      <c r="I995" s="11">
        <f ca="1">Table1[[#This Row],[Sales]]-H995</f>
        <v>4509.5</v>
      </c>
      <c r="J995" s="2">
        <f ca="1">Table1[[#This Row],[Profit]]/Table1[[#This Row],[Sales]]</f>
        <v>0.25</v>
      </c>
      <c r="K995" t="str">
        <f ca="1">TEXT(Table1[[#This Row],[Order_Date]],"mmm")</f>
        <v>Sep</v>
      </c>
      <c r="L995">
        <f ca="1">YEAR(Table1[[#This Row],[Order_Date]])</f>
        <v>2023</v>
      </c>
    </row>
    <row r="996" spans="1:12" x14ac:dyDescent="0.3">
      <c r="A996">
        <f t="shared" si="60"/>
        <v>995</v>
      </c>
      <c r="B996" s="1">
        <f t="shared" ca="1" si="61"/>
        <v>45095</v>
      </c>
      <c r="C996" t="s">
        <v>9</v>
      </c>
      <c r="D996" t="str">
        <f t="shared" ca="1" si="62"/>
        <v>Clothing</v>
      </c>
      <c r="E996" t="s">
        <v>62</v>
      </c>
      <c r="F996" s="11">
        <v>1874</v>
      </c>
      <c r="G996">
        <f t="shared" ca="1" si="63"/>
        <v>9</v>
      </c>
      <c r="H996" s="11">
        <f ca="1">IF(Table1[[#This Row],[Category]]="Electronics",Table1[[#This Row],[Sales]]*0.6,
IF(Table1[[#This Row],[Category]]="Furniture",Table1[[#This Row],[Sales]]*0.75,
IF(Table1[[#This Row],[Category]]="Clothing",Table1[[#This Row],[Sales]]*0.65,
Table1[[#This Row],[Sales]]*0.7)))</f>
        <v>1218.1000000000001</v>
      </c>
      <c r="I996" s="11">
        <f ca="1">Table1[[#This Row],[Sales]]-H996</f>
        <v>655.89999999999986</v>
      </c>
      <c r="J996" s="2">
        <f ca="1">Table1[[#This Row],[Profit]]/Table1[[#This Row],[Sales]]</f>
        <v>0.34999999999999992</v>
      </c>
      <c r="K996" t="str">
        <f ca="1">TEXT(Table1[[#This Row],[Order_Date]],"mmm")</f>
        <v>Jun</v>
      </c>
      <c r="L996">
        <f ca="1">YEAR(Table1[[#This Row],[Order_Date]])</f>
        <v>2023</v>
      </c>
    </row>
    <row r="997" spans="1:12" x14ac:dyDescent="0.3">
      <c r="A997">
        <f t="shared" si="60"/>
        <v>996</v>
      </c>
      <c r="B997" s="1">
        <f t="shared" ca="1" si="61"/>
        <v>45060</v>
      </c>
      <c r="C997" t="s">
        <v>10</v>
      </c>
      <c r="D997" t="str">
        <f t="shared" ca="1" si="62"/>
        <v>Furniture</v>
      </c>
      <c r="E997" t="s">
        <v>66</v>
      </c>
      <c r="F997" s="11">
        <v>12868</v>
      </c>
      <c r="G997">
        <f t="shared" ca="1" si="63"/>
        <v>5</v>
      </c>
      <c r="H997" s="11">
        <f ca="1">IF(Table1[[#This Row],[Category]]="Electronics",Table1[[#This Row],[Sales]]*0.6,
IF(Table1[[#This Row],[Category]]="Furniture",Table1[[#This Row],[Sales]]*0.75,
IF(Table1[[#This Row],[Category]]="Clothing",Table1[[#This Row],[Sales]]*0.65,
Table1[[#This Row],[Sales]]*0.7)))</f>
        <v>9651</v>
      </c>
      <c r="I997" s="11">
        <f ca="1">Table1[[#This Row],[Sales]]-H997</f>
        <v>3217</v>
      </c>
      <c r="J997" s="2">
        <f ca="1">Table1[[#This Row],[Profit]]/Table1[[#This Row],[Sales]]</f>
        <v>0.25</v>
      </c>
      <c r="K997" t="str">
        <f ca="1">TEXT(Table1[[#This Row],[Order_Date]],"mmm")</f>
        <v>May</v>
      </c>
      <c r="L997">
        <f ca="1">YEAR(Table1[[#This Row],[Order_Date]])</f>
        <v>2023</v>
      </c>
    </row>
    <row r="998" spans="1:12" x14ac:dyDescent="0.3">
      <c r="A998">
        <f t="shared" si="60"/>
        <v>997</v>
      </c>
      <c r="B998" s="1">
        <f t="shared" ca="1" si="61"/>
        <v>45115</v>
      </c>
      <c r="C998" t="s">
        <v>7</v>
      </c>
      <c r="D998" t="str">
        <f t="shared" ca="1" si="62"/>
        <v>Electronics</v>
      </c>
      <c r="E998" t="s">
        <v>77</v>
      </c>
      <c r="F998" s="11">
        <v>503</v>
      </c>
      <c r="G998">
        <f t="shared" ca="1" si="63"/>
        <v>2</v>
      </c>
      <c r="H998" s="11">
        <f ca="1">IF(Table1[[#This Row],[Category]]="Electronics",Table1[[#This Row],[Sales]]*0.6,
IF(Table1[[#This Row],[Category]]="Furniture",Table1[[#This Row],[Sales]]*0.75,
IF(Table1[[#This Row],[Category]]="Clothing",Table1[[#This Row],[Sales]]*0.65,
Table1[[#This Row],[Sales]]*0.7)))</f>
        <v>301.8</v>
      </c>
      <c r="I998" s="11">
        <f ca="1">Table1[[#This Row],[Sales]]-H998</f>
        <v>201.2</v>
      </c>
      <c r="J998" s="2">
        <f ca="1">Table1[[#This Row],[Profit]]/Table1[[#This Row],[Sales]]</f>
        <v>0.39999999999999997</v>
      </c>
      <c r="K998" t="str">
        <f ca="1">TEXT(Table1[[#This Row],[Order_Date]],"mmm")</f>
        <v>Jul</v>
      </c>
      <c r="L998">
        <f ca="1">YEAR(Table1[[#This Row],[Order_Date]])</f>
        <v>2023</v>
      </c>
    </row>
    <row r="999" spans="1:12" x14ac:dyDescent="0.3">
      <c r="A999">
        <f t="shared" si="60"/>
        <v>998</v>
      </c>
      <c r="B999" s="1">
        <f t="shared" ca="1" si="61"/>
        <v>45282</v>
      </c>
      <c r="C999" t="s">
        <v>8</v>
      </c>
      <c r="D999" t="str">
        <f t="shared" ca="1" si="62"/>
        <v>Clothing</v>
      </c>
      <c r="E999" t="s">
        <v>44</v>
      </c>
      <c r="F999" s="11">
        <v>13967</v>
      </c>
      <c r="G999">
        <f t="shared" ca="1" si="63"/>
        <v>8</v>
      </c>
      <c r="H999" s="11">
        <f ca="1">IF(Table1[[#This Row],[Category]]="Electronics",Table1[[#This Row],[Sales]]*0.6,
IF(Table1[[#This Row],[Category]]="Furniture",Table1[[#This Row],[Sales]]*0.75,
IF(Table1[[#This Row],[Category]]="Clothing",Table1[[#This Row],[Sales]]*0.65,
Table1[[#This Row],[Sales]]*0.7)))</f>
        <v>9078.5500000000011</v>
      </c>
      <c r="I999" s="11">
        <f ca="1">Table1[[#This Row],[Sales]]-H999</f>
        <v>4888.4499999999989</v>
      </c>
      <c r="J999" s="2">
        <f ca="1">Table1[[#This Row],[Profit]]/Table1[[#This Row],[Sales]]</f>
        <v>0.34999999999999992</v>
      </c>
      <c r="K999" t="str">
        <f ca="1">TEXT(Table1[[#This Row],[Order_Date]],"mmm")</f>
        <v>Dec</v>
      </c>
      <c r="L999">
        <f ca="1">YEAR(Table1[[#This Row],[Order_Date]])</f>
        <v>2023</v>
      </c>
    </row>
    <row r="1000" spans="1:12" x14ac:dyDescent="0.3">
      <c r="A1000">
        <f t="shared" si="60"/>
        <v>999</v>
      </c>
      <c r="B1000" s="1">
        <f t="shared" ca="1" si="61"/>
        <v>45195</v>
      </c>
      <c r="C1000" t="s">
        <v>9</v>
      </c>
      <c r="D1000" t="str">
        <f t="shared" ca="1" si="62"/>
        <v>Electronics</v>
      </c>
      <c r="E1000" t="s">
        <v>79</v>
      </c>
      <c r="F1000" s="11">
        <v>19236</v>
      </c>
      <c r="G1000">
        <f t="shared" ca="1" si="63"/>
        <v>6</v>
      </c>
      <c r="H1000" s="11">
        <f ca="1">IF(Table1[[#This Row],[Category]]="Electronics",Table1[[#This Row],[Sales]]*0.6,
IF(Table1[[#This Row],[Category]]="Furniture",Table1[[#This Row],[Sales]]*0.75,
IF(Table1[[#This Row],[Category]]="Clothing",Table1[[#This Row],[Sales]]*0.65,
Table1[[#This Row],[Sales]]*0.7)))</f>
        <v>11541.6</v>
      </c>
      <c r="I1000" s="11">
        <f ca="1">Table1[[#This Row],[Sales]]-H1000</f>
        <v>7694.4</v>
      </c>
      <c r="J1000" s="2">
        <f ca="1">Table1[[#This Row],[Profit]]/Table1[[#This Row],[Sales]]</f>
        <v>0.39999999999999997</v>
      </c>
      <c r="K1000" t="str">
        <f ca="1">TEXT(Table1[[#This Row],[Order_Date]],"mmm")</f>
        <v>Sep</v>
      </c>
      <c r="L1000">
        <f ca="1">YEAR(Table1[[#This Row],[Order_Date]])</f>
        <v>2023</v>
      </c>
    </row>
    <row r="1001" spans="1:12" x14ac:dyDescent="0.3">
      <c r="A1001">
        <f t="shared" si="60"/>
        <v>1000</v>
      </c>
      <c r="B1001" s="1">
        <f t="shared" ca="1" si="61"/>
        <v>45124</v>
      </c>
      <c r="C1001" t="s">
        <v>10</v>
      </c>
      <c r="D1001" t="str">
        <f t="shared" ca="1" si="62"/>
        <v>Office Supplies</v>
      </c>
      <c r="E1001" t="s">
        <v>74</v>
      </c>
      <c r="F1001" s="11">
        <v>17328</v>
      </c>
      <c r="G1001">
        <f t="shared" ca="1" si="63"/>
        <v>2</v>
      </c>
      <c r="H1001" s="11">
        <f ca="1">IF(Table1[[#This Row],[Category]]="Electronics",Table1[[#This Row],[Sales]]*0.6,
IF(Table1[[#This Row],[Category]]="Furniture",Table1[[#This Row],[Sales]]*0.75,
IF(Table1[[#This Row],[Category]]="Clothing",Table1[[#This Row],[Sales]]*0.65,
Table1[[#This Row],[Sales]]*0.7)))</f>
        <v>12129.599999999999</v>
      </c>
      <c r="I1001" s="11">
        <f ca="1">Table1[[#This Row],[Sales]]-H1001</f>
        <v>5198.4000000000015</v>
      </c>
      <c r="J1001" s="2">
        <f ca="1">Table1[[#This Row],[Profit]]/Table1[[#This Row],[Sales]]</f>
        <v>0.3000000000000001</v>
      </c>
      <c r="K1001" t="str">
        <f ca="1">TEXT(Table1[[#This Row],[Order_Date]],"mmm")</f>
        <v>Jul</v>
      </c>
      <c r="L1001">
        <f ca="1">YEAR(Table1[[#This Row],[Order_Date]])</f>
        <v>2023</v>
      </c>
    </row>
    <row r="1002" spans="1:12" x14ac:dyDescent="0.3">
      <c r="A1002">
        <f t="shared" si="60"/>
        <v>1001</v>
      </c>
      <c r="B1002" s="1">
        <f t="shared" ca="1" si="61"/>
        <v>45182</v>
      </c>
      <c r="C1002" t="s">
        <v>7</v>
      </c>
      <c r="D1002" t="str">
        <f t="shared" ca="1" si="62"/>
        <v>Office Supplies</v>
      </c>
      <c r="E1002" t="s">
        <v>64</v>
      </c>
      <c r="F1002" s="11">
        <v>1789</v>
      </c>
      <c r="G1002">
        <f t="shared" ca="1" si="63"/>
        <v>7</v>
      </c>
      <c r="H1002" s="11">
        <f ca="1">IF(Table1[[#This Row],[Category]]="Electronics",Table1[[#This Row],[Sales]]*0.6,
IF(Table1[[#This Row],[Category]]="Furniture",Table1[[#This Row],[Sales]]*0.75,
IF(Table1[[#This Row],[Category]]="Clothing",Table1[[#This Row],[Sales]]*0.65,
Table1[[#This Row],[Sales]]*0.7)))</f>
        <v>1252.3</v>
      </c>
      <c r="I1002" s="11">
        <f ca="1">Table1[[#This Row],[Sales]]-H1002</f>
        <v>536.70000000000005</v>
      </c>
      <c r="J1002" s="2">
        <f ca="1">Table1[[#This Row],[Profit]]/Table1[[#This Row],[Sales]]</f>
        <v>0.30000000000000004</v>
      </c>
      <c r="K1002" t="str">
        <f ca="1">TEXT(Table1[[#This Row],[Order_Date]],"mmm")</f>
        <v>Sep</v>
      </c>
      <c r="L1002">
        <f ca="1">YEAR(Table1[[#This Row],[Order_Date]])</f>
        <v>2023</v>
      </c>
    </row>
    <row r="1003" spans="1:12" x14ac:dyDescent="0.3">
      <c r="A1003">
        <f t="shared" si="60"/>
        <v>1002</v>
      </c>
      <c r="B1003" s="1">
        <f t="shared" ca="1" si="61"/>
        <v>45251</v>
      </c>
      <c r="C1003" t="s">
        <v>8</v>
      </c>
      <c r="D1003" t="str">
        <f t="shared" ca="1" si="62"/>
        <v>Office Supplies</v>
      </c>
      <c r="E1003" t="s">
        <v>75</v>
      </c>
      <c r="F1003" s="11">
        <v>11350</v>
      </c>
      <c r="G1003">
        <f t="shared" ca="1" si="63"/>
        <v>10</v>
      </c>
      <c r="H1003" s="11">
        <f ca="1">IF(Table1[[#This Row],[Category]]="Electronics",Table1[[#This Row],[Sales]]*0.6,
IF(Table1[[#This Row],[Category]]="Furniture",Table1[[#This Row],[Sales]]*0.75,
IF(Table1[[#This Row],[Category]]="Clothing",Table1[[#This Row],[Sales]]*0.65,
Table1[[#This Row],[Sales]]*0.7)))</f>
        <v>7944.9999999999991</v>
      </c>
      <c r="I1003" s="11">
        <f ca="1">Table1[[#This Row],[Sales]]-H1003</f>
        <v>3405.0000000000009</v>
      </c>
      <c r="J1003" s="2">
        <f ca="1">Table1[[#This Row],[Profit]]/Table1[[#This Row],[Sales]]</f>
        <v>0.3000000000000001</v>
      </c>
      <c r="K1003" t="str">
        <f ca="1">TEXT(Table1[[#This Row],[Order_Date]],"mmm")</f>
        <v>Nov</v>
      </c>
      <c r="L1003">
        <f ca="1">YEAR(Table1[[#This Row],[Order_Date]])</f>
        <v>2023</v>
      </c>
    </row>
    <row r="1004" spans="1:12" x14ac:dyDescent="0.3">
      <c r="A1004">
        <f t="shared" si="60"/>
        <v>1003</v>
      </c>
      <c r="B1004" s="1">
        <f t="shared" ca="1" si="61"/>
        <v>45219</v>
      </c>
      <c r="C1004" t="s">
        <v>9</v>
      </c>
      <c r="D1004" t="str">
        <f t="shared" ca="1" si="62"/>
        <v>Office Supplies</v>
      </c>
      <c r="E1004" t="s">
        <v>71</v>
      </c>
      <c r="F1004" s="11">
        <v>16121</v>
      </c>
      <c r="G1004">
        <f t="shared" ca="1" si="63"/>
        <v>2</v>
      </c>
      <c r="H1004" s="11">
        <f ca="1">IF(Table1[[#This Row],[Category]]="Electronics",Table1[[#This Row],[Sales]]*0.6,
IF(Table1[[#This Row],[Category]]="Furniture",Table1[[#This Row],[Sales]]*0.75,
IF(Table1[[#This Row],[Category]]="Clothing",Table1[[#This Row],[Sales]]*0.65,
Table1[[#This Row],[Sales]]*0.7)))</f>
        <v>11284.699999999999</v>
      </c>
      <c r="I1004" s="11">
        <f ca="1">Table1[[#This Row],[Sales]]-H1004</f>
        <v>4836.3000000000011</v>
      </c>
      <c r="J1004" s="2">
        <f ca="1">Table1[[#This Row],[Profit]]/Table1[[#This Row],[Sales]]</f>
        <v>0.30000000000000004</v>
      </c>
      <c r="K1004" t="str">
        <f ca="1">TEXT(Table1[[#This Row],[Order_Date]],"mmm")</f>
        <v>Oct</v>
      </c>
      <c r="L1004">
        <f ca="1">YEAR(Table1[[#This Row],[Order_Date]])</f>
        <v>2023</v>
      </c>
    </row>
    <row r="1005" spans="1:12" x14ac:dyDescent="0.3">
      <c r="A1005">
        <f t="shared" si="60"/>
        <v>1004</v>
      </c>
      <c r="B1005" s="1">
        <f t="shared" ca="1" si="61"/>
        <v>45204</v>
      </c>
      <c r="C1005" t="s">
        <v>10</v>
      </c>
      <c r="D1005" t="str">
        <f t="shared" ca="1" si="62"/>
        <v>Office Supplies</v>
      </c>
      <c r="E1005" t="s">
        <v>57</v>
      </c>
      <c r="F1005" s="11">
        <v>10202</v>
      </c>
      <c r="G1005">
        <f t="shared" ca="1" si="63"/>
        <v>8</v>
      </c>
      <c r="H1005" s="11">
        <f ca="1">IF(Table1[[#This Row],[Category]]="Electronics",Table1[[#This Row],[Sales]]*0.6,
IF(Table1[[#This Row],[Category]]="Furniture",Table1[[#This Row],[Sales]]*0.75,
IF(Table1[[#This Row],[Category]]="Clothing",Table1[[#This Row],[Sales]]*0.65,
Table1[[#This Row],[Sales]]*0.7)))</f>
        <v>7141.4</v>
      </c>
      <c r="I1005" s="11">
        <f ca="1">Table1[[#This Row],[Sales]]-H1005</f>
        <v>3060.6000000000004</v>
      </c>
      <c r="J1005" s="2">
        <f ca="1">Table1[[#This Row],[Profit]]/Table1[[#This Row],[Sales]]</f>
        <v>0.30000000000000004</v>
      </c>
      <c r="K1005" t="str">
        <f ca="1">TEXT(Table1[[#This Row],[Order_Date]],"mmm")</f>
        <v>Oct</v>
      </c>
      <c r="L1005">
        <f ca="1">YEAR(Table1[[#This Row],[Order_Date]])</f>
        <v>2023</v>
      </c>
    </row>
    <row r="1006" spans="1:12" x14ac:dyDescent="0.3">
      <c r="A1006">
        <f t="shared" si="60"/>
        <v>1005</v>
      </c>
      <c r="B1006" s="1">
        <f t="shared" ca="1" si="61"/>
        <v>45269</v>
      </c>
      <c r="C1006" t="s">
        <v>7</v>
      </c>
      <c r="D1006" t="str">
        <f t="shared" ca="1" si="62"/>
        <v>Office Supplies</v>
      </c>
      <c r="E1006" t="s">
        <v>70</v>
      </c>
      <c r="F1006" s="11">
        <v>15506</v>
      </c>
      <c r="G1006">
        <f t="shared" ca="1" si="63"/>
        <v>8</v>
      </c>
      <c r="H1006" s="11">
        <f ca="1">IF(Table1[[#This Row],[Category]]="Electronics",Table1[[#This Row],[Sales]]*0.6,
IF(Table1[[#This Row],[Category]]="Furniture",Table1[[#This Row],[Sales]]*0.75,
IF(Table1[[#This Row],[Category]]="Clothing",Table1[[#This Row],[Sales]]*0.65,
Table1[[#This Row],[Sales]]*0.7)))</f>
        <v>10854.199999999999</v>
      </c>
      <c r="I1006" s="11">
        <f ca="1">Table1[[#This Row],[Sales]]-H1006</f>
        <v>4651.8000000000011</v>
      </c>
      <c r="J1006" s="2">
        <f ca="1">Table1[[#This Row],[Profit]]/Table1[[#This Row],[Sales]]</f>
        <v>0.30000000000000004</v>
      </c>
      <c r="K1006" t="str">
        <f ca="1">TEXT(Table1[[#This Row],[Order_Date]],"mmm")</f>
        <v>Dec</v>
      </c>
      <c r="L1006">
        <f ca="1">YEAR(Table1[[#This Row],[Order_Date]])</f>
        <v>2023</v>
      </c>
    </row>
    <row r="1007" spans="1:12" x14ac:dyDescent="0.3">
      <c r="A1007">
        <f t="shared" si="60"/>
        <v>1006</v>
      </c>
      <c r="B1007" s="1">
        <f t="shared" ca="1" si="61"/>
        <v>44987</v>
      </c>
      <c r="C1007" t="s">
        <v>8</v>
      </c>
      <c r="D1007" t="str">
        <f t="shared" ca="1" si="62"/>
        <v>Electronics</v>
      </c>
      <c r="E1007" t="s">
        <v>83</v>
      </c>
      <c r="F1007" s="11">
        <v>13829</v>
      </c>
      <c r="G1007">
        <f t="shared" ca="1" si="63"/>
        <v>4</v>
      </c>
      <c r="H1007" s="11">
        <f ca="1">IF(Table1[[#This Row],[Category]]="Electronics",Table1[[#This Row],[Sales]]*0.6,
IF(Table1[[#This Row],[Category]]="Furniture",Table1[[#This Row],[Sales]]*0.75,
IF(Table1[[#This Row],[Category]]="Clothing",Table1[[#This Row],[Sales]]*0.65,
Table1[[#This Row],[Sales]]*0.7)))</f>
        <v>8297.4</v>
      </c>
      <c r="I1007" s="11">
        <f ca="1">Table1[[#This Row],[Sales]]-H1007</f>
        <v>5531.6</v>
      </c>
      <c r="J1007" s="2">
        <f ca="1">Table1[[#This Row],[Profit]]/Table1[[#This Row],[Sales]]</f>
        <v>0.4</v>
      </c>
      <c r="K1007" t="str">
        <f ca="1">TEXT(Table1[[#This Row],[Order_Date]],"mmm")</f>
        <v>Mar</v>
      </c>
      <c r="L1007">
        <f ca="1">YEAR(Table1[[#This Row],[Order_Date]])</f>
        <v>2023</v>
      </c>
    </row>
    <row r="1008" spans="1:12" x14ac:dyDescent="0.3">
      <c r="A1008">
        <f t="shared" si="60"/>
        <v>1007</v>
      </c>
      <c r="B1008" s="1">
        <f t="shared" ca="1" si="61"/>
        <v>45175</v>
      </c>
      <c r="C1008" t="s">
        <v>9</v>
      </c>
      <c r="D1008" t="str">
        <f t="shared" ca="1" si="62"/>
        <v>Furniture</v>
      </c>
      <c r="E1008" t="s">
        <v>58</v>
      </c>
      <c r="F1008" s="11">
        <v>7235</v>
      </c>
      <c r="G1008">
        <f t="shared" ca="1" si="63"/>
        <v>6</v>
      </c>
      <c r="H1008" s="11">
        <f ca="1">IF(Table1[[#This Row],[Category]]="Electronics",Table1[[#This Row],[Sales]]*0.6,
IF(Table1[[#This Row],[Category]]="Furniture",Table1[[#This Row],[Sales]]*0.75,
IF(Table1[[#This Row],[Category]]="Clothing",Table1[[#This Row],[Sales]]*0.65,
Table1[[#This Row],[Sales]]*0.7)))</f>
        <v>5426.25</v>
      </c>
      <c r="I1008" s="11">
        <f ca="1">Table1[[#This Row],[Sales]]-H1008</f>
        <v>1808.75</v>
      </c>
      <c r="J1008" s="2">
        <f ca="1">Table1[[#This Row],[Profit]]/Table1[[#This Row],[Sales]]</f>
        <v>0.25</v>
      </c>
      <c r="K1008" t="str">
        <f ca="1">TEXT(Table1[[#This Row],[Order_Date]],"mmm")</f>
        <v>Sep</v>
      </c>
      <c r="L1008">
        <f ca="1">YEAR(Table1[[#This Row],[Order_Date]])</f>
        <v>2023</v>
      </c>
    </row>
    <row r="1009" spans="1:12" x14ac:dyDescent="0.3">
      <c r="A1009">
        <f t="shared" si="60"/>
        <v>1008</v>
      </c>
      <c r="B1009" s="1">
        <f t="shared" ca="1" si="61"/>
        <v>45217</v>
      </c>
      <c r="C1009" t="s">
        <v>10</v>
      </c>
      <c r="D1009" t="str">
        <f t="shared" ca="1" si="62"/>
        <v>Electronics</v>
      </c>
      <c r="E1009" t="s">
        <v>68</v>
      </c>
      <c r="F1009" s="11">
        <v>7260</v>
      </c>
      <c r="G1009">
        <f t="shared" ca="1" si="63"/>
        <v>1</v>
      </c>
      <c r="H1009" s="11">
        <f ca="1">IF(Table1[[#This Row],[Category]]="Electronics",Table1[[#This Row],[Sales]]*0.6,
IF(Table1[[#This Row],[Category]]="Furniture",Table1[[#This Row],[Sales]]*0.75,
IF(Table1[[#This Row],[Category]]="Clothing",Table1[[#This Row],[Sales]]*0.65,
Table1[[#This Row],[Sales]]*0.7)))</f>
        <v>4356</v>
      </c>
      <c r="I1009" s="11">
        <f ca="1">Table1[[#This Row],[Sales]]-H1009</f>
        <v>2904</v>
      </c>
      <c r="J1009" s="2">
        <f ca="1">Table1[[#This Row],[Profit]]/Table1[[#This Row],[Sales]]</f>
        <v>0.4</v>
      </c>
      <c r="K1009" t="str">
        <f ca="1">TEXT(Table1[[#This Row],[Order_Date]],"mmm")</f>
        <v>Oct</v>
      </c>
      <c r="L1009">
        <f ca="1">YEAR(Table1[[#This Row],[Order_Date]])</f>
        <v>2023</v>
      </c>
    </row>
    <row r="1010" spans="1:12" x14ac:dyDescent="0.3">
      <c r="A1010">
        <f t="shared" si="60"/>
        <v>1009</v>
      </c>
      <c r="B1010" s="1">
        <f t="shared" ca="1" si="61"/>
        <v>45178</v>
      </c>
      <c r="C1010" t="s">
        <v>7</v>
      </c>
      <c r="D1010" t="str">
        <f t="shared" ca="1" si="62"/>
        <v>Clothing</v>
      </c>
      <c r="E1010" t="s">
        <v>69</v>
      </c>
      <c r="F1010" s="11">
        <v>7187</v>
      </c>
      <c r="G1010">
        <f t="shared" ca="1" si="63"/>
        <v>4</v>
      </c>
      <c r="H1010" s="11">
        <f ca="1">IF(Table1[[#This Row],[Category]]="Electronics",Table1[[#This Row],[Sales]]*0.6,
IF(Table1[[#This Row],[Category]]="Furniture",Table1[[#This Row],[Sales]]*0.75,
IF(Table1[[#This Row],[Category]]="Clothing",Table1[[#This Row],[Sales]]*0.65,
Table1[[#This Row],[Sales]]*0.7)))</f>
        <v>4671.55</v>
      </c>
      <c r="I1010" s="11">
        <f ca="1">Table1[[#This Row],[Sales]]-H1010</f>
        <v>2515.4499999999998</v>
      </c>
      <c r="J1010" s="2">
        <f ca="1">Table1[[#This Row],[Profit]]/Table1[[#This Row],[Sales]]</f>
        <v>0.35</v>
      </c>
      <c r="K1010" t="str">
        <f ca="1">TEXT(Table1[[#This Row],[Order_Date]],"mmm")</f>
        <v>Sep</v>
      </c>
      <c r="L1010">
        <f ca="1">YEAR(Table1[[#This Row],[Order_Date]])</f>
        <v>2023</v>
      </c>
    </row>
    <row r="1011" spans="1:12" x14ac:dyDescent="0.3">
      <c r="A1011">
        <f t="shared" si="60"/>
        <v>1010</v>
      </c>
      <c r="B1011" s="1">
        <f t="shared" ca="1" si="61"/>
        <v>44982</v>
      </c>
      <c r="C1011" t="s">
        <v>8</v>
      </c>
      <c r="D1011" t="str">
        <f t="shared" ca="1" si="62"/>
        <v>Clothing</v>
      </c>
      <c r="E1011" t="s">
        <v>67</v>
      </c>
      <c r="F1011" s="11">
        <v>13890</v>
      </c>
      <c r="G1011">
        <f t="shared" ca="1" si="63"/>
        <v>7</v>
      </c>
      <c r="H1011" s="11">
        <f ca="1">IF(Table1[[#This Row],[Category]]="Electronics",Table1[[#This Row],[Sales]]*0.6,
IF(Table1[[#This Row],[Category]]="Furniture",Table1[[#This Row],[Sales]]*0.75,
IF(Table1[[#This Row],[Category]]="Clothing",Table1[[#This Row],[Sales]]*0.65,
Table1[[#This Row],[Sales]]*0.7)))</f>
        <v>9028.5</v>
      </c>
      <c r="I1011" s="11">
        <f ca="1">Table1[[#This Row],[Sales]]-H1011</f>
        <v>4861.5</v>
      </c>
      <c r="J1011" s="2">
        <f ca="1">Table1[[#This Row],[Profit]]/Table1[[#This Row],[Sales]]</f>
        <v>0.35</v>
      </c>
      <c r="K1011" t="str">
        <f ca="1">TEXT(Table1[[#This Row],[Order_Date]],"mmm")</f>
        <v>Feb</v>
      </c>
      <c r="L1011">
        <f ca="1">YEAR(Table1[[#This Row],[Order_Date]])</f>
        <v>2023</v>
      </c>
    </row>
    <row r="1012" spans="1:12" x14ac:dyDescent="0.3">
      <c r="A1012">
        <f t="shared" si="60"/>
        <v>1011</v>
      </c>
      <c r="B1012" s="1">
        <f t="shared" ca="1" si="61"/>
        <v>45037</v>
      </c>
      <c r="C1012" t="s">
        <v>9</v>
      </c>
      <c r="D1012" t="str">
        <f t="shared" ca="1" si="62"/>
        <v>Furniture</v>
      </c>
      <c r="E1012" t="s">
        <v>36</v>
      </c>
      <c r="F1012" s="11">
        <v>5510</v>
      </c>
      <c r="G1012">
        <f t="shared" ca="1" si="63"/>
        <v>5</v>
      </c>
      <c r="H1012" s="11">
        <f ca="1">IF(Table1[[#This Row],[Category]]="Electronics",Table1[[#This Row],[Sales]]*0.6,
IF(Table1[[#This Row],[Category]]="Furniture",Table1[[#This Row],[Sales]]*0.75,
IF(Table1[[#This Row],[Category]]="Clothing",Table1[[#This Row],[Sales]]*0.65,
Table1[[#This Row],[Sales]]*0.7)))</f>
        <v>4132.5</v>
      </c>
      <c r="I1012" s="11">
        <f ca="1">Table1[[#This Row],[Sales]]-H1012</f>
        <v>1377.5</v>
      </c>
      <c r="J1012" s="2">
        <f ca="1">Table1[[#This Row],[Profit]]/Table1[[#This Row],[Sales]]</f>
        <v>0.25</v>
      </c>
      <c r="K1012" t="str">
        <f ca="1">TEXT(Table1[[#This Row],[Order_Date]],"mmm")</f>
        <v>Apr</v>
      </c>
      <c r="L1012">
        <f ca="1">YEAR(Table1[[#This Row],[Order_Date]])</f>
        <v>2023</v>
      </c>
    </row>
    <row r="1013" spans="1:12" x14ac:dyDescent="0.3">
      <c r="A1013">
        <f t="shared" si="60"/>
        <v>1012</v>
      </c>
      <c r="B1013" s="1">
        <f t="shared" ca="1" si="61"/>
        <v>45080</v>
      </c>
      <c r="C1013" t="s">
        <v>10</v>
      </c>
      <c r="D1013" t="str">
        <f t="shared" ca="1" si="62"/>
        <v>Furniture</v>
      </c>
      <c r="E1013" t="s">
        <v>43</v>
      </c>
      <c r="F1013" s="11">
        <v>12080</v>
      </c>
      <c r="G1013">
        <f t="shared" ca="1" si="63"/>
        <v>9</v>
      </c>
      <c r="H1013" s="11">
        <f ca="1">IF(Table1[[#This Row],[Category]]="Electronics",Table1[[#This Row],[Sales]]*0.6,
IF(Table1[[#This Row],[Category]]="Furniture",Table1[[#This Row],[Sales]]*0.75,
IF(Table1[[#This Row],[Category]]="Clothing",Table1[[#This Row],[Sales]]*0.65,
Table1[[#This Row],[Sales]]*0.7)))</f>
        <v>9060</v>
      </c>
      <c r="I1013" s="11">
        <f ca="1">Table1[[#This Row],[Sales]]-H1013</f>
        <v>3020</v>
      </c>
      <c r="J1013" s="2">
        <f ca="1">Table1[[#This Row],[Profit]]/Table1[[#This Row],[Sales]]</f>
        <v>0.25</v>
      </c>
      <c r="K1013" t="str">
        <f ca="1">TEXT(Table1[[#This Row],[Order_Date]],"mmm")</f>
        <v>Jun</v>
      </c>
      <c r="L1013">
        <f ca="1">YEAR(Table1[[#This Row],[Order_Date]])</f>
        <v>2023</v>
      </c>
    </row>
    <row r="1014" spans="1:12" x14ac:dyDescent="0.3">
      <c r="A1014">
        <f t="shared" si="60"/>
        <v>1013</v>
      </c>
      <c r="B1014" s="1">
        <f t="shared" ca="1" si="61"/>
        <v>45249</v>
      </c>
      <c r="C1014" t="s">
        <v>7</v>
      </c>
      <c r="D1014" t="str">
        <f t="shared" ca="1" si="62"/>
        <v>Furniture</v>
      </c>
      <c r="E1014" t="s">
        <v>47</v>
      </c>
      <c r="F1014" s="11">
        <v>18157</v>
      </c>
      <c r="G1014">
        <f t="shared" ca="1" si="63"/>
        <v>5</v>
      </c>
      <c r="H1014" s="11">
        <f ca="1">IF(Table1[[#This Row],[Category]]="Electronics",Table1[[#This Row],[Sales]]*0.6,
IF(Table1[[#This Row],[Category]]="Furniture",Table1[[#This Row],[Sales]]*0.75,
IF(Table1[[#This Row],[Category]]="Clothing",Table1[[#This Row],[Sales]]*0.65,
Table1[[#This Row],[Sales]]*0.7)))</f>
        <v>13617.75</v>
      </c>
      <c r="I1014" s="11">
        <f ca="1">Table1[[#This Row],[Sales]]-H1014</f>
        <v>4539.25</v>
      </c>
      <c r="J1014" s="2">
        <f ca="1">Table1[[#This Row],[Profit]]/Table1[[#This Row],[Sales]]</f>
        <v>0.25</v>
      </c>
      <c r="K1014" t="str">
        <f ca="1">TEXT(Table1[[#This Row],[Order_Date]],"mmm")</f>
        <v>Nov</v>
      </c>
      <c r="L1014">
        <f ca="1">YEAR(Table1[[#This Row],[Order_Date]])</f>
        <v>2023</v>
      </c>
    </row>
    <row r="1015" spans="1:12" x14ac:dyDescent="0.3">
      <c r="A1015">
        <f t="shared" si="60"/>
        <v>1014</v>
      </c>
      <c r="B1015" s="1">
        <f t="shared" ca="1" si="61"/>
        <v>45208</v>
      </c>
      <c r="C1015" t="s">
        <v>8</v>
      </c>
      <c r="D1015" t="str">
        <f t="shared" ca="1" si="62"/>
        <v>Furniture</v>
      </c>
      <c r="E1015" t="s">
        <v>51</v>
      </c>
      <c r="F1015" s="11">
        <v>18001</v>
      </c>
      <c r="G1015">
        <f t="shared" ca="1" si="63"/>
        <v>1</v>
      </c>
      <c r="H1015" s="11">
        <f ca="1">IF(Table1[[#This Row],[Category]]="Electronics",Table1[[#This Row],[Sales]]*0.6,
IF(Table1[[#This Row],[Category]]="Furniture",Table1[[#This Row],[Sales]]*0.75,
IF(Table1[[#This Row],[Category]]="Clothing",Table1[[#This Row],[Sales]]*0.65,
Table1[[#This Row],[Sales]]*0.7)))</f>
        <v>13500.75</v>
      </c>
      <c r="I1015" s="11">
        <f ca="1">Table1[[#This Row],[Sales]]-H1015</f>
        <v>4500.25</v>
      </c>
      <c r="J1015" s="2">
        <f ca="1">Table1[[#This Row],[Profit]]/Table1[[#This Row],[Sales]]</f>
        <v>0.25</v>
      </c>
      <c r="K1015" t="str">
        <f ca="1">TEXT(Table1[[#This Row],[Order_Date]],"mmm")</f>
        <v>Oct</v>
      </c>
      <c r="L1015">
        <f ca="1">YEAR(Table1[[#This Row],[Order_Date]])</f>
        <v>2023</v>
      </c>
    </row>
    <row r="1016" spans="1:12" x14ac:dyDescent="0.3">
      <c r="A1016">
        <f t="shared" si="60"/>
        <v>1015</v>
      </c>
      <c r="B1016" s="1">
        <f t="shared" ca="1" si="61"/>
        <v>45071</v>
      </c>
      <c r="C1016" t="s">
        <v>9</v>
      </c>
      <c r="D1016" t="str">
        <f t="shared" ca="1" si="62"/>
        <v>Electronics</v>
      </c>
      <c r="E1016" t="s">
        <v>56</v>
      </c>
      <c r="F1016" s="11">
        <v>2116</v>
      </c>
      <c r="G1016">
        <f t="shared" ca="1" si="63"/>
        <v>3</v>
      </c>
      <c r="H1016" s="11">
        <f ca="1">IF(Table1[[#This Row],[Category]]="Electronics",Table1[[#This Row],[Sales]]*0.6,
IF(Table1[[#This Row],[Category]]="Furniture",Table1[[#This Row],[Sales]]*0.75,
IF(Table1[[#This Row],[Category]]="Clothing",Table1[[#This Row],[Sales]]*0.65,
Table1[[#This Row],[Sales]]*0.7)))</f>
        <v>1269.5999999999999</v>
      </c>
      <c r="I1016" s="11">
        <f ca="1">Table1[[#This Row],[Sales]]-H1016</f>
        <v>846.40000000000009</v>
      </c>
      <c r="J1016" s="2">
        <f ca="1">Table1[[#This Row],[Profit]]/Table1[[#This Row],[Sales]]</f>
        <v>0.4</v>
      </c>
      <c r="K1016" t="str">
        <f ca="1">TEXT(Table1[[#This Row],[Order_Date]],"mmm")</f>
        <v>May</v>
      </c>
      <c r="L1016">
        <f ca="1">YEAR(Table1[[#This Row],[Order_Date]])</f>
        <v>2023</v>
      </c>
    </row>
    <row r="1017" spans="1:12" x14ac:dyDescent="0.3">
      <c r="A1017">
        <f t="shared" si="60"/>
        <v>1016</v>
      </c>
      <c r="B1017" s="1">
        <f t="shared" ca="1" si="61"/>
        <v>45284</v>
      </c>
      <c r="C1017" t="s">
        <v>10</v>
      </c>
      <c r="D1017" t="str">
        <f t="shared" ca="1" si="62"/>
        <v>Furniture</v>
      </c>
      <c r="E1017" t="s">
        <v>72</v>
      </c>
      <c r="F1017" s="11">
        <v>12030</v>
      </c>
      <c r="G1017">
        <f t="shared" ca="1" si="63"/>
        <v>8</v>
      </c>
      <c r="H1017" s="11">
        <f ca="1">IF(Table1[[#This Row],[Category]]="Electronics",Table1[[#This Row],[Sales]]*0.6,
IF(Table1[[#This Row],[Category]]="Furniture",Table1[[#This Row],[Sales]]*0.75,
IF(Table1[[#This Row],[Category]]="Clothing",Table1[[#This Row],[Sales]]*0.65,
Table1[[#This Row],[Sales]]*0.7)))</f>
        <v>9022.5</v>
      </c>
      <c r="I1017" s="11">
        <f ca="1">Table1[[#This Row],[Sales]]-H1017</f>
        <v>3007.5</v>
      </c>
      <c r="J1017" s="2">
        <f ca="1">Table1[[#This Row],[Profit]]/Table1[[#This Row],[Sales]]</f>
        <v>0.25</v>
      </c>
      <c r="K1017" t="str">
        <f ca="1">TEXT(Table1[[#This Row],[Order_Date]],"mmm")</f>
        <v>Dec</v>
      </c>
      <c r="L1017">
        <f ca="1">YEAR(Table1[[#This Row],[Order_Date]])</f>
        <v>2023</v>
      </c>
    </row>
    <row r="1018" spans="1:12" x14ac:dyDescent="0.3">
      <c r="A1018">
        <f t="shared" si="60"/>
        <v>1017</v>
      </c>
      <c r="B1018" s="1">
        <f t="shared" ca="1" si="61"/>
        <v>45067</v>
      </c>
      <c r="C1018" t="s">
        <v>7</v>
      </c>
      <c r="D1018" t="str">
        <f t="shared" ca="1" si="62"/>
        <v>Electronics</v>
      </c>
      <c r="E1018" t="s">
        <v>54</v>
      </c>
      <c r="F1018" s="11">
        <v>18040</v>
      </c>
      <c r="G1018">
        <f t="shared" ca="1" si="63"/>
        <v>6</v>
      </c>
      <c r="H1018" s="11">
        <f ca="1">IF(Table1[[#This Row],[Category]]="Electronics",Table1[[#This Row],[Sales]]*0.6,
IF(Table1[[#This Row],[Category]]="Furniture",Table1[[#This Row],[Sales]]*0.75,
IF(Table1[[#This Row],[Category]]="Clothing",Table1[[#This Row],[Sales]]*0.65,
Table1[[#This Row],[Sales]]*0.7)))</f>
        <v>10824</v>
      </c>
      <c r="I1018" s="11">
        <f ca="1">Table1[[#This Row],[Sales]]-H1018</f>
        <v>7216</v>
      </c>
      <c r="J1018" s="2">
        <f ca="1">Table1[[#This Row],[Profit]]/Table1[[#This Row],[Sales]]</f>
        <v>0.4</v>
      </c>
      <c r="K1018" t="str">
        <f ca="1">TEXT(Table1[[#This Row],[Order_Date]],"mmm")</f>
        <v>May</v>
      </c>
      <c r="L1018">
        <f ca="1">YEAR(Table1[[#This Row],[Order_Date]])</f>
        <v>2023</v>
      </c>
    </row>
    <row r="1019" spans="1:12" x14ac:dyDescent="0.3">
      <c r="A1019">
        <f t="shared" si="60"/>
        <v>1018</v>
      </c>
      <c r="B1019" s="1">
        <f t="shared" ca="1" si="61"/>
        <v>44937</v>
      </c>
      <c r="C1019" t="s">
        <v>8</v>
      </c>
      <c r="D1019" t="str">
        <f t="shared" ca="1" si="62"/>
        <v>Clothing</v>
      </c>
      <c r="E1019" t="s">
        <v>49</v>
      </c>
      <c r="F1019" s="11">
        <v>18609</v>
      </c>
      <c r="G1019">
        <f t="shared" ca="1" si="63"/>
        <v>3</v>
      </c>
      <c r="H1019" s="11">
        <f ca="1">IF(Table1[[#This Row],[Category]]="Electronics",Table1[[#This Row],[Sales]]*0.6,
IF(Table1[[#This Row],[Category]]="Furniture",Table1[[#This Row],[Sales]]*0.75,
IF(Table1[[#This Row],[Category]]="Clothing",Table1[[#This Row],[Sales]]*0.65,
Table1[[#This Row],[Sales]]*0.7)))</f>
        <v>12095.85</v>
      </c>
      <c r="I1019" s="11">
        <f ca="1">Table1[[#This Row],[Sales]]-H1019</f>
        <v>6513.15</v>
      </c>
      <c r="J1019" s="2">
        <f ca="1">Table1[[#This Row],[Profit]]/Table1[[#This Row],[Sales]]</f>
        <v>0.35</v>
      </c>
      <c r="K1019" t="str">
        <f ca="1">TEXT(Table1[[#This Row],[Order_Date]],"mmm")</f>
        <v>Jan</v>
      </c>
      <c r="L1019">
        <f ca="1">YEAR(Table1[[#This Row],[Order_Date]])</f>
        <v>2023</v>
      </c>
    </row>
    <row r="1020" spans="1:12" x14ac:dyDescent="0.3">
      <c r="A1020">
        <f t="shared" si="60"/>
        <v>1019</v>
      </c>
      <c r="B1020" s="1">
        <f t="shared" ca="1" si="61"/>
        <v>45098</v>
      </c>
      <c r="C1020" t="s">
        <v>9</v>
      </c>
      <c r="D1020" t="str">
        <f t="shared" ca="1" si="62"/>
        <v>Electronics</v>
      </c>
      <c r="E1020" t="s">
        <v>39</v>
      </c>
      <c r="F1020" s="11">
        <v>8386</v>
      </c>
      <c r="G1020">
        <f t="shared" ca="1" si="63"/>
        <v>7</v>
      </c>
      <c r="H1020" s="11">
        <f ca="1">IF(Table1[[#This Row],[Category]]="Electronics",Table1[[#This Row],[Sales]]*0.6,
IF(Table1[[#This Row],[Category]]="Furniture",Table1[[#This Row],[Sales]]*0.75,
IF(Table1[[#This Row],[Category]]="Clothing",Table1[[#This Row],[Sales]]*0.65,
Table1[[#This Row],[Sales]]*0.7)))</f>
        <v>5031.5999999999995</v>
      </c>
      <c r="I1020" s="11">
        <f ca="1">Table1[[#This Row],[Sales]]-H1020</f>
        <v>3354.4000000000005</v>
      </c>
      <c r="J1020" s="2">
        <f ca="1">Table1[[#This Row],[Profit]]/Table1[[#This Row],[Sales]]</f>
        <v>0.40000000000000008</v>
      </c>
      <c r="K1020" t="str">
        <f ca="1">TEXT(Table1[[#This Row],[Order_Date]],"mmm")</f>
        <v>Jun</v>
      </c>
      <c r="L1020">
        <f ca="1">YEAR(Table1[[#This Row],[Order_Date]])</f>
        <v>2023</v>
      </c>
    </row>
    <row r="1021" spans="1:12" x14ac:dyDescent="0.3">
      <c r="A1021">
        <f t="shared" si="60"/>
        <v>1020</v>
      </c>
      <c r="B1021" s="1">
        <f t="shared" ca="1" si="61"/>
        <v>45083</v>
      </c>
      <c r="C1021" t="s">
        <v>10</v>
      </c>
      <c r="D1021" t="str">
        <f t="shared" ca="1" si="62"/>
        <v>Office Supplies</v>
      </c>
      <c r="E1021" t="s">
        <v>81</v>
      </c>
      <c r="F1021" s="11">
        <v>1300</v>
      </c>
      <c r="G1021">
        <f t="shared" ca="1" si="63"/>
        <v>10</v>
      </c>
      <c r="H1021" s="11">
        <f ca="1">IF(Table1[[#This Row],[Category]]="Electronics",Table1[[#This Row],[Sales]]*0.6,
IF(Table1[[#This Row],[Category]]="Furniture",Table1[[#This Row],[Sales]]*0.75,
IF(Table1[[#This Row],[Category]]="Clothing",Table1[[#This Row],[Sales]]*0.65,
Table1[[#This Row],[Sales]]*0.7)))</f>
        <v>909.99999999999989</v>
      </c>
      <c r="I1021" s="11">
        <f ca="1">Table1[[#This Row],[Sales]]-H1021</f>
        <v>390.00000000000011</v>
      </c>
      <c r="J1021" s="2">
        <f ca="1">Table1[[#This Row],[Profit]]/Table1[[#This Row],[Sales]]</f>
        <v>0.3000000000000001</v>
      </c>
      <c r="K1021" t="str">
        <f ca="1">TEXT(Table1[[#This Row],[Order_Date]],"mmm")</f>
        <v>Jun</v>
      </c>
      <c r="L1021">
        <f ca="1">YEAR(Table1[[#This Row],[Order_Date]])</f>
        <v>2023</v>
      </c>
    </row>
    <row r="1022" spans="1:12" x14ac:dyDescent="0.3">
      <c r="A1022">
        <f t="shared" si="60"/>
        <v>1021</v>
      </c>
      <c r="B1022" s="1">
        <f t="shared" ca="1" si="61"/>
        <v>45019</v>
      </c>
      <c r="C1022" t="s">
        <v>7</v>
      </c>
      <c r="D1022" t="str">
        <f t="shared" ca="1" si="62"/>
        <v>Furniture</v>
      </c>
      <c r="E1022" t="s">
        <v>49</v>
      </c>
      <c r="F1022" s="11">
        <v>747</v>
      </c>
      <c r="G1022">
        <f t="shared" ca="1" si="63"/>
        <v>7</v>
      </c>
      <c r="H1022" s="11">
        <f ca="1">IF(Table1[[#This Row],[Category]]="Electronics",Table1[[#This Row],[Sales]]*0.6,
IF(Table1[[#This Row],[Category]]="Furniture",Table1[[#This Row],[Sales]]*0.75,
IF(Table1[[#This Row],[Category]]="Clothing",Table1[[#This Row],[Sales]]*0.65,
Table1[[#This Row],[Sales]]*0.7)))</f>
        <v>560.25</v>
      </c>
      <c r="I1022" s="11">
        <f ca="1">Table1[[#This Row],[Sales]]-H1022</f>
        <v>186.75</v>
      </c>
      <c r="J1022" s="2">
        <f ca="1">Table1[[#This Row],[Profit]]/Table1[[#This Row],[Sales]]</f>
        <v>0.25</v>
      </c>
      <c r="K1022" t="str">
        <f ca="1">TEXT(Table1[[#This Row],[Order_Date]],"mmm")</f>
        <v>Apr</v>
      </c>
      <c r="L1022">
        <f ca="1">YEAR(Table1[[#This Row],[Order_Date]])</f>
        <v>2023</v>
      </c>
    </row>
    <row r="1023" spans="1:12" x14ac:dyDescent="0.3">
      <c r="A1023">
        <f t="shared" si="60"/>
        <v>1022</v>
      </c>
      <c r="B1023" s="1">
        <f t="shared" ca="1" si="61"/>
        <v>45090</v>
      </c>
      <c r="C1023" t="s">
        <v>8</v>
      </c>
      <c r="D1023" t="str">
        <f t="shared" ca="1" si="62"/>
        <v>Office Supplies</v>
      </c>
      <c r="E1023" t="s">
        <v>64</v>
      </c>
      <c r="F1023" s="11">
        <v>8545</v>
      </c>
      <c r="G1023">
        <f t="shared" ca="1" si="63"/>
        <v>2</v>
      </c>
      <c r="H1023" s="11">
        <f ca="1">IF(Table1[[#This Row],[Category]]="Electronics",Table1[[#This Row],[Sales]]*0.6,
IF(Table1[[#This Row],[Category]]="Furniture",Table1[[#This Row],[Sales]]*0.75,
IF(Table1[[#This Row],[Category]]="Clothing",Table1[[#This Row],[Sales]]*0.65,
Table1[[#This Row],[Sales]]*0.7)))</f>
        <v>5981.5</v>
      </c>
      <c r="I1023" s="11">
        <f ca="1">Table1[[#This Row],[Sales]]-H1023</f>
        <v>2563.5</v>
      </c>
      <c r="J1023" s="2">
        <f ca="1">Table1[[#This Row],[Profit]]/Table1[[#This Row],[Sales]]</f>
        <v>0.3</v>
      </c>
      <c r="K1023" t="str">
        <f ca="1">TEXT(Table1[[#This Row],[Order_Date]],"mmm")</f>
        <v>Jun</v>
      </c>
      <c r="L1023">
        <f ca="1">YEAR(Table1[[#This Row],[Order_Date]])</f>
        <v>2023</v>
      </c>
    </row>
    <row r="1024" spans="1:12" x14ac:dyDescent="0.3">
      <c r="A1024">
        <f t="shared" si="60"/>
        <v>1023</v>
      </c>
      <c r="B1024" s="1">
        <f t="shared" ca="1" si="61"/>
        <v>44986</v>
      </c>
      <c r="C1024" t="s">
        <v>9</v>
      </c>
      <c r="D1024" t="str">
        <f t="shared" ca="1" si="62"/>
        <v>Electronics</v>
      </c>
      <c r="E1024" t="s">
        <v>77</v>
      </c>
      <c r="F1024" s="11">
        <v>8631</v>
      </c>
      <c r="G1024">
        <f t="shared" ca="1" si="63"/>
        <v>1</v>
      </c>
      <c r="H1024" s="11">
        <f ca="1">IF(Table1[[#This Row],[Category]]="Electronics",Table1[[#This Row],[Sales]]*0.6,
IF(Table1[[#This Row],[Category]]="Furniture",Table1[[#This Row],[Sales]]*0.75,
IF(Table1[[#This Row],[Category]]="Clothing",Table1[[#This Row],[Sales]]*0.65,
Table1[[#This Row],[Sales]]*0.7)))</f>
        <v>5178.5999999999995</v>
      </c>
      <c r="I1024" s="11">
        <f ca="1">Table1[[#This Row],[Sales]]-H1024</f>
        <v>3452.4000000000005</v>
      </c>
      <c r="J1024" s="2">
        <f ca="1">Table1[[#This Row],[Profit]]/Table1[[#This Row],[Sales]]</f>
        <v>0.40000000000000008</v>
      </c>
      <c r="K1024" t="str">
        <f ca="1">TEXT(Table1[[#This Row],[Order_Date]],"mmm")</f>
        <v>Mar</v>
      </c>
      <c r="L1024">
        <f ca="1">YEAR(Table1[[#This Row],[Order_Date]])</f>
        <v>2023</v>
      </c>
    </row>
    <row r="1025" spans="1:12" x14ac:dyDescent="0.3">
      <c r="A1025">
        <f t="shared" si="60"/>
        <v>1024</v>
      </c>
      <c r="B1025" s="1">
        <f t="shared" ca="1" si="61"/>
        <v>45145</v>
      </c>
      <c r="C1025" t="s">
        <v>10</v>
      </c>
      <c r="D1025" t="str">
        <f t="shared" ca="1" si="62"/>
        <v>Electronics</v>
      </c>
      <c r="E1025" t="s">
        <v>65</v>
      </c>
      <c r="F1025" s="11">
        <v>9248</v>
      </c>
      <c r="G1025">
        <f t="shared" ca="1" si="63"/>
        <v>5</v>
      </c>
      <c r="H1025" s="11">
        <f ca="1">IF(Table1[[#This Row],[Category]]="Electronics",Table1[[#This Row],[Sales]]*0.6,
IF(Table1[[#This Row],[Category]]="Furniture",Table1[[#This Row],[Sales]]*0.75,
IF(Table1[[#This Row],[Category]]="Clothing",Table1[[#This Row],[Sales]]*0.65,
Table1[[#This Row],[Sales]]*0.7)))</f>
        <v>5548.8</v>
      </c>
      <c r="I1025" s="11">
        <f ca="1">Table1[[#This Row],[Sales]]-H1025</f>
        <v>3699.2</v>
      </c>
      <c r="J1025" s="2">
        <f ca="1">Table1[[#This Row],[Profit]]/Table1[[#This Row],[Sales]]</f>
        <v>0.39999999999999997</v>
      </c>
      <c r="K1025" t="str">
        <f ca="1">TEXT(Table1[[#This Row],[Order_Date]],"mmm")</f>
        <v>Aug</v>
      </c>
      <c r="L1025">
        <f ca="1">YEAR(Table1[[#This Row],[Order_Date]])</f>
        <v>2023</v>
      </c>
    </row>
    <row r="1026" spans="1:12" x14ac:dyDescent="0.3">
      <c r="A1026">
        <f t="shared" si="60"/>
        <v>1025</v>
      </c>
      <c r="B1026" s="1">
        <f t="shared" ca="1" si="61"/>
        <v>45012</v>
      </c>
      <c r="C1026" t="s">
        <v>7</v>
      </c>
      <c r="D1026" t="str">
        <f t="shared" ca="1" si="62"/>
        <v>Electronics</v>
      </c>
      <c r="E1026" t="s">
        <v>77</v>
      </c>
      <c r="F1026" s="11">
        <v>2187</v>
      </c>
      <c r="G1026">
        <f t="shared" ca="1" si="63"/>
        <v>7</v>
      </c>
      <c r="H1026" s="11">
        <f ca="1">IF(Table1[[#This Row],[Category]]="Electronics",Table1[[#This Row],[Sales]]*0.6,
IF(Table1[[#This Row],[Category]]="Furniture",Table1[[#This Row],[Sales]]*0.75,
IF(Table1[[#This Row],[Category]]="Clothing",Table1[[#This Row],[Sales]]*0.65,
Table1[[#This Row],[Sales]]*0.7)))</f>
        <v>1312.2</v>
      </c>
      <c r="I1026" s="11">
        <f ca="1">Table1[[#This Row],[Sales]]-H1026</f>
        <v>874.8</v>
      </c>
      <c r="J1026" s="2">
        <f ca="1">Table1[[#This Row],[Profit]]/Table1[[#This Row],[Sales]]</f>
        <v>0.39999999999999997</v>
      </c>
      <c r="K1026" t="str">
        <f ca="1">TEXT(Table1[[#This Row],[Order_Date]],"mmm")</f>
        <v>Mar</v>
      </c>
      <c r="L1026">
        <f ca="1">YEAR(Table1[[#This Row],[Order_Date]])</f>
        <v>2023</v>
      </c>
    </row>
    <row r="1027" spans="1:12" x14ac:dyDescent="0.3">
      <c r="A1027">
        <f t="shared" ref="A1027:A1090" si="64">ROW()-1</f>
        <v>1026</v>
      </c>
      <c r="B1027" s="1">
        <f t="shared" ref="B1027:B1090" ca="1" si="65">DATE(2023, RANDBETWEEN(1,12), RANDBETWEEN(1,28))</f>
        <v>45022</v>
      </c>
      <c r="C1027" t="s">
        <v>8</v>
      </c>
      <c r="D1027" t="str">
        <f t="shared" ref="D1027:D1090" ca="1" si="66">CHOOSE(RANDBETWEEN(1,4),"Electronics","Furniture","Clothing","Office Supplies")</f>
        <v>Clothing</v>
      </c>
      <c r="E1027" t="s">
        <v>68</v>
      </c>
      <c r="F1027" s="11">
        <v>1750</v>
      </c>
      <c r="G1027">
        <f t="shared" ref="G1027:G1090" ca="1" si="67">RANDBETWEEN(1,10)</f>
        <v>6</v>
      </c>
      <c r="H1027" s="11">
        <f ca="1">IF(Table1[[#This Row],[Category]]="Electronics",Table1[[#This Row],[Sales]]*0.6,
IF(Table1[[#This Row],[Category]]="Furniture",Table1[[#This Row],[Sales]]*0.75,
IF(Table1[[#This Row],[Category]]="Clothing",Table1[[#This Row],[Sales]]*0.65,
Table1[[#This Row],[Sales]]*0.7)))</f>
        <v>1137.5</v>
      </c>
      <c r="I1027" s="11">
        <f ca="1">Table1[[#This Row],[Sales]]-H1027</f>
        <v>612.5</v>
      </c>
      <c r="J1027" s="2">
        <f ca="1">Table1[[#This Row],[Profit]]/Table1[[#This Row],[Sales]]</f>
        <v>0.35</v>
      </c>
      <c r="K1027" t="str">
        <f ca="1">TEXT(Table1[[#This Row],[Order_Date]],"mmm")</f>
        <v>Apr</v>
      </c>
      <c r="L1027">
        <f ca="1">YEAR(Table1[[#This Row],[Order_Date]])</f>
        <v>2023</v>
      </c>
    </row>
    <row r="1028" spans="1:12" x14ac:dyDescent="0.3">
      <c r="A1028">
        <f t="shared" si="64"/>
        <v>1027</v>
      </c>
      <c r="B1028" s="1">
        <f t="shared" ca="1" si="65"/>
        <v>45179</v>
      </c>
      <c r="C1028" t="s">
        <v>9</v>
      </c>
      <c r="D1028" t="str">
        <f t="shared" ca="1" si="66"/>
        <v>Clothing</v>
      </c>
      <c r="E1028" t="s">
        <v>69</v>
      </c>
      <c r="F1028" s="11">
        <v>13961</v>
      </c>
      <c r="G1028">
        <f t="shared" ca="1" si="67"/>
        <v>7</v>
      </c>
      <c r="H1028" s="11">
        <f ca="1">IF(Table1[[#This Row],[Category]]="Electronics",Table1[[#This Row],[Sales]]*0.6,
IF(Table1[[#This Row],[Category]]="Furniture",Table1[[#This Row],[Sales]]*0.75,
IF(Table1[[#This Row],[Category]]="Clothing",Table1[[#This Row],[Sales]]*0.65,
Table1[[#This Row],[Sales]]*0.7)))</f>
        <v>9074.65</v>
      </c>
      <c r="I1028" s="11">
        <f ca="1">Table1[[#This Row],[Sales]]-H1028</f>
        <v>4886.3500000000004</v>
      </c>
      <c r="J1028" s="2">
        <f ca="1">Table1[[#This Row],[Profit]]/Table1[[#This Row],[Sales]]</f>
        <v>0.35000000000000003</v>
      </c>
      <c r="K1028" t="str">
        <f ca="1">TEXT(Table1[[#This Row],[Order_Date]],"mmm")</f>
        <v>Sep</v>
      </c>
      <c r="L1028">
        <f ca="1">YEAR(Table1[[#This Row],[Order_Date]])</f>
        <v>2023</v>
      </c>
    </row>
    <row r="1029" spans="1:12" x14ac:dyDescent="0.3">
      <c r="A1029">
        <f t="shared" si="64"/>
        <v>1028</v>
      </c>
      <c r="B1029" s="1">
        <f t="shared" ca="1" si="65"/>
        <v>45065</v>
      </c>
      <c r="C1029" t="s">
        <v>10</v>
      </c>
      <c r="D1029" t="str">
        <f t="shared" ca="1" si="66"/>
        <v>Office Supplies</v>
      </c>
      <c r="E1029" t="s">
        <v>61</v>
      </c>
      <c r="F1029" s="11">
        <v>2173</v>
      </c>
      <c r="G1029">
        <f t="shared" ca="1" si="67"/>
        <v>7</v>
      </c>
      <c r="H1029" s="11">
        <f ca="1">IF(Table1[[#This Row],[Category]]="Electronics",Table1[[#This Row],[Sales]]*0.6,
IF(Table1[[#This Row],[Category]]="Furniture",Table1[[#This Row],[Sales]]*0.75,
IF(Table1[[#This Row],[Category]]="Clothing",Table1[[#This Row],[Sales]]*0.65,
Table1[[#This Row],[Sales]]*0.7)))</f>
        <v>1521.1</v>
      </c>
      <c r="I1029" s="11">
        <f ca="1">Table1[[#This Row],[Sales]]-H1029</f>
        <v>651.90000000000009</v>
      </c>
      <c r="J1029" s="2">
        <f ca="1">Table1[[#This Row],[Profit]]/Table1[[#This Row],[Sales]]</f>
        <v>0.30000000000000004</v>
      </c>
      <c r="K1029" t="str">
        <f ca="1">TEXT(Table1[[#This Row],[Order_Date]],"mmm")</f>
        <v>May</v>
      </c>
      <c r="L1029">
        <f ca="1">YEAR(Table1[[#This Row],[Order_Date]])</f>
        <v>2023</v>
      </c>
    </row>
    <row r="1030" spans="1:12" x14ac:dyDescent="0.3">
      <c r="A1030">
        <f t="shared" si="64"/>
        <v>1029</v>
      </c>
      <c r="B1030" s="1">
        <f t="shared" ca="1" si="65"/>
        <v>45109</v>
      </c>
      <c r="C1030" t="s">
        <v>7</v>
      </c>
      <c r="D1030" t="str">
        <f t="shared" ca="1" si="66"/>
        <v>Furniture</v>
      </c>
      <c r="E1030" t="s">
        <v>60</v>
      </c>
      <c r="F1030" s="11">
        <v>13898</v>
      </c>
      <c r="G1030">
        <f t="shared" ca="1" si="67"/>
        <v>6</v>
      </c>
      <c r="H1030" s="11">
        <f ca="1">IF(Table1[[#This Row],[Category]]="Electronics",Table1[[#This Row],[Sales]]*0.6,
IF(Table1[[#This Row],[Category]]="Furniture",Table1[[#This Row],[Sales]]*0.75,
IF(Table1[[#This Row],[Category]]="Clothing",Table1[[#This Row],[Sales]]*0.65,
Table1[[#This Row],[Sales]]*0.7)))</f>
        <v>10423.5</v>
      </c>
      <c r="I1030" s="11">
        <f ca="1">Table1[[#This Row],[Sales]]-H1030</f>
        <v>3474.5</v>
      </c>
      <c r="J1030" s="2">
        <f ca="1">Table1[[#This Row],[Profit]]/Table1[[#This Row],[Sales]]</f>
        <v>0.25</v>
      </c>
      <c r="K1030" t="str">
        <f ca="1">TEXT(Table1[[#This Row],[Order_Date]],"mmm")</f>
        <v>Jul</v>
      </c>
      <c r="L1030">
        <f ca="1">YEAR(Table1[[#This Row],[Order_Date]])</f>
        <v>2023</v>
      </c>
    </row>
    <row r="1031" spans="1:12" x14ac:dyDescent="0.3">
      <c r="A1031">
        <f t="shared" si="64"/>
        <v>1030</v>
      </c>
      <c r="B1031" s="1">
        <f t="shared" ca="1" si="65"/>
        <v>44953</v>
      </c>
      <c r="C1031" t="s">
        <v>8</v>
      </c>
      <c r="D1031" t="str">
        <f t="shared" ca="1" si="66"/>
        <v>Office Supplies</v>
      </c>
      <c r="E1031" t="s">
        <v>73</v>
      </c>
      <c r="F1031" s="11">
        <v>5879</v>
      </c>
      <c r="G1031">
        <f t="shared" ca="1" si="67"/>
        <v>7</v>
      </c>
      <c r="H1031" s="11">
        <f ca="1">IF(Table1[[#This Row],[Category]]="Electronics",Table1[[#This Row],[Sales]]*0.6,
IF(Table1[[#This Row],[Category]]="Furniture",Table1[[#This Row],[Sales]]*0.75,
IF(Table1[[#This Row],[Category]]="Clothing",Table1[[#This Row],[Sales]]*0.65,
Table1[[#This Row],[Sales]]*0.7)))</f>
        <v>4115.3</v>
      </c>
      <c r="I1031" s="11">
        <f ca="1">Table1[[#This Row],[Sales]]-H1031</f>
        <v>1763.6999999999998</v>
      </c>
      <c r="J1031" s="2">
        <f ca="1">Table1[[#This Row],[Profit]]/Table1[[#This Row],[Sales]]</f>
        <v>0.3</v>
      </c>
      <c r="K1031" t="str">
        <f ca="1">TEXT(Table1[[#This Row],[Order_Date]],"mmm")</f>
        <v>Jan</v>
      </c>
      <c r="L1031">
        <f ca="1">YEAR(Table1[[#This Row],[Order_Date]])</f>
        <v>2023</v>
      </c>
    </row>
    <row r="1032" spans="1:12" x14ac:dyDescent="0.3">
      <c r="A1032">
        <f t="shared" si="64"/>
        <v>1031</v>
      </c>
      <c r="B1032" s="1">
        <f t="shared" ca="1" si="65"/>
        <v>45026</v>
      </c>
      <c r="C1032" t="s">
        <v>9</v>
      </c>
      <c r="D1032" t="str">
        <f t="shared" ca="1" si="66"/>
        <v>Office Supplies</v>
      </c>
      <c r="E1032" t="s">
        <v>41</v>
      </c>
      <c r="F1032" s="11">
        <v>10303</v>
      </c>
      <c r="G1032">
        <f t="shared" ca="1" si="67"/>
        <v>3</v>
      </c>
      <c r="H1032" s="11">
        <f ca="1">IF(Table1[[#This Row],[Category]]="Electronics",Table1[[#This Row],[Sales]]*0.6,
IF(Table1[[#This Row],[Category]]="Furniture",Table1[[#This Row],[Sales]]*0.75,
IF(Table1[[#This Row],[Category]]="Clothing",Table1[[#This Row],[Sales]]*0.65,
Table1[[#This Row],[Sales]]*0.7)))</f>
        <v>7212.0999999999995</v>
      </c>
      <c r="I1032" s="11">
        <f ca="1">Table1[[#This Row],[Sales]]-H1032</f>
        <v>3090.9000000000005</v>
      </c>
      <c r="J1032" s="2">
        <f ca="1">Table1[[#This Row],[Profit]]/Table1[[#This Row],[Sales]]</f>
        <v>0.30000000000000004</v>
      </c>
      <c r="K1032" t="str">
        <f ca="1">TEXT(Table1[[#This Row],[Order_Date]],"mmm")</f>
        <v>Apr</v>
      </c>
      <c r="L1032">
        <f ca="1">YEAR(Table1[[#This Row],[Order_Date]])</f>
        <v>2023</v>
      </c>
    </row>
    <row r="1033" spans="1:12" x14ac:dyDescent="0.3">
      <c r="A1033">
        <f t="shared" si="64"/>
        <v>1032</v>
      </c>
      <c r="B1033" s="1">
        <f t="shared" ca="1" si="65"/>
        <v>44996</v>
      </c>
      <c r="C1033" t="s">
        <v>10</v>
      </c>
      <c r="D1033" t="str">
        <f t="shared" ca="1" si="66"/>
        <v>Furniture</v>
      </c>
      <c r="E1033" t="s">
        <v>84</v>
      </c>
      <c r="F1033" s="11">
        <v>6567</v>
      </c>
      <c r="G1033">
        <f t="shared" ca="1" si="67"/>
        <v>3</v>
      </c>
      <c r="H1033" s="11">
        <f ca="1">IF(Table1[[#This Row],[Category]]="Electronics",Table1[[#This Row],[Sales]]*0.6,
IF(Table1[[#This Row],[Category]]="Furniture",Table1[[#This Row],[Sales]]*0.75,
IF(Table1[[#This Row],[Category]]="Clothing",Table1[[#This Row],[Sales]]*0.65,
Table1[[#This Row],[Sales]]*0.7)))</f>
        <v>4925.25</v>
      </c>
      <c r="I1033" s="11">
        <f ca="1">Table1[[#This Row],[Sales]]-H1033</f>
        <v>1641.75</v>
      </c>
      <c r="J1033" s="2">
        <f ca="1">Table1[[#This Row],[Profit]]/Table1[[#This Row],[Sales]]</f>
        <v>0.25</v>
      </c>
      <c r="K1033" t="str">
        <f ca="1">TEXT(Table1[[#This Row],[Order_Date]],"mmm")</f>
        <v>Mar</v>
      </c>
      <c r="L1033">
        <f ca="1">YEAR(Table1[[#This Row],[Order_Date]])</f>
        <v>2023</v>
      </c>
    </row>
    <row r="1034" spans="1:12" x14ac:dyDescent="0.3">
      <c r="A1034">
        <f t="shared" si="64"/>
        <v>1033</v>
      </c>
      <c r="B1034" s="1">
        <f t="shared" ca="1" si="65"/>
        <v>45104</v>
      </c>
      <c r="C1034" t="s">
        <v>7</v>
      </c>
      <c r="D1034" t="str">
        <f t="shared" ca="1" si="66"/>
        <v>Office Supplies</v>
      </c>
      <c r="E1034" t="s">
        <v>42</v>
      </c>
      <c r="F1034" s="11">
        <v>2848</v>
      </c>
      <c r="G1034">
        <f t="shared" ca="1" si="67"/>
        <v>1</v>
      </c>
      <c r="H1034" s="11">
        <f ca="1">IF(Table1[[#This Row],[Category]]="Electronics",Table1[[#This Row],[Sales]]*0.6,
IF(Table1[[#This Row],[Category]]="Furniture",Table1[[#This Row],[Sales]]*0.75,
IF(Table1[[#This Row],[Category]]="Clothing",Table1[[#This Row],[Sales]]*0.65,
Table1[[#This Row],[Sales]]*0.7)))</f>
        <v>1993.6</v>
      </c>
      <c r="I1034" s="11">
        <f ca="1">Table1[[#This Row],[Sales]]-H1034</f>
        <v>854.40000000000009</v>
      </c>
      <c r="J1034" s="2">
        <f ca="1">Table1[[#This Row],[Profit]]/Table1[[#This Row],[Sales]]</f>
        <v>0.30000000000000004</v>
      </c>
      <c r="K1034" t="str">
        <f ca="1">TEXT(Table1[[#This Row],[Order_Date]],"mmm")</f>
        <v>Jun</v>
      </c>
      <c r="L1034">
        <f ca="1">YEAR(Table1[[#This Row],[Order_Date]])</f>
        <v>2023</v>
      </c>
    </row>
    <row r="1035" spans="1:12" x14ac:dyDescent="0.3">
      <c r="A1035">
        <f t="shared" si="64"/>
        <v>1034</v>
      </c>
      <c r="B1035" s="1">
        <f t="shared" ca="1" si="65"/>
        <v>45093</v>
      </c>
      <c r="C1035" t="s">
        <v>8</v>
      </c>
      <c r="D1035" t="str">
        <f t="shared" ca="1" si="66"/>
        <v>Office Supplies</v>
      </c>
      <c r="E1035" t="s">
        <v>42</v>
      </c>
      <c r="F1035" s="11">
        <v>14334</v>
      </c>
      <c r="G1035">
        <f t="shared" ca="1" si="67"/>
        <v>2</v>
      </c>
      <c r="H1035" s="11">
        <f ca="1">IF(Table1[[#This Row],[Category]]="Electronics",Table1[[#This Row],[Sales]]*0.6,
IF(Table1[[#This Row],[Category]]="Furniture",Table1[[#This Row],[Sales]]*0.75,
IF(Table1[[#This Row],[Category]]="Clothing",Table1[[#This Row],[Sales]]*0.65,
Table1[[#This Row],[Sales]]*0.7)))</f>
        <v>10033.799999999999</v>
      </c>
      <c r="I1035" s="11">
        <f ca="1">Table1[[#This Row],[Sales]]-H1035</f>
        <v>4300.2000000000007</v>
      </c>
      <c r="J1035" s="2">
        <f ca="1">Table1[[#This Row],[Profit]]/Table1[[#This Row],[Sales]]</f>
        <v>0.30000000000000004</v>
      </c>
      <c r="K1035" t="str">
        <f ca="1">TEXT(Table1[[#This Row],[Order_Date]],"mmm")</f>
        <v>Jun</v>
      </c>
      <c r="L1035">
        <f ca="1">YEAR(Table1[[#This Row],[Order_Date]])</f>
        <v>2023</v>
      </c>
    </row>
    <row r="1036" spans="1:12" x14ac:dyDescent="0.3">
      <c r="A1036">
        <f t="shared" si="64"/>
        <v>1035</v>
      </c>
      <c r="B1036" s="1">
        <f t="shared" ca="1" si="65"/>
        <v>45141</v>
      </c>
      <c r="C1036" t="s">
        <v>9</v>
      </c>
      <c r="D1036" t="str">
        <f t="shared" ca="1" si="66"/>
        <v>Clothing</v>
      </c>
      <c r="E1036" t="s">
        <v>80</v>
      </c>
      <c r="F1036" s="11">
        <v>2734</v>
      </c>
      <c r="G1036">
        <f t="shared" ca="1" si="67"/>
        <v>6</v>
      </c>
      <c r="H1036" s="11">
        <f ca="1">IF(Table1[[#This Row],[Category]]="Electronics",Table1[[#This Row],[Sales]]*0.6,
IF(Table1[[#This Row],[Category]]="Furniture",Table1[[#This Row],[Sales]]*0.75,
IF(Table1[[#This Row],[Category]]="Clothing",Table1[[#This Row],[Sales]]*0.65,
Table1[[#This Row],[Sales]]*0.7)))</f>
        <v>1777.1000000000001</v>
      </c>
      <c r="I1036" s="11">
        <f ca="1">Table1[[#This Row],[Sales]]-H1036</f>
        <v>956.89999999999986</v>
      </c>
      <c r="J1036" s="2">
        <f ca="1">Table1[[#This Row],[Profit]]/Table1[[#This Row],[Sales]]</f>
        <v>0.35</v>
      </c>
      <c r="K1036" t="str">
        <f ca="1">TEXT(Table1[[#This Row],[Order_Date]],"mmm")</f>
        <v>Aug</v>
      </c>
      <c r="L1036">
        <f ca="1">YEAR(Table1[[#This Row],[Order_Date]])</f>
        <v>2023</v>
      </c>
    </row>
    <row r="1037" spans="1:12" x14ac:dyDescent="0.3">
      <c r="A1037">
        <f t="shared" si="64"/>
        <v>1036</v>
      </c>
      <c r="B1037" s="1">
        <f t="shared" ca="1" si="65"/>
        <v>45120</v>
      </c>
      <c r="C1037" t="s">
        <v>10</v>
      </c>
      <c r="D1037" t="str">
        <f t="shared" ca="1" si="66"/>
        <v>Clothing</v>
      </c>
      <c r="E1037" t="s">
        <v>66</v>
      </c>
      <c r="F1037" s="11">
        <v>9468</v>
      </c>
      <c r="G1037">
        <f t="shared" ca="1" si="67"/>
        <v>5</v>
      </c>
      <c r="H1037" s="11">
        <f ca="1">IF(Table1[[#This Row],[Category]]="Electronics",Table1[[#This Row],[Sales]]*0.6,
IF(Table1[[#This Row],[Category]]="Furniture",Table1[[#This Row],[Sales]]*0.75,
IF(Table1[[#This Row],[Category]]="Clothing",Table1[[#This Row],[Sales]]*0.65,
Table1[[#This Row],[Sales]]*0.7)))</f>
        <v>6154.2</v>
      </c>
      <c r="I1037" s="11">
        <f ca="1">Table1[[#This Row],[Sales]]-H1037</f>
        <v>3313.8</v>
      </c>
      <c r="J1037" s="2">
        <f ca="1">Table1[[#This Row],[Profit]]/Table1[[#This Row],[Sales]]</f>
        <v>0.35000000000000003</v>
      </c>
      <c r="K1037" t="str">
        <f ca="1">TEXT(Table1[[#This Row],[Order_Date]],"mmm")</f>
        <v>Jul</v>
      </c>
      <c r="L1037">
        <f ca="1">YEAR(Table1[[#This Row],[Order_Date]])</f>
        <v>2023</v>
      </c>
    </row>
    <row r="1038" spans="1:12" x14ac:dyDescent="0.3">
      <c r="A1038">
        <f t="shared" si="64"/>
        <v>1037</v>
      </c>
      <c r="B1038" s="1">
        <f t="shared" ca="1" si="65"/>
        <v>45254</v>
      </c>
      <c r="C1038" t="s">
        <v>7</v>
      </c>
      <c r="D1038" t="str">
        <f t="shared" ca="1" si="66"/>
        <v>Office Supplies</v>
      </c>
      <c r="E1038" t="s">
        <v>83</v>
      </c>
      <c r="F1038" s="11">
        <v>14791</v>
      </c>
      <c r="G1038">
        <f t="shared" ca="1" si="67"/>
        <v>1</v>
      </c>
      <c r="H1038" s="11">
        <f ca="1">IF(Table1[[#This Row],[Category]]="Electronics",Table1[[#This Row],[Sales]]*0.6,
IF(Table1[[#This Row],[Category]]="Furniture",Table1[[#This Row],[Sales]]*0.75,
IF(Table1[[#This Row],[Category]]="Clothing",Table1[[#This Row],[Sales]]*0.65,
Table1[[#This Row],[Sales]]*0.7)))</f>
        <v>10353.699999999999</v>
      </c>
      <c r="I1038" s="11">
        <f ca="1">Table1[[#This Row],[Sales]]-H1038</f>
        <v>4437.3000000000011</v>
      </c>
      <c r="J1038" s="2">
        <f ca="1">Table1[[#This Row],[Profit]]/Table1[[#This Row],[Sales]]</f>
        <v>0.3000000000000001</v>
      </c>
      <c r="K1038" t="str">
        <f ca="1">TEXT(Table1[[#This Row],[Order_Date]],"mmm")</f>
        <v>Nov</v>
      </c>
      <c r="L1038">
        <f ca="1">YEAR(Table1[[#This Row],[Order_Date]])</f>
        <v>2023</v>
      </c>
    </row>
    <row r="1039" spans="1:12" x14ac:dyDescent="0.3">
      <c r="A1039">
        <f t="shared" si="64"/>
        <v>1038</v>
      </c>
      <c r="B1039" s="1">
        <f t="shared" ca="1" si="65"/>
        <v>45044</v>
      </c>
      <c r="C1039" t="s">
        <v>8</v>
      </c>
      <c r="D1039" t="str">
        <f t="shared" ca="1" si="66"/>
        <v>Electronics</v>
      </c>
      <c r="E1039" t="s">
        <v>62</v>
      </c>
      <c r="F1039" s="11">
        <v>13222</v>
      </c>
      <c r="G1039">
        <f t="shared" ca="1" si="67"/>
        <v>3</v>
      </c>
      <c r="H1039" s="11">
        <f ca="1">IF(Table1[[#This Row],[Category]]="Electronics",Table1[[#This Row],[Sales]]*0.6,
IF(Table1[[#This Row],[Category]]="Furniture",Table1[[#This Row],[Sales]]*0.75,
IF(Table1[[#This Row],[Category]]="Clothing",Table1[[#This Row],[Sales]]*0.65,
Table1[[#This Row],[Sales]]*0.7)))</f>
        <v>7933.2</v>
      </c>
      <c r="I1039" s="11">
        <f ca="1">Table1[[#This Row],[Sales]]-H1039</f>
        <v>5288.8</v>
      </c>
      <c r="J1039" s="2">
        <f ca="1">Table1[[#This Row],[Profit]]/Table1[[#This Row],[Sales]]</f>
        <v>0.4</v>
      </c>
      <c r="K1039" t="str">
        <f ca="1">TEXT(Table1[[#This Row],[Order_Date]],"mmm")</f>
        <v>Apr</v>
      </c>
      <c r="L1039">
        <f ca="1">YEAR(Table1[[#This Row],[Order_Date]])</f>
        <v>2023</v>
      </c>
    </row>
    <row r="1040" spans="1:12" x14ac:dyDescent="0.3">
      <c r="A1040">
        <f t="shared" si="64"/>
        <v>1039</v>
      </c>
      <c r="B1040" s="1">
        <f t="shared" ca="1" si="65"/>
        <v>45225</v>
      </c>
      <c r="C1040" t="s">
        <v>9</v>
      </c>
      <c r="D1040" t="str">
        <f t="shared" ca="1" si="66"/>
        <v>Clothing</v>
      </c>
      <c r="E1040" t="s">
        <v>68</v>
      </c>
      <c r="F1040" s="11">
        <v>8271</v>
      </c>
      <c r="G1040">
        <f t="shared" ca="1" si="67"/>
        <v>10</v>
      </c>
      <c r="H1040" s="11">
        <f ca="1">IF(Table1[[#This Row],[Category]]="Electronics",Table1[[#This Row],[Sales]]*0.6,
IF(Table1[[#This Row],[Category]]="Furniture",Table1[[#This Row],[Sales]]*0.75,
IF(Table1[[#This Row],[Category]]="Clothing",Table1[[#This Row],[Sales]]*0.65,
Table1[[#This Row],[Sales]]*0.7)))</f>
        <v>5376.1500000000005</v>
      </c>
      <c r="I1040" s="11">
        <f ca="1">Table1[[#This Row],[Sales]]-H1040</f>
        <v>2894.8499999999995</v>
      </c>
      <c r="J1040" s="2">
        <f ca="1">Table1[[#This Row],[Profit]]/Table1[[#This Row],[Sales]]</f>
        <v>0.34999999999999992</v>
      </c>
      <c r="K1040" t="str">
        <f ca="1">TEXT(Table1[[#This Row],[Order_Date]],"mmm")</f>
        <v>Oct</v>
      </c>
      <c r="L1040">
        <f ca="1">YEAR(Table1[[#This Row],[Order_Date]])</f>
        <v>2023</v>
      </c>
    </row>
    <row r="1041" spans="1:12" x14ac:dyDescent="0.3">
      <c r="A1041">
        <f t="shared" si="64"/>
        <v>1040</v>
      </c>
      <c r="B1041" s="1">
        <f t="shared" ca="1" si="65"/>
        <v>45066</v>
      </c>
      <c r="C1041" t="s">
        <v>10</v>
      </c>
      <c r="D1041" t="str">
        <f t="shared" ca="1" si="66"/>
        <v>Office Supplies</v>
      </c>
      <c r="E1041" t="s">
        <v>80</v>
      </c>
      <c r="F1041" s="11">
        <v>15056</v>
      </c>
      <c r="G1041">
        <f t="shared" ca="1" si="67"/>
        <v>3</v>
      </c>
      <c r="H1041" s="11">
        <f ca="1">IF(Table1[[#This Row],[Category]]="Electronics",Table1[[#This Row],[Sales]]*0.6,
IF(Table1[[#This Row],[Category]]="Furniture",Table1[[#This Row],[Sales]]*0.75,
IF(Table1[[#This Row],[Category]]="Clothing",Table1[[#This Row],[Sales]]*0.65,
Table1[[#This Row],[Sales]]*0.7)))</f>
        <v>10539.199999999999</v>
      </c>
      <c r="I1041" s="11">
        <f ca="1">Table1[[#This Row],[Sales]]-H1041</f>
        <v>4516.8000000000011</v>
      </c>
      <c r="J1041" s="2">
        <f ca="1">Table1[[#This Row],[Profit]]/Table1[[#This Row],[Sales]]</f>
        <v>0.3000000000000001</v>
      </c>
      <c r="K1041" t="str">
        <f ca="1">TEXT(Table1[[#This Row],[Order_Date]],"mmm")</f>
        <v>May</v>
      </c>
      <c r="L1041">
        <f ca="1">YEAR(Table1[[#This Row],[Order_Date]])</f>
        <v>2023</v>
      </c>
    </row>
    <row r="1042" spans="1:12" x14ac:dyDescent="0.3">
      <c r="A1042">
        <f t="shared" si="64"/>
        <v>1041</v>
      </c>
      <c r="B1042" s="1">
        <f t="shared" ca="1" si="65"/>
        <v>45036</v>
      </c>
      <c r="C1042" t="s">
        <v>7</v>
      </c>
      <c r="D1042" t="str">
        <f t="shared" ca="1" si="66"/>
        <v>Electronics</v>
      </c>
      <c r="E1042" t="s">
        <v>43</v>
      </c>
      <c r="F1042" s="11">
        <v>8951</v>
      </c>
      <c r="G1042">
        <f t="shared" ca="1" si="67"/>
        <v>8</v>
      </c>
      <c r="H1042" s="11">
        <f ca="1">IF(Table1[[#This Row],[Category]]="Electronics",Table1[[#This Row],[Sales]]*0.6,
IF(Table1[[#This Row],[Category]]="Furniture",Table1[[#This Row],[Sales]]*0.75,
IF(Table1[[#This Row],[Category]]="Clothing",Table1[[#This Row],[Sales]]*0.65,
Table1[[#This Row],[Sales]]*0.7)))</f>
        <v>5370.5999999999995</v>
      </c>
      <c r="I1042" s="11">
        <f ca="1">Table1[[#This Row],[Sales]]-H1042</f>
        <v>3580.4000000000005</v>
      </c>
      <c r="J1042" s="2">
        <f ca="1">Table1[[#This Row],[Profit]]/Table1[[#This Row],[Sales]]</f>
        <v>0.40000000000000008</v>
      </c>
      <c r="K1042" t="str">
        <f ca="1">TEXT(Table1[[#This Row],[Order_Date]],"mmm")</f>
        <v>Apr</v>
      </c>
      <c r="L1042">
        <f ca="1">YEAR(Table1[[#This Row],[Order_Date]])</f>
        <v>2023</v>
      </c>
    </row>
    <row r="1043" spans="1:12" x14ac:dyDescent="0.3">
      <c r="A1043">
        <f t="shared" si="64"/>
        <v>1042</v>
      </c>
      <c r="B1043" s="1">
        <f t="shared" ca="1" si="65"/>
        <v>45112</v>
      </c>
      <c r="C1043" t="s">
        <v>8</v>
      </c>
      <c r="D1043" t="str">
        <f t="shared" ca="1" si="66"/>
        <v>Clothing</v>
      </c>
      <c r="E1043" t="s">
        <v>82</v>
      </c>
      <c r="F1043" s="11">
        <v>12269</v>
      </c>
      <c r="G1043">
        <f t="shared" ca="1" si="67"/>
        <v>9</v>
      </c>
      <c r="H1043" s="11">
        <f ca="1">IF(Table1[[#This Row],[Category]]="Electronics",Table1[[#This Row],[Sales]]*0.6,
IF(Table1[[#This Row],[Category]]="Furniture",Table1[[#This Row],[Sales]]*0.75,
IF(Table1[[#This Row],[Category]]="Clothing",Table1[[#This Row],[Sales]]*0.65,
Table1[[#This Row],[Sales]]*0.7)))</f>
        <v>7974.85</v>
      </c>
      <c r="I1043" s="11">
        <f ca="1">Table1[[#This Row],[Sales]]-H1043</f>
        <v>4294.1499999999996</v>
      </c>
      <c r="J1043" s="2">
        <f ca="1">Table1[[#This Row],[Profit]]/Table1[[#This Row],[Sales]]</f>
        <v>0.35</v>
      </c>
      <c r="K1043" t="str">
        <f ca="1">TEXT(Table1[[#This Row],[Order_Date]],"mmm")</f>
        <v>Jul</v>
      </c>
      <c r="L1043">
        <f ca="1">YEAR(Table1[[#This Row],[Order_Date]])</f>
        <v>2023</v>
      </c>
    </row>
    <row r="1044" spans="1:12" x14ac:dyDescent="0.3">
      <c r="A1044">
        <f t="shared" si="64"/>
        <v>1043</v>
      </c>
      <c r="B1044" s="1">
        <f t="shared" ca="1" si="65"/>
        <v>45151</v>
      </c>
      <c r="C1044" t="s">
        <v>9</v>
      </c>
      <c r="D1044" t="str">
        <f t="shared" ca="1" si="66"/>
        <v>Furniture</v>
      </c>
      <c r="E1044" t="s">
        <v>50</v>
      </c>
      <c r="F1044" s="11">
        <v>13519</v>
      </c>
      <c r="G1044">
        <f t="shared" ca="1" si="67"/>
        <v>2</v>
      </c>
      <c r="H1044" s="11">
        <f ca="1">IF(Table1[[#This Row],[Category]]="Electronics",Table1[[#This Row],[Sales]]*0.6,
IF(Table1[[#This Row],[Category]]="Furniture",Table1[[#This Row],[Sales]]*0.75,
IF(Table1[[#This Row],[Category]]="Clothing",Table1[[#This Row],[Sales]]*0.65,
Table1[[#This Row],[Sales]]*0.7)))</f>
        <v>10139.25</v>
      </c>
      <c r="I1044" s="11">
        <f ca="1">Table1[[#This Row],[Sales]]-H1044</f>
        <v>3379.75</v>
      </c>
      <c r="J1044" s="2">
        <f ca="1">Table1[[#This Row],[Profit]]/Table1[[#This Row],[Sales]]</f>
        <v>0.25</v>
      </c>
      <c r="K1044" t="str">
        <f ca="1">TEXT(Table1[[#This Row],[Order_Date]],"mmm")</f>
        <v>Aug</v>
      </c>
      <c r="L1044">
        <f ca="1">YEAR(Table1[[#This Row],[Order_Date]])</f>
        <v>2023</v>
      </c>
    </row>
    <row r="1045" spans="1:12" x14ac:dyDescent="0.3">
      <c r="A1045">
        <f t="shared" si="64"/>
        <v>1044</v>
      </c>
      <c r="B1045" s="1">
        <f t="shared" ca="1" si="65"/>
        <v>44971</v>
      </c>
      <c r="C1045" t="s">
        <v>10</v>
      </c>
      <c r="D1045" t="str">
        <f t="shared" ca="1" si="66"/>
        <v>Furniture</v>
      </c>
      <c r="E1045" t="s">
        <v>45</v>
      </c>
      <c r="F1045" s="11">
        <v>12945</v>
      </c>
      <c r="G1045">
        <f t="shared" ca="1" si="67"/>
        <v>2</v>
      </c>
      <c r="H1045" s="11">
        <f ca="1">IF(Table1[[#This Row],[Category]]="Electronics",Table1[[#This Row],[Sales]]*0.6,
IF(Table1[[#This Row],[Category]]="Furniture",Table1[[#This Row],[Sales]]*0.75,
IF(Table1[[#This Row],[Category]]="Clothing",Table1[[#This Row],[Sales]]*0.65,
Table1[[#This Row],[Sales]]*0.7)))</f>
        <v>9708.75</v>
      </c>
      <c r="I1045" s="11">
        <f ca="1">Table1[[#This Row],[Sales]]-H1045</f>
        <v>3236.25</v>
      </c>
      <c r="J1045" s="2">
        <f ca="1">Table1[[#This Row],[Profit]]/Table1[[#This Row],[Sales]]</f>
        <v>0.25</v>
      </c>
      <c r="K1045" t="str">
        <f ca="1">TEXT(Table1[[#This Row],[Order_Date]],"mmm")</f>
        <v>Feb</v>
      </c>
      <c r="L1045">
        <f ca="1">YEAR(Table1[[#This Row],[Order_Date]])</f>
        <v>2023</v>
      </c>
    </row>
    <row r="1046" spans="1:12" x14ac:dyDescent="0.3">
      <c r="A1046">
        <f t="shared" si="64"/>
        <v>1045</v>
      </c>
      <c r="B1046" s="1">
        <f t="shared" ca="1" si="65"/>
        <v>45149</v>
      </c>
      <c r="C1046" t="s">
        <v>7</v>
      </c>
      <c r="D1046" t="str">
        <f t="shared" ca="1" si="66"/>
        <v>Electronics</v>
      </c>
      <c r="E1046" t="s">
        <v>55</v>
      </c>
      <c r="F1046" s="11">
        <v>15595</v>
      </c>
      <c r="G1046">
        <f t="shared" ca="1" si="67"/>
        <v>7</v>
      </c>
      <c r="H1046" s="11">
        <f ca="1">IF(Table1[[#This Row],[Category]]="Electronics",Table1[[#This Row],[Sales]]*0.6,
IF(Table1[[#This Row],[Category]]="Furniture",Table1[[#This Row],[Sales]]*0.75,
IF(Table1[[#This Row],[Category]]="Clothing",Table1[[#This Row],[Sales]]*0.65,
Table1[[#This Row],[Sales]]*0.7)))</f>
        <v>9357</v>
      </c>
      <c r="I1046" s="11">
        <f ca="1">Table1[[#This Row],[Sales]]-H1046</f>
        <v>6238</v>
      </c>
      <c r="J1046" s="2">
        <f ca="1">Table1[[#This Row],[Profit]]/Table1[[#This Row],[Sales]]</f>
        <v>0.4</v>
      </c>
      <c r="K1046" t="str">
        <f ca="1">TEXT(Table1[[#This Row],[Order_Date]],"mmm")</f>
        <v>Aug</v>
      </c>
      <c r="L1046">
        <f ca="1">YEAR(Table1[[#This Row],[Order_Date]])</f>
        <v>2023</v>
      </c>
    </row>
    <row r="1047" spans="1:12" x14ac:dyDescent="0.3">
      <c r="A1047">
        <f t="shared" si="64"/>
        <v>1046</v>
      </c>
      <c r="B1047" s="1">
        <f t="shared" ca="1" si="65"/>
        <v>44976</v>
      </c>
      <c r="C1047" t="s">
        <v>8</v>
      </c>
      <c r="D1047" t="str">
        <f t="shared" ca="1" si="66"/>
        <v>Office Supplies</v>
      </c>
      <c r="E1047" t="s">
        <v>82</v>
      </c>
      <c r="F1047" s="11">
        <v>8737</v>
      </c>
      <c r="G1047">
        <f t="shared" ca="1" si="67"/>
        <v>10</v>
      </c>
      <c r="H1047" s="11">
        <f ca="1">IF(Table1[[#This Row],[Category]]="Electronics",Table1[[#This Row],[Sales]]*0.6,
IF(Table1[[#This Row],[Category]]="Furniture",Table1[[#This Row],[Sales]]*0.75,
IF(Table1[[#This Row],[Category]]="Clothing",Table1[[#This Row],[Sales]]*0.65,
Table1[[#This Row],[Sales]]*0.7)))</f>
        <v>6115.9</v>
      </c>
      <c r="I1047" s="11">
        <f ca="1">Table1[[#This Row],[Sales]]-H1047</f>
        <v>2621.1000000000004</v>
      </c>
      <c r="J1047" s="2">
        <f ca="1">Table1[[#This Row],[Profit]]/Table1[[#This Row],[Sales]]</f>
        <v>0.30000000000000004</v>
      </c>
      <c r="K1047" t="str">
        <f ca="1">TEXT(Table1[[#This Row],[Order_Date]],"mmm")</f>
        <v>Feb</v>
      </c>
      <c r="L1047">
        <f ca="1">YEAR(Table1[[#This Row],[Order_Date]])</f>
        <v>2023</v>
      </c>
    </row>
    <row r="1048" spans="1:12" x14ac:dyDescent="0.3">
      <c r="A1048">
        <f t="shared" si="64"/>
        <v>1047</v>
      </c>
      <c r="B1048" s="1">
        <f t="shared" ca="1" si="65"/>
        <v>45132</v>
      </c>
      <c r="C1048" t="s">
        <v>9</v>
      </c>
      <c r="D1048" t="str">
        <f t="shared" ca="1" si="66"/>
        <v>Furniture</v>
      </c>
      <c r="E1048" t="s">
        <v>62</v>
      </c>
      <c r="F1048" s="11">
        <v>11042</v>
      </c>
      <c r="G1048">
        <f t="shared" ca="1" si="67"/>
        <v>2</v>
      </c>
      <c r="H1048" s="11">
        <f ca="1">IF(Table1[[#This Row],[Category]]="Electronics",Table1[[#This Row],[Sales]]*0.6,
IF(Table1[[#This Row],[Category]]="Furniture",Table1[[#This Row],[Sales]]*0.75,
IF(Table1[[#This Row],[Category]]="Clothing",Table1[[#This Row],[Sales]]*0.65,
Table1[[#This Row],[Sales]]*0.7)))</f>
        <v>8281.5</v>
      </c>
      <c r="I1048" s="11">
        <f ca="1">Table1[[#This Row],[Sales]]-H1048</f>
        <v>2760.5</v>
      </c>
      <c r="J1048" s="2">
        <f ca="1">Table1[[#This Row],[Profit]]/Table1[[#This Row],[Sales]]</f>
        <v>0.25</v>
      </c>
      <c r="K1048" t="str">
        <f ca="1">TEXT(Table1[[#This Row],[Order_Date]],"mmm")</f>
        <v>Jul</v>
      </c>
      <c r="L1048">
        <f ca="1">YEAR(Table1[[#This Row],[Order_Date]])</f>
        <v>2023</v>
      </c>
    </row>
    <row r="1049" spans="1:12" x14ac:dyDescent="0.3">
      <c r="A1049">
        <f t="shared" si="64"/>
        <v>1048</v>
      </c>
      <c r="B1049" s="1">
        <f t="shared" ca="1" si="65"/>
        <v>45078</v>
      </c>
      <c r="C1049" t="s">
        <v>10</v>
      </c>
      <c r="D1049" t="str">
        <f t="shared" ca="1" si="66"/>
        <v>Office Supplies</v>
      </c>
      <c r="E1049" t="s">
        <v>55</v>
      </c>
      <c r="F1049" s="11">
        <v>3451</v>
      </c>
      <c r="G1049">
        <f t="shared" ca="1" si="67"/>
        <v>8</v>
      </c>
      <c r="H1049" s="11">
        <f ca="1">IF(Table1[[#This Row],[Category]]="Electronics",Table1[[#This Row],[Sales]]*0.6,
IF(Table1[[#This Row],[Category]]="Furniture",Table1[[#This Row],[Sales]]*0.75,
IF(Table1[[#This Row],[Category]]="Clothing",Table1[[#This Row],[Sales]]*0.65,
Table1[[#This Row],[Sales]]*0.7)))</f>
        <v>2415.6999999999998</v>
      </c>
      <c r="I1049" s="11">
        <f ca="1">Table1[[#This Row],[Sales]]-H1049</f>
        <v>1035.3000000000002</v>
      </c>
      <c r="J1049" s="2">
        <f ca="1">Table1[[#This Row],[Profit]]/Table1[[#This Row],[Sales]]</f>
        <v>0.30000000000000004</v>
      </c>
      <c r="K1049" t="str">
        <f ca="1">TEXT(Table1[[#This Row],[Order_Date]],"mmm")</f>
        <v>Jun</v>
      </c>
      <c r="L1049">
        <f ca="1">YEAR(Table1[[#This Row],[Order_Date]])</f>
        <v>2023</v>
      </c>
    </row>
    <row r="1050" spans="1:12" x14ac:dyDescent="0.3">
      <c r="A1050">
        <f t="shared" si="64"/>
        <v>1049</v>
      </c>
      <c r="B1050" s="1">
        <f t="shared" ca="1" si="65"/>
        <v>44989</v>
      </c>
      <c r="C1050" t="s">
        <v>7</v>
      </c>
      <c r="D1050" t="str">
        <f t="shared" ca="1" si="66"/>
        <v>Office Supplies</v>
      </c>
      <c r="E1050" t="s">
        <v>41</v>
      </c>
      <c r="F1050" s="11">
        <v>4157</v>
      </c>
      <c r="G1050">
        <f t="shared" ca="1" si="67"/>
        <v>7</v>
      </c>
      <c r="H1050" s="11">
        <f ca="1">IF(Table1[[#This Row],[Category]]="Electronics",Table1[[#This Row],[Sales]]*0.6,
IF(Table1[[#This Row],[Category]]="Furniture",Table1[[#This Row],[Sales]]*0.75,
IF(Table1[[#This Row],[Category]]="Clothing",Table1[[#This Row],[Sales]]*0.65,
Table1[[#This Row],[Sales]]*0.7)))</f>
        <v>2909.8999999999996</v>
      </c>
      <c r="I1050" s="11">
        <f ca="1">Table1[[#This Row],[Sales]]-H1050</f>
        <v>1247.1000000000004</v>
      </c>
      <c r="J1050" s="2">
        <f ca="1">Table1[[#This Row],[Profit]]/Table1[[#This Row],[Sales]]</f>
        <v>0.3000000000000001</v>
      </c>
      <c r="K1050" t="str">
        <f ca="1">TEXT(Table1[[#This Row],[Order_Date]],"mmm")</f>
        <v>Mar</v>
      </c>
      <c r="L1050">
        <f ca="1">YEAR(Table1[[#This Row],[Order_Date]])</f>
        <v>2023</v>
      </c>
    </row>
    <row r="1051" spans="1:12" x14ac:dyDescent="0.3">
      <c r="A1051">
        <f t="shared" si="64"/>
        <v>1050</v>
      </c>
      <c r="B1051" s="1">
        <f t="shared" ca="1" si="65"/>
        <v>45185</v>
      </c>
      <c r="C1051" t="s">
        <v>8</v>
      </c>
      <c r="D1051" t="str">
        <f t="shared" ca="1" si="66"/>
        <v>Clothing</v>
      </c>
      <c r="E1051" t="s">
        <v>43</v>
      </c>
      <c r="F1051" s="11">
        <v>15802</v>
      </c>
      <c r="G1051">
        <f t="shared" ca="1" si="67"/>
        <v>4</v>
      </c>
      <c r="H1051" s="11">
        <f ca="1">IF(Table1[[#This Row],[Category]]="Electronics",Table1[[#This Row],[Sales]]*0.6,
IF(Table1[[#This Row],[Category]]="Furniture",Table1[[#This Row],[Sales]]*0.75,
IF(Table1[[#This Row],[Category]]="Clothing",Table1[[#This Row],[Sales]]*0.65,
Table1[[#This Row],[Sales]]*0.7)))</f>
        <v>10271.300000000001</v>
      </c>
      <c r="I1051" s="11">
        <f ca="1">Table1[[#This Row],[Sales]]-H1051</f>
        <v>5530.6999999999989</v>
      </c>
      <c r="J1051" s="2">
        <f ca="1">Table1[[#This Row],[Profit]]/Table1[[#This Row],[Sales]]</f>
        <v>0.34999999999999992</v>
      </c>
      <c r="K1051" t="str">
        <f ca="1">TEXT(Table1[[#This Row],[Order_Date]],"mmm")</f>
        <v>Sep</v>
      </c>
      <c r="L1051">
        <f ca="1">YEAR(Table1[[#This Row],[Order_Date]])</f>
        <v>2023</v>
      </c>
    </row>
    <row r="1052" spans="1:12" x14ac:dyDescent="0.3">
      <c r="A1052">
        <f t="shared" si="64"/>
        <v>1051</v>
      </c>
      <c r="B1052" s="1">
        <f t="shared" ca="1" si="65"/>
        <v>45246</v>
      </c>
      <c r="C1052" t="s">
        <v>9</v>
      </c>
      <c r="D1052" t="str">
        <f t="shared" ca="1" si="66"/>
        <v>Electronics</v>
      </c>
      <c r="E1052" t="s">
        <v>85</v>
      </c>
      <c r="F1052" s="11">
        <v>11312</v>
      </c>
      <c r="G1052">
        <f t="shared" ca="1" si="67"/>
        <v>7</v>
      </c>
      <c r="H1052" s="11">
        <f ca="1">IF(Table1[[#This Row],[Category]]="Electronics",Table1[[#This Row],[Sales]]*0.6,
IF(Table1[[#This Row],[Category]]="Furniture",Table1[[#This Row],[Sales]]*0.75,
IF(Table1[[#This Row],[Category]]="Clothing",Table1[[#This Row],[Sales]]*0.65,
Table1[[#This Row],[Sales]]*0.7)))</f>
        <v>6787.2</v>
      </c>
      <c r="I1052" s="11">
        <f ca="1">Table1[[#This Row],[Sales]]-H1052</f>
        <v>4524.8</v>
      </c>
      <c r="J1052" s="2">
        <f ca="1">Table1[[#This Row],[Profit]]/Table1[[#This Row],[Sales]]</f>
        <v>0.4</v>
      </c>
      <c r="K1052" t="str">
        <f ca="1">TEXT(Table1[[#This Row],[Order_Date]],"mmm")</f>
        <v>Nov</v>
      </c>
      <c r="L1052">
        <f ca="1">YEAR(Table1[[#This Row],[Order_Date]])</f>
        <v>2023</v>
      </c>
    </row>
    <row r="1053" spans="1:12" x14ac:dyDescent="0.3">
      <c r="A1053">
        <f t="shared" si="64"/>
        <v>1052</v>
      </c>
      <c r="B1053" s="1">
        <f t="shared" ca="1" si="65"/>
        <v>45218</v>
      </c>
      <c r="C1053" t="s">
        <v>10</v>
      </c>
      <c r="D1053" t="str">
        <f t="shared" ca="1" si="66"/>
        <v>Electronics</v>
      </c>
      <c r="E1053" t="s">
        <v>83</v>
      </c>
      <c r="F1053" s="11">
        <v>5979</v>
      </c>
      <c r="G1053">
        <f t="shared" ca="1" si="67"/>
        <v>1</v>
      </c>
      <c r="H1053" s="11">
        <f ca="1">IF(Table1[[#This Row],[Category]]="Electronics",Table1[[#This Row],[Sales]]*0.6,
IF(Table1[[#This Row],[Category]]="Furniture",Table1[[#This Row],[Sales]]*0.75,
IF(Table1[[#This Row],[Category]]="Clothing",Table1[[#This Row],[Sales]]*0.65,
Table1[[#This Row],[Sales]]*0.7)))</f>
        <v>3587.4</v>
      </c>
      <c r="I1053" s="11">
        <f ca="1">Table1[[#This Row],[Sales]]-H1053</f>
        <v>2391.6</v>
      </c>
      <c r="J1053" s="2">
        <f ca="1">Table1[[#This Row],[Profit]]/Table1[[#This Row],[Sales]]</f>
        <v>0.39999999999999997</v>
      </c>
      <c r="K1053" t="str">
        <f ca="1">TEXT(Table1[[#This Row],[Order_Date]],"mmm")</f>
        <v>Oct</v>
      </c>
      <c r="L1053">
        <f ca="1">YEAR(Table1[[#This Row],[Order_Date]])</f>
        <v>2023</v>
      </c>
    </row>
    <row r="1054" spans="1:12" x14ac:dyDescent="0.3">
      <c r="A1054">
        <f t="shared" si="64"/>
        <v>1053</v>
      </c>
      <c r="B1054" s="1">
        <f t="shared" ca="1" si="65"/>
        <v>45202</v>
      </c>
      <c r="C1054" t="s">
        <v>7</v>
      </c>
      <c r="D1054" t="str">
        <f t="shared" ca="1" si="66"/>
        <v>Office Supplies</v>
      </c>
      <c r="E1054" t="s">
        <v>68</v>
      </c>
      <c r="F1054" s="11">
        <v>5859</v>
      </c>
      <c r="G1054">
        <f t="shared" ca="1" si="67"/>
        <v>6</v>
      </c>
      <c r="H1054" s="11">
        <f ca="1">IF(Table1[[#This Row],[Category]]="Electronics",Table1[[#This Row],[Sales]]*0.6,
IF(Table1[[#This Row],[Category]]="Furniture",Table1[[#This Row],[Sales]]*0.75,
IF(Table1[[#This Row],[Category]]="Clothing",Table1[[#This Row],[Sales]]*0.65,
Table1[[#This Row],[Sales]]*0.7)))</f>
        <v>4101.3</v>
      </c>
      <c r="I1054" s="11">
        <f ca="1">Table1[[#This Row],[Sales]]-H1054</f>
        <v>1757.6999999999998</v>
      </c>
      <c r="J1054" s="2">
        <f ca="1">Table1[[#This Row],[Profit]]/Table1[[#This Row],[Sales]]</f>
        <v>0.3</v>
      </c>
      <c r="K1054" t="str">
        <f ca="1">TEXT(Table1[[#This Row],[Order_Date]],"mmm")</f>
        <v>Oct</v>
      </c>
      <c r="L1054">
        <f ca="1">YEAR(Table1[[#This Row],[Order_Date]])</f>
        <v>2023</v>
      </c>
    </row>
    <row r="1055" spans="1:12" x14ac:dyDescent="0.3">
      <c r="A1055">
        <f t="shared" si="64"/>
        <v>1054</v>
      </c>
      <c r="B1055" s="1">
        <f t="shared" ca="1" si="65"/>
        <v>45059</v>
      </c>
      <c r="C1055" t="s">
        <v>8</v>
      </c>
      <c r="D1055" t="str">
        <f t="shared" ca="1" si="66"/>
        <v>Clothing</v>
      </c>
      <c r="E1055" t="s">
        <v>62</v>
      </c>
      <c r="F1055" s="11">
        <v>10368</v>
      </c>
      <c r="G1055">
        <f t="shared" ca="1" si="67"/>
        <v>4</v>
      </c>
      <c r="H1055" s="11">
        <f ca="1">IF(Table1[[#This Row],[Category]]="Electronics",Table1[[#This Row],[Sales]]*0.6,
IF(Table1[[#This Row],[Category]]="Furniture",Table1[[#This Row],[Sales]]*0.75,
IF(Table1[[#This Row],[Category]]="Clothing",Table1[[#This Row],[Sales]]*0.65,
Table1[[#This Row],[Sales]]*0.7)))</f>
        <v>6739.2</v>
      </c>
      <c r="I1055" s="11">
        <f ca="1">Table1[[#This Row],[Sales]]-H1055</f>
        <v>3628.8</v>
      </c>
      <c r="J1055" s="2">
        <f ca="1">Table1[[#This Row],[Profit]]/Table1[[#This Row],[Sales]]</f>
        <v>0.35000000000000003</v>
      </c>
      <c r="K1055" t="str">
        <f ca="1">TEXT(Table1[[#This Row],[Order_Date]],"mmm")</f>
        <v>May</v>
      </c>
      <c r="L1055">
        <f ca="1">YEAR(Table1[[#This Row],[Order_Date]])</f>
        <v>2023</v>
      </c>
    </row>
    <row r="1056" spans="1:12" x14ac:dyDescent="0.3">
      <c r="A1056">
        <f t="shared" si="64"/>
        <v>1055</v>
      </c>
      <c r="B1056" s="1">
        <f t="shared" ca="1" si="65"/>
        <v>44996</v>
      </c>
      <c r="C1056" t="s">
        <v>9</v>
      </c>
      <c r="D1056" t="str">
        <f t="shared" ca="1" si="66"/>
        <v>Clothing</v>
      </c>
      <c r="E1056" t="s">
        <v>56</v>
      </c>
      <c r="F1056" s="11">
        <v>10004</v>
      </c>
      <c r="G1056">
        <f t="shared" ca="1" si="67"/>
        <v>2</v>
      </c>
      <c r="H1056" s="11">
        <f ca="1">IF(Table1[[#This Row],[Category]]="Electronics",Table1[[#This Row],[Sales]]*0.6,
IF(Table1[[#This Row],[Category]]="Furniture",Table1[[#This Row],[Sales]]*0.75,
IF(Table1[[#This Row],[Category]]="Clothing",Table1[[#This Row],[Sales]]*0.65,
Table1[[#This Row],[Sales]]*0.7)))</f>
        <v>6502.6</v>
      </c>
      <c r="I1056" s="11">
        <f ca="1">Table1[[#This Row],[Sales]]-H1056</f>
        <v>3501.3999999999996</v>
      </c>
      <c r="J1056" s="2">
        <f ca="1">Table1[[#This Row],[Profit]]/Table1[[#This Row],[Sales]]</f>
        <v>0.35</v>
      </c>
      <c r="K1056" t="str">
        <f ca="1">TEXT(Table1[[#This Row],[Order_Date]],"mmm")</f>
        <v>Mar</v>
      </c>
      <c r="L1056">
        <f ca="1">YEAR(Table1[[#This Row],[Order_Date]])</f>
        <v>2023</v>
      </c>
    </row>
    <row r="1057" spans="1:12" x14ac:dyDescent="0.3">
      <c r="A1057">
        <f t="shared" si="64"/>
        <v>1056</v>
      </c>
      <c r="B1057" s="1">
        <f t="shared" ca="1" si="65"/>
        <v>45025</v>
      </c>
      <c r="C1057" t="s">
        <v>10</v>
      </c>
      <c r="D1057" t="str">
        <f t="shared" ca="1" si="66"/>
        <v>Clothing</v>
      </c>
      <c r="E1057" t="s">
        <v>62</v>
      </c>
      <c r="F1057" s="11">
        <v>4437</v>
      </c>
      <c r="G1057">
        <f t="shared" ca="1" si="67"/>
        <v>5</v>
      </c>
      <c r="H1057" s="11">
        <f ca="1">IF(Table1[[#This Row],[Category]]="Electronics",Table1[[#This Row],[Sales]]*0.6,
IF(Table1[[#This Row],[Category]]="Furniture",Table1[[#This Row],[Sales]]*0.75,
IF(Table1[[#This Row],[Category]]="Clothing",Table1[[#This Row],[Sales]]*0.65,
Table1[[#This Row],[Sales]]*0.7)))</f>
        <v>2884.05</v>
      </c>
      <c r="I1057" s="11">
        <f ca="1">Table1[[#This Row],[Sales]]-H1057</f>
        <v>1552.9499999999998</v>
      </c>
      <c r="J1057" s="2">
        <f ca="1">Table1[[#This Row],[Profit]]/Table1[[#This Row],[Sales]]</f>
        <v>0.35</v>
      </c>
      <c r="K1057" t="str">
        <f ca="1">TEXT(Table1[[#This Row],[Order_Date]],"mmm")</f>
        <v>Apr</v>
      </c>
      <c r="L1057">
        <f ca="1">YEAR(Table1[[#This Row],[Order_Date]])</f>
        <v>2023</v>
      </c>
    </row>
    <row r="1058" spans="1:12" x14ac:dyDescent="0.3">
      <c r="A1058">
        <f t="shared" si="64"/>
        <v>1057</v>
      </c>
      <c r="B1058" s="1">
        <f t="shared" ca="1" si="65"/>
        <v>44995</v>
      </c>
      <c r="C1058" t="s">
        <v>7</v>
      </c>
      <c r="D1058" t="str">
        <f t="shared" ca="1" si="66"/>
        <v>Furniture</v>
      </c>
      <c r="E1058" t="s">
        <v>51</v>
      </c>
      <c r="F1058" s="11">
        <v>6580</v>
      </c>
      <c r="G1058">
        <f t="shared" ca="1" si="67"/>
        <v>2</v>
      </c>
      <c r="H1058" s="11">
        <f ca="1">IF(Table1[[#This Row],[Category]]="Electronics",Table1[[#This Row],[Sales]]*0.6,
IF(Table1[[#This Row],[Category]]="Furniture",Table1[[#This Row],[Sales]]*0.75,
IF(Table1[[#This Row],[Category]]="Clothing",Table1[[#This Row],[Sales]]*0.65,
Table1[[#This Row],[Sales]]*0.7)))</f>
        <v>4935</v>
      </c>
      <c r="I1058" s="11">
        <f ca="1">Table1[[#This Row],[Sales]]-H1058</f>
        <v>1645</v>
      </c>
      <c r="J1058" s="2">
        <f ca="1">Table1[[#This Row],[Profit]]/Table1[[#This Row],[Sales]]</f>
        <v>0.25</v>
      </c>
      <c r="K1058" t="str">
        <f ca="1">TEXT(Table1[[#This Row],[Order_Date]],"mmm")</f>
        <v>Mar</v>
      </c>
      <c r="L1058">
        <f ca="1">YEAR(Table1[[#This Row],[Order_Date]])</f>
        <v>2023</v>
      </c>
    </row>
    <row r="1059" spans="1:12" x14ac:dyDescent="0.3">
      <c r="A1059">
        <f t="shared" si="64"/>
        <v>1058</v>
      </c>
      <c r="B1059" s="1">
        <f t="shared" ca="1" si="65"/>
        <v>45287</v>
      </c>
      <c r="C1059" t="s">
        <v>8</v>
      </c>
      <c r="D1059" t="str">
        <f t="shared" ca="1" si="66"/>
        <v>Electronics</v>
      </c>
      <c r="E1059" t="s">
        <v>60</v>
      </c>
      <c r="F1059" s="11">
        <v>18695</v>
      </c>
      <c r="G1059">
        <f t="shared" ca="1" si="67"/>
        <v>6</v>
      </c>
      <c r="H1059" s="11">
        <f ca="1">IF(Table1[[#This Row],[Category]]="Electronics",Table1[[#This Row],[Sales]]*0.6,
IF(Table1[[#This Row],[Category]]="Furniture",Table1[[#This Row],[Sales]]*0.75,
IF(Table1[[#This Row],[Category]]="Clothing",Table1[[#This Row],[Sales]]*0.65,
Table1[[#This Row],[Sales]]*0.7)))</f>
        <v>11217</v>
      </c>
      <c r="I1059" s="11">
        <f ca="1">Table1[[#This Row],[Sales]]-H1059</f>
        <v>7478</v>
      </c>
      <c r="J1059" s="2">
        <f ca="1">Table1[[#This Row],[Profit]]/Table1[[#This Row],[Sales]]</f>
        <v>0.4</v>
      </c>
      <c r="K1059" t="str">
        <f ca="1">TEXT(Table1[[#This Row],[Order_Date]],"mmm")</f>
        <v>Dec</v>
      </c>
      <c r="L1059">
        <f ca="1">YEAR(Table1[[#This Row],[Order_Date]])</f>
        <v>2023</v>
      </c>
    </row>
    <row r="1060" spans="1:12" x14ac:dyDescent="0.3">
      <c r="A1060">
        <f t="shared" si="64"/>
        <v>1059</v>
      </c>
      <c r="B1060" s="1">
        <f t="shared" ca="1" si="65"/>
        <v>45273</v>
      </c>
      <c r="C1060" t="s">
        <v>9</v>
      </c>
      <c r="D1060" t="str">
        <f t="shared" ca="1" si="66"/>
        <v>Office Supplies</v>
      </c>
      <c r="E1060" t="s">
        <v>83</v>
      </c>
      <c r="F1060" s="11">
        <v>19160</v>
      </c>
      <c r="G1060">
        <f t="shared" ca="1" si="67"/>
        <v>5</v>
      </c>
      <c r="H1060" s="11">
        <f ca="1">IF(Table1[[#This Row],[Category]]="Electronics",Table1[[#This Row],[Sales]]*0.6,
IF(Table1[[#This Row],[Category]]="Furniture",Table1[[#This Row],[Sales]]*0.75,
IF(Table1[[#This Row],[Category]]="Clothing",Table1[[#This Row],[Sales]]*0.65,
Table1[[#This Row],[Sales]]*0.7)))</f>
        <v>13412</v>
      </c>
      <c r="I1060" s="11">
        <f ca="1">Table1[[#This Row],[Sales]]-H1060</f>
        <v>5748</v>
      </c>
      <c r="J1060" s="2">
        <f ca="1">Table1[[#This Row],[Profit]]/Table1[[#This Row],[Sales]]</f>
        <v>0.3</v>
      </c>
      <c r="K1060" t="str">
        <f ca="1">TEXT(Table1[[#This Row],[Order_Date]],"mmm")</f>
        <v>Dec</v>
      </c>
      <c r="L1060">
        <f ca="1">YEAR(Table1[[#This Row],[Order_Date]])</f>
        <v>2023</v>
      </c>
    </row>
    <row r="1061" spans="1:12" x14ac:dyDescent="0.3">
      <c r="A1061">
        <f t="shared" si="64"/>
        <v>1060</v>
      </c>
      <c r="B1061" s="1">
        <f t="shared" ca="1" si="65"/>
        <v>45283</v>
      </c>
      <c r="C1061" t="s">
        <v>10</v>
      </c>
      <c r="D1061" t="str">
        <f t="shared" ca="1" si="66"/>
        <v>Furniture</v>
      </c>
      <c r="E1061" t="s">
        <v>71</v>
      </c>
      <c r="F1061" s="11">
        <v>3699</v>
      </c>
      <c r="G1061">
        <f t="shared" ca="1" si="67"/>
        <v>2</v>
      </c>
      <c r="H1061" s="11">
        <f ca="1">IF(Table1[[#This Row],[Category]]="Electronics",Table1[[#This Row],[Sales]]*0.6,
IF(Table1[[#This Row],[Category]]="Furniture",Table1[[#This Row],[Sales]]*0.75,
IF(Table1[[#This Row],[Category]]="Clothing",Table1[[#This Row],[Sales]]*0.65,
Table1[[#This Row],[Sales]]*0.7)))</f>
        <v>2774.25</v>
      </c>
      <c r="I1061" s="11">
        <f ca="1">Table1[[#This Row],[Sales]]-H1061</f>
        <v>924.75</v>
      </c>
      <c r="J1061" s="2">
        <f ca="1">Table1[[#This Row],[Profit]]/Table1[[#This Row],[Sales]]</f>
        <v>0.25</v>
      </c>
      <c r="K1061" t="str">
        <f ca="1">TEXT(Table1[[#This Row],[Order_Date]],"mmm")</f>
        <v>Dec</v>
      </c>
      <c r="L1061">
        <f ca="1">YEAR(Table1[[#This Row],[Order_Date]])</f>
        <v>2023</v>
      </c>
    </row>
    <row r="1062" spans="1:12" x14ac:dyDescent="0.3">
      <c r="A1062">
        <f t="shared" si="64"/>
        <v>1061</v>
      </c>
      <c r="B1062" s="1">
        <f t="shared" ca="1" si="65"/>
        <v>45110</v>
      </c>
      <c r="C1062" t="s">
        <v>7</v>
      </c>
      <c r="D1062" t="str">
        <f t="shared" ca="1" si="66"/>
        <v>Office Supplies</v>
      </c>
      <c r="E1062" t="s">
        <v>75</v>
      </c>
      <c r="F1062" s="11">
        <v>6107</v>
      </c>
      <c r="G1062">
        <f t="shared" ca="1" si="67"/>
        <v>7</v>
      </c>
      <c r="H1062" s="11">
        <f ca="1">IF(Table1[[#This Row],[Category]]="Electronics",Table1[[#This Row],[Sales]]*0.6,
IF(Table1[[#This Row],[Category]]="Furniture",Table1[[#This Row],[Sales]]*0.75,
IF(Table1[[#This Row],[Category]]="Clothing",Table1[[#This Row],[Sales]]*0.65,
Table1[[#This Row],[Sales]]*0.7)))</f>
        <v>4274.8999999999996</v>
      </c>
      <c r="I1062" s="11">
        <f ca="1">Table1[[#This Row],[Sales]]-H1062</f>
        <v>1832.1000000000004</v>
      </c>
      <c r="J1062" s="2">
        <f ca="1">Table1[[#This Row],[Profit]]/Table1[[#This Row],[Sales]]</f>
        <v>0.30000000000000004</v>
      </c>
      <c r="K1062" t="str">
        <f ca="1">TEXT(Table1[[#This Row],[Order_Date]],"mmm")</f>
        <v>Jul</v>
      </c>
      <c r="L1062">
        <f ca="1">YEAR(Table1[[#This Row],[Order_Date]])</f>
        <v>2023</v>
      </c>
    </row>
    <row r="1063" spans="1:12" x14ac:dyDescent="0.3">
      <c r="A1063">
        <f t="shared" si="64"/>
        <v>1062</v>
      </c>
      <c r="B1063" s="1">
        <f t="shared" ca="1" si="65"/>
        <v>45105</v>
      </c>
      <c r="C1063" t="s">
        <v>8</v>
      </c>
      <c r="D1063" t="str">
        <f t="shared" ca="1" si="66"/>
        <v>Furniture</v>
      </c>
      <c r="E1063" t="s">
        <v>39</v>
      </c>
      <c r="F1063" s="11">
        <v>2975</v>
      </c>
      <c r="G1063">
        <f t="shared" ca="1" si="67"/>
        <v>7</v>
      </c>
      <c r="H1063" s="11">
        <f ca="1">IF(Table1[[#This Row],[Category]]="Electronics",Table1[[#This Row],[Sales]]*0.6,
IF(Table1[[#This Row],[Category]]="Furniture",Table1[[#This Row],[Sales]]*0.75,
IF(Table1[[#This Row],[Category]]="Clothing",Table1[[#This Row],[Sales]]*0.65,
Table1[[#This Row],[Sales]]*0.7)))</f>
        <v>2231.25</v>
      </c>
      <c r="I1063" s="11">
        <f ca="1">Table1[[#This Row],[Sales]]-H1063</f>
        <v>743.75</v>
      </c>
      <c r="J1063" s="2">
        <f ca="1">Table1[[#This Row],[Profit]]/Table1[[#This Row],[Sales]]</f>
        <v>0.25</v>
      </c>
      <c r="K1063" t="str">
        <f ca="1">TEXT(Table1[[#This Row],[Order_Date]],"mmm")</f>
        <v>Jun</v>
      </c>
      <c r="L1063">
        <f ca="1">YEAR(Table1[[#This Row],[Order_Date]])</f>
        <v>2023</v>
      </c>
    </row>
    <row r="1064" spans="1:12" x14ac:dyDescent="0.3">
      <c r="A1064">
        <f t="shared" si="64"/>
        <v>1063</v>
      </c>
      <c r="B1064" s="1">
        <f t="shared" ca="1" si="65"/>
        <v>45221</v>
      </c>
      <c r="C1064" t="s">
        <v>9</v>
      </c>
      <c r="D1064" t="str">
        <f t="shared" ca="1" si="66"/>
        <v>Electronics</v>
      </c>
      <c r="E1064" t="s">
        <v>73</v>
      </c>
      <c r="F1064" s="11">
        <v>764</v>
      </c>
      <c r="G1064">
        <f t="shared" ca="1" si="67"/>
        <v>1</v>
      </c>
      <c r="H1064" s="11">
        <f ca="1">IF(Table1[[#This Row],[Category]]="Electronics",Table1[[#This Row],[Sales]]*0.6,
IF(Table1[[#This Row],[Category]]="Furniture",Table1[[#This Row],[Sales]]*0.75,
IF(Table1[[#This Row],[Category]]="Clothing",Table1[[#This Row],[Sales]]*0.65,
Table1[[#This Row],[Sales]]*0.7)))</f>
        <v>458.4</v>
      </c>
      <c r="I1064" s="11">
        <f ca="1">Table1[[#This Row],[Sales]]-H1064</f>
        <v>305.60000000000002</v>
      </c>
      <c r="J1064" s="2">
        <f ca="1">Table1[[#This Row],[Profit]]/Table1[[#This Row],[Sales]]</f>
        <v>0.4</v>
      </c>
      <c r="K1064" t="str">
        <f ca="1">TEXT(Table1[[#This Row],[Order_Date]],"mmm")</f>
        <v>Oct</v>
      </c>
      <c r="L1064">
        <f ca="1">YEAR(Table1[[#This Row],[Order_Date]])</f>
        <v>2023</v>
      </c>
    </row>
    <row r="1065" spans="1:12" x14ac:dyDescent="0.3">
      <c r="A1065">
        <f t="shared" si="64"/>
        <v>1064</v>
      </c>
      <c r="B1065" s="1">
        <f t="shared" ca="1" si="65"/>
        <v>45253</v>
      </c>
      <c r="C1065" t="s">
        <v>10</v>
      </c>
      <c r="D1065" t="str">
        <f t="shared" ca="1" si="66"/>
        <v>Electronics</v>
      </c>
      <c r="E1065" t="s">
        <v>41</v>
      </c>
      <c r="F1065" s="11">
        <v>8585</v>
      </c>
      <c r="G1065">
        <f t="shared" ca="1" si="67"/>
        <v>6</v>
      </c>
      <c r="H1065" s="11">
        <f ca="1">IF(Table1[[#This Row],[Category]]="Electronics",Table1[[#This Row],[Sales]]*0.6,
IF(Table1[[#This Row],[Category]]="Furniture",Table1[[#This Row],[Sales]]*0.75,
IF(Table1[[#This Row],[Category]]="Clothing",Table1[[#This Row],[Sales]]*0.65,
Table1[[#This Row],[Sales]]*0.7)))</f>
        <v>5151</v>
      </c>
      <c r="I1065" s="11">
        <f ca="1">Table1[[#This Row],[Sales]]-H1065</f>
        <v>3434</v>
      </c>
      <c r="J1065" s="2">
        <f ca="1">Table1[[#This Row],[Profit]]/Table1[[#This Row],[Sales]]</f>
        <v>0.4</v>
      </c>
      <c r="K1065" t="str">
        <f ca="1">TEXT(Table1[[#This Row],[Order_Date]],"mmm")</f>
        <v>Nov</v>
      </c>
      <c r="L1065">
        <f ca="1">YEAR(Table1[[#This Row],[Order_Date]])</f>
        <v>2023</v>
      </c>
    </row>
    <row r="1066" spans="1:12" x14ac:dyDescent="0.3">
      <c r="A1066">
        <f t="shared" si="64"/>
        <v>1065</v>
      </c>
      <c r="B1066" s="1">
        <f t="shared" ca="1" si="65"/>
        <v>45035</v>
      </c>
      <c r="C1066" t="s">
        <v>7</v>
      </c>
      <c r="D1066" t="str">
        <f t="shared" ca="1" si="66"/>
        <v>Clothing</v>
      </c>
      <c r="E1066" t="s">
        <v>39</v>
      </c>
      <c r="F1066" s="11">
        <v>16253</v>
      </c>
      <c r="G1066">
        <f t="shared" ca="1" si="67"/>
        <v>7</v>
      </c>
      <c r="H1066" s="11">
        <f ca="1">IF(Table1[[#This Row],[Category]]="Electronics",Table1[[#This Row],[Sales]]*0.6,
IF(Table1[[#This Row],[Category]]="Furniture",Table1[[#This Row],[Sales]]*0.75,
IF(Table1[[#This Row],[Category]]="Clothing",Table1[[#This Row],[Sales]]*0.65,
Table1[[#This Row],[Sales]]*0.7)))</f>
        <v>10564.45</v>
      </c>
      <c r="I1066" s="11">
        <f ca="1">Table1[[#This Row],[Sales]]-H1066</f>
        <v>5688.5499999999993</v>
      </c>
      <c r="J1066" s="2">
        <f ca="1">Table1[[#This Row],[Profit]]/Table1[[#This Row],[Sales]]</f>
        <v>0.35</v>
      </c>
      <c r="K1066" t="str">
        <f ca="1">TEXT(Table1[[#This Row],[Order_Date]],"mmm")</f>
        <v>Apr</v>
      </c>
      <c r="L1066">
        <f ca="1">YEAR(Table1[[#This Row],[Order_Date]])</f>
        <v>2023</v>
      </c>
    </row>
    <row r="1067" spans="1:12" x14ac:dyDescent="0.3">
      <c r="A1067">
        <f t="shared" si="64"/>
        <v>1066</v>
      </c>
      <c r="B1067" s="1">
        <f t="shared" ca="1" si="65"/>
        <v>45241</v>
      </c>
      <c r="C1067" t="s">
        <v>8</v>
      </c>
      <c r="D1067" t="str">
        <f t="shared" ca="1" si="66"/>
        <v>Electronics</v>
      </c>
      <c r="E1067" t="s">
        <v>56</v>
      </c>
      <c r="F1067" s="11">
        <v>9004</v>
      </c>
      <c r="G1067">
        <f t="shared" ca="1" si="67"/>
        <v>1</v>
      </c>
      <c r="H1067" s="11">
        <f ca="1">IF(Table1[[#This Row],[Category]]="Electronics",Table1[[#This Row],[Sales]]*0.6,
IF(Table1[[#This Row],[Category]]="Furniture",Table1[[#This Row],[Sales]]*0.75,
IF(Table1[[#This Row],[Category]]="Clothing",Table1[[#This Row],[Sales]]*0.65,
Table1[[#This Row],[Sales]]*0.7)))</f>
        <v>5402.4</v>
      </c>
      <c r="I1067" s="11">
        <f ca="1">Table1[[#This Row],[Sales]]-H1067</f>
        <v>3601.6000000000004</v>
      </c>
      <c r="J1067" s="2">
        <f ca="1">Table1[[#This Row],[Profit]]/Table1[[#This Row],[Sales]]</f>
        <v>0.4</v>
      </c>
      <c r="K1067" t="str">
        <f ca="1">TEXT(Table1[[#This Row],[Order_Date]],"mmm")</f>
        <v>Nov</v>
      </c>
      <c r="L1067">
        <f ca="1">YEAR(Table1[[#This Row],[Order_Date]])</f>
        <v>2023</v>
      </c>
    </row>
    <row r="1068" spans="1:12" x14ac:dyDescent="0.3">
      <c r="A1068">
        <f t="shared" si="64"/>
        <v>1067</v>
      </c>
      <c r="B1068" s="1">
        <f t="shared" ca="1" si="65"/>
        <v>45210</v>
      </c>
      <c r="C1068" t="s">
        <v>9</v>
      </c>
      <c r="D1068" t="str">
        <f t="shared" ca="1" si="66"/>
        <v>Clothing</v>
      </c>
      <c r="E1068" t="s">
        <v>45</v>
      </c>
      <c r="F1068" s="11">
        <v>1142</v>
      </c>
      <c r="G1068">
        <f t="shared" ca="1" si="67"/>
        <v>7</v>
      </c>
      <c r="H1068" s="11">
        <f ca="1">IF(Table1[[#This Row],[Category]]="Electronics",Table1[[#This Row],[Sales]]*0.6,
IF(Table1[[#This Row],[Category]]="Furniture",Table1[[#This Row],[Sales]]*0.75,
IF(Table1[[#This Row],[Category]]="Clothing",Table1[[#This Row],[Sales]]*0.65,
Table1[[#This Row],[Sales]]*0.7)))</f>
        <v>742.30000000000007</v>
      </c>
      <c r="I1068" s="11">
        <f ca="1">Table1[[#This Row],[Sales]]-H1068</f>
        <v>399.69999999999993</v>
      </c>
      <c r="J1068" s="2">
        <f ca="1">Table1[[#This Row],[Profit]]/Table1[[#This Row],[Sales]]</f>
        <v>0.34999999999999992</v>
      </c>
      <c r="K1068" t="str">
        <f ca="1">TEXT(Table1[[#This Row],[Order_Date]],"mmm")</f>
        <v>Oct</v>
      </c>
      <c r="L1068">
        <f ca="1">YEAR(Table1[[#This Row],[Order_Date]])</f>
        <v>2023</v>
      </c>
    </row>
    <row r="1069" spans="1:12" x14ac:dyDescent="0.3">
      <c r="A1069">
        <f t="shared" si="64"/>
        <v>1068</v>
      </c>
      <c r="B1069" s="1">
        <f t="shared" ca="1" si="65"/>
        <v>45280</v>
      </c>
      <c r="C1069" t="s">
        <v>10</v>
      </c>
      <c r="D1069" t="str">
        <f t="shared" ca="1" si="66"/>
        <v>Office Supplies</v>
      </c>
      <c r="E1069" t="s">
        <v>68</v>
      </c>
      <c r="F1069" s="11">
        <v>13049</v>
      </c>
      <c r="G1069">
        <f t="shared" ca="1" si="67"/>
        <v>9</v>
      </c>
      <c r="H1069" s="11">
        <f ca="1">IF(Table1[[#This Row],[Category]]="Electronics",Table1[[#This Row],[Sales]]*0.6,
IF(Table1[[#This Row],[Category]]="Furniture",Table1[[#This Row],[Sales]]*0.75,
IF(Table1[[#This Row],[Category]]="Clothing",Table1[[#This Row],[Sales]]*0.65,
Table1[[#This Row],[Sales]]*0.7)))</f>
        <v>9134.2999999999993</v>
      </c>
      <c r="I1069" s="11">
        <f ca="1">Table1[[#This Row],[Sales]]-H1069</f>
        <v>3914.7000000000007</v>
      </c>
      <c r="J1069" s="2">
        <f ca="1">Table1[[#This Row],[Profit]]/Table1[[#This Row],[Sales]]</f>
        <v>0.30000000000000004</v>
      </c>
      <c r="K1069" t="str">
        <f ca="1">TEXT(Table1[[#This Row],[Order_Date]],"mmm")</f>
        <v>Dec</v>
      </c>
      <c r="L1069">
        <f ca="1">YEAR(Table1[[#This Row],[Order_Date]])</f>
        <v>2023</v>
      </c>
    </row>
    <row r="1070" spans="1:12" x14ac:dyDescent="0.3">
      <c r="A1070">
        <f t="shared" si="64"/>
        <v>1069</v>
      </c>
      <c r="B1070" s="1">
        <f t="shared" ca="1" si="65"/>
        <v>45069</v>
      </c>
      <c r="C1070" t="s">
        <v>7</v>
      </c>
      <c r="D1070" t="str">
        <f t="shared" ca="1" si="66"/>
        <v>Clothing</v>
      </c>
      <c r="E1070" t="s">
        <v>77</v>
      </c>
      <c r="F1070" s="11">
        <v>4415</v>
      </c>
      <c r="G1070">
        <f t="shared" ca="1" si="67"/>
        <v>7</v>
      </c>
      <c r="H1070" s="11">
        <f ca="1">IF(Table1[[#This Row],[Category]]="Electronics",Table1[[#This Row],[Sales]]*0.6,
IF(Table1[[#This Row],[Category]]="Furniture",Table1[[#This Row],[Sales]]*0.75,
IF(Table1[[#This Row],[Category]]="Clothing",Table1[[#This Row],[Sales]]*0.65,
Table1[[#This Row],[Sales]]*0.7)))</f>
        <v>2869.75</v>
      </c>
      <c r="I1070" s="11">
        <f ca="1">Table1[[#This Row],[Sales]]-H1070</f>
        <v>1545.25</v>
      </c>
      <c r="J1070" s="2">
        <f ca="1">Table1[[#This Row],[Profit]]/Table1[[#This Row],[Sales]]</f>
        <v>0.35</v>
      </c>
      <c r="K1070" t="str">
        <f ca="1">TEXT(Table1[[#This Row],[Order_Date]],"mmm")</f>
        <v>May</v>
      </c>
      <c r="L1070">
        <f ca="1">YEAR(Table1[[#This Row],[Order_Date]])</f>
        <v>2023</v>
      </c>
    </row>
    <row r="1071" spans="1:12" x14ac:dyDescent="0.3">
      <c r="A1071">
        <f t="shared" si="64"/>
        <v>1070</v>
      </c>
      <c r="B1071" s="1">
        <f t="shared" ca="1" si="65"/>
        <v>45060</v>
      </c>
      <c r="C1071" t="s">
        <v>8</v>
      </c>
      <c r="D1071" t="str">
        <f t="shared" ca="1" si="66"/>
        <v>Clothing</v>
      </c>
      <c r="E1071" t="s">
        <v>50</v>
      </c>
      <c r="F1071" s="11">
        <v>13371</v>
      </c>
      <c r="G1071">
        <f t="shared" ca="1" si="67"/>
        <v>6</v>
      </c>
      <c r="H1071" s="11">
        <f ca="1">IF(Table1[[#This Row],[Category]]="Electronics",Table1[[#This Row],[Sales]]*0.6,
IF(Table1[[#This Row],[Category]]="Furniture",Table1[[#This Row],[Sales]]*0.75,
IF(Table1[[#This Row],[Category]]="Clothing",Table1[[#This Row],[Sales]]*0.65,
Table1[[#This Row],[Sales]]*0.7)))</f>
        <v>8691.15</v>
      </c>
      <c r="I1071" s="11">
        <f ca="1">Table1[[#This Row],[Sales]]-H1071</f>
        <v>4679.8500000000004</v>
      </c>
      <c r="J1071" s="2">
        <f ca="1">Table1[[#This Row],[Profit]]/Table1[[#This Row],[Sales]]</f>
        <v>0.35000000000000003</v>
      </c>
      <c r="K1071" t="str">
        <f ca="1">TEXT(Table1[[#This Row],[Order_Date]],"mmm")</f>
        <v>May</v>
      </c>
      <c r="L1071">
        <f ca="1">YEAR(Table1[[#This Row],[Order_Date]])</f>
        <v>2023</v>
      </c>
    </row>
    <row r="1072" spans="1:12" x14ac:dyDescent="0.3">
      <c r="A1072">
        <f t="shared" si="64"/>
        <v>1071</v>
      </c>
      <c r="B1072" s="1">
        <f t="shared" ca="1" si="65"/>
        <v>44945</v>
      </c>
      <c r="C1072" t="s">
        <v>9</v>
      </c>
      <c r="D1072" t="str">
        <f t="shared" ca="1" si="66"/>
        <v>Clothing</v>
      </c>
      <c r="E1072" t="s">
        <v>36</v>
      </c>
      <c r="F1072" s="11">
        <v>14948</v>
      </c>
      <c r="G1072">
        <f t="shared" ca="1" si="67"/>
        <v>8</v>
      </c>
      <c r="H1072" s="11">
        <f ca="1">IF(Table1[[#This Row],[Category]]="Electronics",Table1[[#This Row],[Sales]]*0.6,
IF(Table1[[#This Row],[Category]]="Furniture",Table1[[#This Row],[Sales]]*0.75,
IF(Table1[[#This Row],[Category]]="Clothing",Table1[[#This Row],[Sales]]*0.65,
Table1[[#This Row],[Sales]]*0.7)))</f>
        <v>9716.2000000000007</v>
      </c>
      <c r="I1072" s="11">
        <f ca="1">Table1[[#This Row],[Sales]]-H1072</f>
        <v>5231.7999999999993</v>
      </c>
      <c r="J1072" s="2">
        <f ca="1">Table1[[#This Row],[Profit]]/Table1[[#This Row],[Sales]]</f>
        <v>0.35</v>
      </c>
      <c r="K1072" t="str">
        <f ca="1">TEXT(Table1[[#This Row],[Order_Date]],"mmm")</f>
        <v>Jan</v>
      </c>
      <c r="L1072">
        <f ca="1">YEAR(Table1[[#This Row],[Order_Date]])</f>
        <v>2023</v>
      </c>
    </row>
    <row r="1073" spans="1:12" x14ac:dyDescent="0.3">
      <c r="A1073">
        <f t="shared" si="64"/>
        <v>1072</v>
      </c>
      <c r="B1073" s="1">
        <f t="shared" ca="1" si="65"/>
        <v>44984</v>
      </c>
      <c r="C1073" t="s">
        <v>10</v>
      </c>
      <c r="D1073" t="str">
        <f t="shared" ca="1" si="66"/>
        <v>Clothing</v>
      </c>
      <c r="E1073" t="s">
        <v>82</v>
      </c>
      <c r="F1073" s="11">
        <v>16408</v>
      </c>
      <c r="G1073">
        <f t="shared" ca="1" si="67"/>
        <v>8</v>
      </c>
      <c r="H1073" s="11">
        <f ca="1">IF(Table1[[#This Row],[Category]]="Electronics",Table1[[#This Row],[Sales]]*0.6,
IF(Table1[[#This Row],[Category]]="Furniture",Table1[[#This Row],[Sales]]*0.75,
IF(Table1[[#This Row],[Category]]="Clothing",Table1[[#This Row],[Sales]]*0.65,
Table1[[#This Row],[Sales]]*0.7)))</f>
        <v>10665.2</v>
      </c>
      <c r="I1073" s="11">
        <f ca="1">Table1[[#This Row],[Sales]]-H1073</f>
        <v>5742.7999999999993</v>
      </c>
      <c r="J1073" s="2">
        <f ca="1">Table1[[#This Row],[Profit]]/Table1[[#This Row],[Sales]]</f>
        <v>0.35</v>
      </c>
      <c r="K1073" t="str">
        <f ca="1">TEXT(Table1[[#This Row],[Order_Date]],"mmm")</f>
        <v>Feb</v>
      </c>
      <c r="L1073">
        <f ca="1">YEAR(Table1[[#This Row],[Order_Date]])</f>
        <v>2023</v>
      </c>
    </row>
    <row r="1074" spans="1:12" x14ac:dyDescent="0.3">
      <c r="A1074">
        <f t="shared" si="64"/>
        <v>1073</v>
      </c>
      <c r="B1074" s="1">
        <f t="shared" ca="1" si="65"/>
        <v>45195</v>
      </c>
      <c r="C1074" t="s">
        <v>7</v>
      </c>
      <c r="D1074" t="str">
        <f t="shared" ca="1" si="66"/>
        <v>Office Supplies</v>
      </c>
      <c r="E1074" t="s">
        <v>53</v>
      </c>
      <c r="F1074" s="11">
        <v>19005</v>
      </c>
      <c r="G1074">
        <f t="shared" ca="1" si="67"/>
        <v>1</v>
      </c>
      <c r="H1074" s="11">
        <f ca="1">IF(Table1[[#This Row],[Category]]="Electronics",Table1[[#This Row],[Sales]]*0.6,
IF(Table1[[#This Row],[Category]]="Furniture",Table1[[#This Row],[Sales]]*0.75,
IF(Table1[[#This Row],[Category]]="Clothing",Table1[[#This Row],[Sales]]*0.65,
Table1[[#This Row],[Sales]]*0.7)))</f>
        <v>13303.5</v>
      </c>
      <c r="I1074" s="11">
        <f ca="1">Table1[[#This Row],[Sales]]-H1074</f>
        <v>5701.5</v>
      </c>
      <c r="J1074" s="2">
        <f ca="1">Table1[[#This Row],[Profit]]/Table1[[#This Row],[Sales]]</f>
        <v>0.3</v>
      </c>
      <c r="K1074" t="str">
        <f ca="1">TEXT(Table1[[#This Row],[Order_Date]],"mmm")</f>
        <v>Sep</v>
      </c>
      <c r="L1074">
        <f ca="1">YEAR(Table1[[#This Row],[Order_Date]])</f>
        <v>2023</v>
      </c>
    </row>
    <row r="1075" spans="1:12" x14ac:dyDescent="0.3">
      <c r="A1075">
        <f t="shared" si="64"/>
        <v>1074</v>
      </c>
      <c r="B1075" s="1">
        <f t="shared" ca="1" si="65"/>
        <v>45036</v>
      </c>
      <c r="C1075" t="s">
        <v>8</v>
      </c>
      <c r="D1075" t="str">
        <f t="shared" ca="1" si="66"/>
        <v>Clothing</v>
      </c>
      <c r="E1075" t="s">
        <v>64</v>
      </c>
      <c r="F1075" s="11">
        <v>12347</v>
      </c>
      <c r="G1075">
        <f t="shared" ca="1" si="67"/>
        <v>2</v>
      </c>
      <c r="H1075" s="11">
        <f ca="1">IF(Table1[[#This Row],[Category]]="Electronics",Table1[[#This Row],[Sales]]*0.6,
IF(Table1[[#This Row],[Category]]="Furniture",Table1[[#This Row],[Sales]]*0.75,
IF(Table1[[#This Row],[Category]]="Clothing",Table1[[#This Row],[Sales]]*0.65,
Table1[[#This Row],[Sales]]*0.7)))</f>
        <v>8025.55</v>
      </c>
      <c r="I1075" s="11">
        <f ca="1">Table1[[#This Row],[Sales]]-H1075</f>
        <v>4321.45</v>
      </c>
      <c r="J1075" s="2">
        <f ca="1">Table1[[#This Row],[Profit]]/Table1[[#This Row],[Sales]]</f>
        <v>0.35</v>
      </c>
      <c r="K1075" t="str">
        <f ca="1">TEXT(Table1[[#This Row],[Order_Date]],"mmm")</f>
        <v>Apr</v>
      </c>
      <c r="L1075">
        <f ca="1">YEAR(Table1[[#This Row],[Order_Date]])</f>
        <v>2023</v>
      </c>
    </row>
    <row r="1076" spans="1:12" x14ac:dyDescent="0.3">
      <c r="A1076">
        <f t="shared" si="64"/>
        <v>1075</v>
      </c>
      <c r="B1076" s="1">
        <f t="shared" ca="1" si="65"/>
        <v>45165</v>
      </c>
      <c r="C1076" t="s">
        <v>9</v>
      </c>
      <c r="D1076" t="str">
        <f t="shared" ca="1" si="66"/>
        <v>Electronics</v>
      </c>
      <c r="E1076" t="s">
        <v>55</v>
      </c>
      <c r="F1076" s="11">
        <v>9060</v>
      </c>
      <c r="G1076">
        <f t="shared" ca="1" si="67"/>
        <v>7</v>
      </c>
      <c r="H1076" s="11">
        <f ca="1">IF(Table1[[#This Row],[Category]]="Electronics",Table1[[#This Row],[Sales]]*0.6,
IF(Table1[[#This Row],[Category]]="Furniture",Table1[[#This Row],[Sales]]*0.75,
IF(Table1[[#This Row],[Category]]="Clothing",Table1[[#This Row],[Sales]]*0.65,
Table1[[#This Row],[Sales]]*0.7)))</f>
        <v>5436</v>
      </c>
      <c r="I1076" s="11">
        <f ca="1">Table1[[#This Row],[Sales]]-H1076</f>
        <v>3624</v>
      </c>
      <c r="J1076" s="2">
        <f ca="1">Table1[[#This Row],[Profit]]/Table1[[#This Row],[Sales]]</f>
        <v>0.4</v>
      </c>
      <c r="K1076" t="str">
        <f ca="1">TEXT(Table1[[#This Row],[Order_Date]],"mmm")</f>
        <v>Aug</v>
      </c>
      <c r="L1076">
        <f ca="1">YEAR(Table1[[#This Row],[Order_Date]])</f>
        <v>2023</v>
      </c>
    </row>
    <row r="1077" spans="1:12" x14ac:dyDescent="0.3">
      <c r="A1077">
        <f t="shared" si="64"/>
        <v>1076</v>
      </c>
      <c r="B1077" s="1">
        <f t="shared" ca="1" si="65"/>
        <v>45218</v>
      </c>
      <c r="C1077" t="s">
        <v>10</v>
      </c>
      <c r="D1077" t="str">
        <f t="shared" ca="1" si="66"/>
        <v>Office Supplies</v>
      </c>
      <c r="E1077" t="s">
        <v>77</v>
      </c>
      <c r="F1077" s="11">
        <v>1163</v>
      </c>
      <c r="G1077">
        <f t="shared" ca="1" si="67"/>
        <v>9</v>
      </c>
      <c r="H1077" s="11">
        <f ca="1">IF(Table1[[#This Row],[Category]]="Electronics",Table1[[#This Row],[Sales]]*0.6,
IF(Table1[[#This Row],[Category]]="Furniture",Table1[[#This Row],[Sales]]*0.75,
IF(Table1[[#This Row],[Category]]="Clothing",Table1[[#This Row],[Sales]]*0.65,
Table1[[#This Row],[Sales]]*0.7)))</f>
        <v>814.09999999999991</v>
      </c>
      <c r="I1077" s="11">
        <f ca="1">Table1[[#This Row],[Sales]]-H1077</f>
        <v>348.90000000000009</v>
      </c>
      <c r="J1077" s="2">
        <f ca="1">Table1[[#This Row],[Profit]]/Table1[[#This Row],[Sales]]</f>
        <v>0.3000000000000001</v>
      </c>
      <c r="K1077" t="str">
        <f ca="1">TEXT(Table1[[#This Row],[Order_Date]],"mmm")</f>
        <v>Oct</v>
      </c>
      <c r="L1077">
        <f ca="1">YEAR(Table1[[#This Row],[Order_Date]])</f>
        <v>2023</v>
      </c>
    </row>
    <row r="1078" spans="1:12" x14ac:dyDescent="0.3">
      <c r="A1078">
        <f t="shared" si="64"/>
        <v>1077</v>
      </c>
      <c r="B1078" s="1">
        <f t="shared" ca="1" si="65"/>
        <v>45116</v>
      </c>
      <c r="C1078" t="s">
        <v>7</v>
      </c>
      <c r="D1078" t="str">
        <f t="shared" ca="1" si="66"/>
        <v>Office Supplies</v>
      </c>
      <c r="E1078" t="s">
        <v>76</v>
      </c>
      <c r="F1078" s="11">
        <v>7076</v>
      </c>
      <c r="G1078">
        <f t="shared" ca="1" si="67"/>
        <v>10</v>
      </c>
      <c r="H1078" s="11">
        <f ca="1">IF(Table1[[#This Row],[Category]]="Electronics",Table1[[#This Row],[Sales]]*0.6,
IF(Table1[[#This Row],[Category]]="Furniture",Table1[[#This Row],[Sales]]*0.75,
IF(Table1[[#This Row],[Category]]="Clothing",Table1[[#This Row],[Sales]]*0.65,
Table1[[#This Row],[Sales]]*0.7)))</f>
        <v>4953.2</v>
      </c>
      <c r="I1078" s="11">
        <f ca="1">Table1[[#This Row],[Sales]]-H1078</f>
        <v>2122.8000000000002</v>
      </c>
      <c r="J1078" s="2">
        <f ca="1">Table1[[#This Row],[Profit]]/Table1[[#This Row],[Sales]]</f>
        <v>0.30000000000000004</v>
      </c>
      <c r="K1078" t="str">
        <f ca="1">TEXT(Table1[[#This Row],[Order_Date]],"mmm")</f>
        <v>Jul</v>
      </c>
      <c r="L1078">
        <f ca="1">YEAR(Table1[[#This Row],[Order_Date]])</f>
        <v>2023</v>
      </c>
    </row>
    <row r="1079" spans="1:12" x14ac:dyDescent="0.3">
      <c r="A1079">
        <f t="shared" si="64"/>
        <v>1078</v>
      </c>
      <c r="B1079" s="1">
        <f t="shared" ca="1" si="65"/>
        <v>45163</v>
      </c>
      <c r="C1079" t="s">
        <v>8</v>
      </c>
      <c r="D1079" t="str">
        <f t="shared" ca="1" si="66"/>
        <v>Electronics</v>
      </c>
      <c r="E1079" t="s">
        <v>64</v>
      </c>
      <c r="F1079" s="11">
        <v>18066</v>
      </c>
      <c r="G1079">
        <f t="shared" ca="1" si="67"/>
        <v>10</v>
      </c>
      <c r="H1079" s="11">
        <f ca="1">IF(Table1[[#This Row],[Category]]="Electronics",Table1[[#This Row],[Sales]]*0.6,
IF(Table1[[#This Row],[Category]]="Furniture",Table1[[#This Row],[Sales]]*0.75,
IF(Table1[[#This Row],[Category]]="Clothing",Table1[[#This Row],[Sales]]*0.65,
Table1[[#This Row],[Sales]]*0.7)))</f>
        <v>10839.6</v>
      </c>
      <c r="I1079" s="11">
        <f ca="1">Table1[[#This Row],[Sales]]-H1079</f>
        <v>7226.4</v>
      </c>
      <c r="J1079" s="2">
        <f ca="1">Table1[[#This Row],[Profit]]/Table1[[#This Row],[Sales]]</f>
        <v>0.39999999999999997</v>
      </c>
      <c r="K1079" t="str">
        <f ca="1">TEXT(Table1[[#This Row],[Order_Date]],"mmm")</f>
        <v>Aug</v>
      </c>
      <c r="L1079">
        <f ca="1">YEAR(Table1[[#This Row],[Order_Date]])</f>
        <v>2023</v>
      </c>
    </row>
    <row r="1080" spans="1:12" x14ac:dyDescent="0.3">
      <c r="A1080">
        <f t="shared" si="64"/>
        <v>1079</v>
      </c>
      <c r="B1080" s="1">
        <f t="shared" ca="1" si="65"/>
        <v>45165</v>
      </c>
      <c r="C1080" t="s">
        <v>9</v>
      </c>
      <c r="D1080" t="str">
        <f t="shared" ca="1" si="66"/>
        <v>Clothing</v>
      </c>
      <c r="E1080" t="s">
        <v>43</v>
      </c>
      <c r="F1080" s="11">
        <v>4757</v>
      </c>
      <c r="G1080">
        <f t="shared" ca="1" si="67"/>
        <v>2</v>
      </c>
      <c r="H1080" s="11">
        <f ca="1">IF(Table1[[#This Row],[Category]]="Electronics",Table1[[#This Row],[Sales]]*0.6,
IF(Table1[[#This Row],[Category]]="Furniture",Table1[[#This Row],[Sales]]*0.75,
IF(Table1[[#This Row],[Category]]="Clothing",Table1[[#This Row],[Sales]]*0.65,
Table1[[#This Row],[Sales]]*0.7)))</f>
        <v>3092.05</v>
      </c>
      <c r="I1080" s="11">
        <f ca="1">Table1[[#This Row],[Sales]]-H1080</f>
        <v>1664.9499999999998</v>
      </c>
      <c r="J1080" s="2">
        <f ca="1">Table1[[#This Row],[Profit]]/Table1[[#This Row],[Sales]]</f>
        <v>0.35</v>
      </c>
      <c r="K1080" t="str">
        <f ca="1">TEXT(Table1[[#This Row],[Order_Date]],"mmm")</f>
        <v>Aug</v>
      </c>
      <c r="L1080">
        <f ca="1">YEAR(Table1[[#This Row],[Order_Date]])</f>
        <v>2023</v>
      </c>
    </row>
    <row r="1081" spans="1:12" x14ac:dyDescent="0.3">
      <c r="A1081">
        <f t="shared" si="64"/>
        <v>1080</v>
      </c>
      <c r="B1081" s="1">
        <f t="shared" ca="1" si="65"/>
        <v>45127</v>
      </c>
      <c r="C1081" t="s">
        <v>10</v>
      </c>
      <c r="D1081" t="str">
        <f t="shared" ca="1" si="66"/>
        <v>Electronics</v>
      </c>
      <c r="E1081" t="s">
        <v>61</v>
      </c>
      <c r="F1081" s="11">
        <v>15958</v>
      </c>
      <c r="G1081">
        <f t="shared" ca="1" si="67"/>
        <v>8</v>
      </c>
      <c r="H1081" s="11">
        <f ca="1">IF(Table1[[#This Row],[Category]]="Electronics",Table1[[#This Row],[Sales]]*0.6,
IF(Table1[[#This Row],[Category]]="Furniture",Table1[[#This Row],[Sales]]*0.75,
IF(Table1[[#This Row],[Category]]="Clothing",Table1[[#This Row],[Sales]]*0.65,
Table1[[#This Row],[Sales]]*0.7)))</f>
        <v>9574.7999999999993</v>
      </c>
      <c r="I1081" s="11">
        <f ca="1">Table1[[#This Row],[Sales]]-H1081</f>
        <v>6383.2000000000007</v>
      </c>
      <c r="J1081" s="2">
        <f ca="1">Table1[[#This Row],[Profit]]/Table1[[#This Row],[Sales]]</f>
        <v>0.4</v>
      </c>
      <c r="K1081" t="str">
        <f ca="1">TEXT(Table1[[#This Row],[Order_Date]],"mmm")</f>
        <v>Jul</v>
      </c>
      <c r="L1081">
        <f ca="1">YEAR(Table1[[#This Row],[Order_Date]])</f>
        <v>2023</v>
      </c>
    </row>
    <row r="1082" spans="1:12" x14ac:dyDescent="0.3">
      <c r="A1082">
        <f t="shared" si="64"/>
        <v>1081</v>
      </c>
      <c r="B1082" s="1">
        <f t="shared" ca="1" si="65"/>
        <v>44999</v>
      </c>
      <c r="C1082" t="s">
        <v>7</v>
      </c>
      <c r="D1082" t="str">
        <f t="shared" ca="1" si="66"/>
        <v>Clothing</v>
      </c>
      <c r="E1082" t="s">
        <v>80</v>
      </c>
      <c r="F1082" s="11">
        <v>7837</v>
      </c>
      <c r="G1082">
        <f t="shared" ca="1" si="67"/>
        <v>3</v>
      </c>
      <c r="H1082" s="11">
        <f ca="1">IF(Table1[[#This Row],[Category]]="Electronics",Table1[[#This Row],[Sales]]*0.6,
IF(Table1[[#This Row],[Category]]="Furniture",Table1[[#This Row],[Sales]]*0.75,
IF(Table1[[#This Row],[Category]]="Clothing",Table1[[#This Row],[Sales]]*0.65,
Table1[[#This Row],[Sales]]*0.7)))</f>
        <v>5094.05</v>
      </c>
      <c r="I1082" s="11">
        <f ca="1">Table1[[#This Row],[Sales]]-H1082</f>
        <v>2742.95</v>
      </c>
      <c r="J1082" s="2">
        <f ca="1">Table1[[#This Row],[Profit]]/Table1[[#This Row],[Sales]]</f>
        <v>0.35</v>
      </c>
      <c r="K1082" t="str">
        <f ca="1">TEXT(Table1[[#This Row],[Order_Date]],"mmm")</f>
        <v>Mar</v>
      </c>
      <c r="L1082">
        <f ca="1">YEAR(Table1[[#This Row],[Order_Date]])</f>
        <v>2023</v>
      </c>
    </row>
    <row r="1083" spans="1:12" x14ac:dyDescent="0.3">
      <c r="A1083">
        <f t="shared" si="64"/>
        <v>1082</v>
      </c>
      <c r="B1083" s="1">
        <f t="shared" ca="1" si="65"/>
        <v>45174</v>
      </c>
      <c r="C1083" t="s">
        <v>8</v>
      </c>
      <c r="D1083" t="str">
        <f t="shared" ca="1" si="66"/>
        <v>Clothing</v>
      </c>
      <c r="E1083" t="s">
        <v>64</v>
      </c>
      <c r="F1083" s="11">
        <v>4183</v>
      </c>
      <c r="G1083">
        <f t="shared" ca="1" si="67"/>
        <v>3</v>
      </c>
      <c r="H1083" s="11">
        <f ca="1">IF(Table1[[#This Row],[Category]]="Electronics",Table1[[#This Row],[Sales]]*0.6,
IF(Table1[[#This Row],[Category]]="Furniture",Table1[[#This Row],[Sales]]*0.75,
IF(Table1[[#This Row],[Category]]="Clothing",Table1[[#This Row],[Sales]]*0.65,
Table1[[#This Row],[Sales]]*0.7)))</f>
        <v>2718.9500000000003</v>
      </c>
      <c r="I1083" s="11">
        <f ca="1">Table1[[#This Row],[Sales]]-H1083</f>
        <v>1464.0499999999997</v>
      </c>
      <c r="J1083" s="2">
        <f ca="1">Table1[[#This Row],[Profit]]/Table1[[#This Row],[Sales]]</f>
        <v>0.34999999999999992</v>
      </c>
      <c r="K1083" t="str">
        <f ca="1">TEXT(Table1[[#This Row],[Order_Date]],"mmm")</f>
        <v>Sep</v>
      </c>
      <c r="L1083">
        <f ca="1">YEAR(Table1[[#This Row],[Order_Date]])</f>
        <v>2023</v>
      </c>
    </row>
    <row r="1084" spans="1:12" x14ac:dyDescent="0.3">
      <c r="A1084">
        <f t="shared" si="64"/>
        <v>1083</v>
      </c>
      <c r="B1084" s="1">
        <f t="shared" ca="1" si="65"/>
        <v>45080</v>
      </c>
      <c r="C1084" t="s">
        <v>9</v>
      </c>
      <c r="D1084" t="str">
        <f t="shared" ca="1" si="66"/>
        <v>Clothing</v>
      </c>
      <c r="E1084" t="s">
        <v>80</v>
      </c>
      <c r="F1084" s="11">
        <v>17202</v>
      </c>
      <c r="G1084">
        <f t="shared" ca="1" si="67"/>
        <v>4</v>
      </c>
      <c r="H1084" s="11">
        <f ca="1">IF(Table1[[#This Row],[Category]]="Electronics",Table1[[#This Row],[Sales]]*0.6,
IF(Table1[[#This Row],[Category]]="Furniture",Table1[[#This Row],[Sales]]*0.75,
IF(Table1[[#This Row],[Category]]="Clothing",Table1[[#This Row],[Sales]]*0.65,
Table1[[#This Row],[Sales]]*0.7)))</f>
        <v>11181.300000000001</v>
      </c>
      <c r="I1084" s="11">
        <f ca="1">Table1[[#This Row],[Sales]]-H1084</f>
        <v>6020.6999999999989</v>
      </c>
      <c r="J1084" s="2">
        <f ca="1">Table1[[#This Row],[Profit]]/Table1[[#This Row],[Sales]]</f>
        <v>0.34999999999999992</v>
      </c>
      <c r="K1084" t="str">
        <f ca="1">TEXT(Table1[[#This Row],[Order_Date]],"mmm")</f>
        <v>Jun</v>
      </c>
      <c r="L1084">
        <f ca="1">YEAR(Table1[[#This Row],[Order_Date]])</f>
        <v>2023</v>
      </c>
    </row>
    <row r="1085" spans="1:12" x14ac:dyDescent="0.3">
      <c r="A1085">
        <f t="shared" si="64"/>
        <v>1084</v>
      </c>
      <c r="B1085" s="1">
        <f t="shared" ca="1" si="65"/>
        <v>44993</v>
      </c>
      <c r="C1085" t="s">
        <v>10</v>
      </c>
      <c r="D1085" t="str">
        <f t="shared" ca="1" si="66"/>
        <v>Furniture</v>
      </c>
      <c r="E1085" t="s">
        <v>39</v>
      </c>
      <c r="F1085" s="11">
        <v>14655</v>
      </c>
      <c r="G1085">
        <f t="shared" ca="1" si="67"/>
        <v>2</v>
      </c>
      <c r="H1085" s="11">
        <f ca="1">IF(Table1[[#This Row],[Category]]="Electronics",Table1[[#This Row],[Sales]]*0.6,
IF(Table1[[#This Row],[Category]]="Furniture",Table1[[#This Row],[Sales]]*0.75,
IF(Table1[[#This Row],[Category]]="Clothing",Table1[[#This Row],[Sales]]*0.65,
Table1[[#This Row],[Sales]]*0.7)))</f>
        <v>10991.25</v>
      </c>
      <c r="I1085" s="11">
        <f ca="1">Table1[[#This Row],[Sales]]-H1085</f>
        <v>3663.75</v>
      </c>
      <c r="J1085" s="2">
        <f ca="1">Table1[[#This Row],[Profit]]/Table1[[#This Row],[Sales]]</f>
        <v>0.25</v>
      </c>
      <c r="K1085" t="str">
        <f ca="1">TEXT(Table1[[#This Row],[Order_Date]],"mmm")</f>
        <v>Mar</v>
      </c>
      <c r="L1085">
        <f ca="1">YEAR(Table1[[#This Row],[Order_Date]])</f>
        <v>2023</v>
      </c>
    </row>
    <row r="1086" spans="1:12" x14ac:dyDescent="0.3">
      <c r="A1086">
        <f t="shared" si="64"/>
        <v>1085</v>
      </c>
      <c r="B1086" s="1">
        <f t="shared" ca="1" si="65"/>
        <v>45102</v>
      </c>
      <c r="C1086" t="s">
        <v>7</v>
      </c>
      <c r="D1086" t="str">
        <f t="shared" ca="1" si="66"/>
        <v>Furniture</v>
      </c>
      <c r="E1086" t="s">
        <v>55</v>
      </c>
      <c r="F1086" s="11">
        <v>621</v>
      </c>
      <c r="G1086">
        <f t="shared" ca="1" si="67"/>
        <v>7</v>
      </c>
      <c r="H1086" s="11">
        <f ca="1">IF(Table1[[#This Row],[Category]]="Electronics",Table1[[#This Row],[Sales]]*0.6,
IF(Table1[[#This Row],[Category]]="Furniture",Table1[[#This Row],[Sales]]*0.75,
IF(Table1[[#This Row],[Category]]="Clothing",Table1[[#This Row],[Sales]]*0.65,
Table1[[#This Row],[Sales]]*0.7)))</f>
        <v>465.75</v>
      </c>
      <c r="I1086" s="11">
        <f ca="1">Table1[[#This Row],[Sales]]-H1086</f>
        <v>155.25</v>
      </c>
      <c r="J1086" s="2">
        <f ca="1">Table1[[#This Row],[Profit]]/Table1[[#This Row],[Sales]]</f>
        <v>0.25</v>
      </c>
      <c r="K1086" t="str">
        <f ca="1">TEXT(Table1[[#This Row],[Order_Date]],"mmm")</f>
        <v>Jun</v>
      </c>
      <c r="L1086">
        <f ca="1">YEAR(Table1[[#This Row],[Order_Date]])</f>
        <v>2023</v>
      </c>
    </row>
    <row r="1087" spans="1:12" x14ac:dyDescent="0.3">
      <c r="A1087">
        <f t="shared" si="64"/>
        <v>1086</v>
      </c>
      <c r="B1087" s="1">
        <f t="shared" ca="1" si="65"/>
        <v>44962</v>
      </c>
      <c r="C1087" t="s">
        <v>8</v>
      </c>
      <c r="D1087" t="str">
        <f t="shared" ca="1" si="66"/>
        <v>Office Supplies</v>
      </c>
      <c r="E1087" t="s">
        <v>59</v>
      </c>
      <c r="F1087" s="11">
        <v>9680</v>
      </c>
      <c r="G1087">
        <f t="shared" ca="1" si="67"/>
        <v>7</v>
      </c>
      <c r="H1087" s="11">
        <f ca="1">IF(Table1[[#This Row],[Category]]="Electronics",Table1[[#This Row],[Sales]]*0.6,
IF(Table1[[#This Row],[Category]]="Furniture",Table1[[#This Row],[Sales]]*0.75,
IF(Table1[[#This Row],[Category]]="Clothing",Table1[[#This Row],[Sales]]*0.65,
Table1[[#This Row],[Sales]]*0.7)))</f>
        <v>6776</v>
      </c>
      <c r="I1087" s="11">
        <f ca="1">Table1[[#This Row],[Sales]]-H1087</f>
        <v>2904</v>
      </c>
      <c r="J1087" s="2">
        <f ca="1">Table1[[#This Row],[Profit]]/Table1[[#This Row],[Sales]]</f>
        <v>0.3</v>
      </c>
      <c r="K1087" t="str">
        <f ca="1">TEXT(Table1[[#This Row],[Order_Date]],"mmm")</f>
        <v>Feb</v>
      </c>
      <c r="L1087">
        <f ca="1">YEAR(Table1[[#This Row],[Order_Date]])</f>
        <v>2023</v>
      </c>
    </row>
    <row r="1088" spans="1:12" x14ac:dyDescent="0.3">
      <c r="A1088">
        <f t="shared" si="64"/>
        <v>1087</v>
      </c>
      <c r="B1088" s="1">
        <f t="shared" ca="1" si="65"/>
        <v>45166</v>
      </c>
      <c r="C1088" t="s">
        <v>9</v>
      </c>
      <c r="D1088" t="str">
        <f t="shared" ca="1" si="66"/>
        <v>Electronics</v>
      </c>
      <c r="E1088" t="s">
        <v>54</v>
      </c>
      <c r="F1088" s="11">
        <v>17298</v>
      </c>
      <c r="G1088">
        <f t="shared" ca="1" si="67"/>
        <v>9</v>
      </c>
      <c r="H1088" s="11">
        <f ca="1">IF(Table1[[#This Row],[Category]]="Electronics",Table1[[#This Row],[Sales]]*0.6,
IF(Table1[[#This Row],[Category]]="Furniture",Table1[[#This Row],[Sales]]*0.75,
IF(Table1[[#This Row],[Category]]="Clothing",Table1[[#This Row],[Sales]]*0.65,
Table1[[#This Row],[Sales]]*0.7)))</f>
        <v>10378.799999999999</v>
      </c>
      <c r="I1088" s="11">
        <f ca="1">Table1[[#This Row],[Sales]]-H1088</f>
        <v>6919.2000000000007</v>
      </c>
      <c r="J1088" s="2">
        <f ca="1">Table1[[#This Row],[Profit]]/Table1[[#This Row],[Sales]]</f>
        <v>0.4</v>
      </c>
      <c r="K1088" t="str">
        <f ca="1">TEXT(Table1[[#This Row],[Order_Date]],"mmm")</f>
        <v>Aug</v>
      </c>
      <c r="L1088">
        <f ca="1">YEAR(Table1[[#This Row],[Order_Date]])</f>
        <v>2023</v>
      </c>
    </row>
    <row r="1089" spans="1:12" x14ac:dyDescent="0.3">
      <c r="A1089">
        <f t="shared" si="64"/>
        <v>1088</v>
      </c>
      <c r="B1089" s="1">
        <f t="shared" ca="1" si="65"/>
        <v>45172</v>
      </c>
      <c r="C1089" t="s">
        <v>10</v>
      </c>
      <c r="D1089" t="str">
        <f t="shared" ca="1" si="66"/>
        <v>Office Supplies</v>
      </c>
      <c r="E1089" t="s">
        <v>59</v>
      </c>
      <c r="F1089" s="11">
        <v>5106</v>
      </c>
      <c r="G1089">
        <f t="shared" ca="1" si="67"/>
        <v>9</v>
      </c>
      <c r="H1089" s="11">
        <f ca="1">IF(Table1[[#This Row],[Category]]="Electronics",Table1[[#This Row],[Sales]]*0.6,
IF(Table1[[#This Row],[Category]]="Furniture",Table1[[#This Row],[Sales]]*0.75,
IF(Table1[[#This Row],[Category]]="Clothing",Table1[[#This Row],[Sales]]*0.65,
Table1[[#This Row],[Sales]]*0.7)))</f>
        <v>3574.2</v>
      </c>
      <c r="I1089" s="11">
        <f ca="1">Table1[[#This Row],[Sales]]-H1089</f>
        <v>1531.8000000000002</v>
      </c>
      <c r="J1089" s="2">
        <f ca="1">Table1[[#This Row],[Profit]]/Table1[[#This Row],[Sales]]</f>
        <v>0.30000000000000004</v>
      </c>
      <c r="K1089" t="str">
        <f ca="1">TEXT(Table1[[#This Row],[Order_Date]],"mmm")</f>
        <v>Sep</v>
      </c>
      <c r="L1089">
        <f ca="1">YEAR(Table1[[#This Row],[Order_Date]])</f>
        <v>2023</v>
      </c>
    </row>
    <row r="1090" spans="1:12" x14ac:dyDescent="0.3">
      <c r="A1090">
        <f t="shared" si="64"/>
        <v>1089</v>
      </c>
      <c r="B1090" s="1">
        <f t="shared" ca="1" si="65"/>
        <v>45000</v>
      </c>
      <c r="C1090" t="s">
        <v>7</v>
      </c>
      <c r="D1090" t="str">
        <f t="shared" ca="1" si="66"/>
        <v>Clothing</v>
      </c>
      <c r="E1090" t="s">
        <v>85</v>
      </c>
      <c r="F1090" s="11">
        <v>7814</v>
      </c>
      <c r="G1090">
        <f t="shared" ca="1" si="67"/>
        <v>2</v>
      </c>
      <c r="H1090" s="11">
        <f ca="1">IF(Table1[[#This Row],[Category]]="Electronics",Table1[[#This Row],[Sales]]*0.6,
IF(Table1[[#This Row],[Category]]="Furniture",Table1[[#This Row],[Sales]]*0.75,
IF(Table1[[#This Row],[Category]]="Clothing",Table1[[#This Row],[Sales]]*0.65,
Table1[[#This Row],[Sales]]*0.7)))</f>
        <v>5079.1000000000004</v>
      </c>
      <c r="I1090" s="11">
        <f ca="1">Table1[[#This Row],[Sales]]-H1090</f>
        <v>2734.8999999999996</v>
      </c>
      <c r="J1090" s="2">
        <f ca="1">Table1[[#This Row],[Profit]]/Table1[[#This Row],[Sales]]</f>
        <v>0.35</v>
      </c>
      <c r="K1090" t="str">
        <f ca="1">TEXT(Table1[[#This Row],[Order_Date]],"mmm")</f>
        <v>Mar</v>
      </c>
      <c r="L1090">
        <f ca="1">YEAR(Table1[[#This Row],[Order_Date]])</f>
        <v>2023</v>
      </c>
    </row>
    <row r="1091" spans="1:12" x14ac:dyDescent="0.3">
      <c r="A1091">
        <f t="shared" ref="A1091:A1154" si="68">ROW()-1</f>
        <v>1090</v>
      </c>
      <c r="B1091" s="1">
        <f t="shared" ref="B1091:B1154" ca="1" si="69">DATE(2023, RANDBETWEEN(1,12), RANDBETWEEN(1,28))</f>
        <v>45079</v>
      </c>
      <c r="C1091" t="s">
        <v>8</v>
      </c>
      <c r="D1091" t="str">
        <f t="shared" ref="D1091:D1154" ca="1" si="70">CHOOSE(RANDBETWEEN(1,4),"Electronics","Furniture","Clothing","Office Supplies")</f>
        <v>Electronics</v>
      </c>
      <c r="E1091" t="s">
        <v>74</v>
      </c>
      <c r="F1091" s="11">
        <v>2004</v>
      </c>
      <c r="G1091">
        <f t="shared" ref="G1091:G1154" ca="1" si="71">RANDBETWEEN(1,10)</f>
        <v>6</v>
      </c>
      <c r="H1091" s="11">
        <f ca="1">IF(Table1[[#This Row],[Category]]="Electronics",Table1[[#This Row],[Sales]]*0.6,
IF(Table1[[#This Row],[Category]]="Furniture",Table1[[#This Row],[Sales]]*0.75,
IF(Table1[[#This Row],[Category]]="Clothing",Table1[[#This Row],[Sales]]*0.65,
Table1[[#This Row],[Sales]]*0.7)))</f>
        <v>1202.3999999999999</v>
      </c>
      <c r="I1091" s="11">
        <f ca="1">Table1[[#This Row],[Sales]]-H1091</f>
        <v>801.60000000000014</v>
      </c>
      <c r="J1091" s="2">
        <f ca="1">Table1[[#This Row],[Profit]]/Table1[[#This Row],[Sales]]</f>
        <v>0.40000000000000008</v>
      </c>
      <c r="K1091" t="str">
        <f ca="1">TEXT(Table1[[#This Row],[Order_Date]],"mmm")</f>
        <v>Jun</v>
      </c>
      <c r="L1091">
        <f ca="1">YEAR(Table1[[#This Row],[Order_Date]])</f>
        <v>2023</v>
      </c>
    </row>
    <row r="1092" spans="1:12" x14ac:dyDescent="0.3">
      <c r="A1092">
        <f t="shared" si="68"/>
        <v>1091</v>
      </c>
      <c r="B1092" s="1">
        <f t="shared" ca="1" si="69"/>
        <v>44937</v>
      </c>
      <c r="C1092" t="s">
        <v>9</v>
      </c>
      <c r="D1092" t="str">
        <f t="shared" ca="1" si="70"/>
        <v>Furniture</v>
      </c>
      <c r="E1092" t="s">
        <v>68</v>
      </c>
      <c r="F1092" s="11">
        <v>17283</v>
      </c>
      <c r="G1092">
        <f t="shared" ca="1" si="71"/>
        <v>10</v>
      </c>
      <c r="H1092" s="11">
        <f ca="1">IF(Table1[[#This Row],[Category]]="Electronics",Table1[[#This Row],[Sales]]*0.6,
IF(Table1[[#This Row],[Category]]="Furniture",Table1[[#This Row],[Sales]]*0.75,
IF(Table1[[#This Row],[Category]]="Clothing",Table1[[#This Row],[Sales]]*0.65,
Table1[[#This Row],[Sales]]*0.7)))</f>
        <v>12962.25</v>
      </c>
      <c r="I1092" s="11">
        <f ca="1">Table1[[#This Row],[Sales]]-H1092</f>
        <v>4320.75</v>
      </c>
      <c r="J1092" s="2">
        <f ca="1">Table1[[#This Row],[Profit]]/Table1[[#This Row],[Sales]]</f>
        <v>0.25</v>
      </c>
      <c r="K1092" t="str">
        <f ca="1">TEXT(Table1[[#This Row],[Order_Date]],"mmm")</f>
        <v>Jan</v>
      </c>
      <c r="L1092">
        <f ca="1">YEAR(Table1[[#This Row],[Order_Date]])</f>
        <v>2023</v>
      </c>
    </row>
    <row r="1093" spans="1:12" x14ac:dyDescent="0.3">
      <c r="A1093">
        <f t="shared" si="68"/>
        <v>1092</v>
      </c>
      <c r="B1093" s="1">
        <f t="shared" ca="1" si="69"/>
        <v>45028</v>
      </c>
      <c r="C1093" t="s">
        <v>10</v>
      </c>
      <c r="D1093" t="str">
        <f t="shared" ca="1" si="70"/>
        <v>Furniture</v>
      </c>
      <c r="E1093" t="s">
        <v>53</v>
      </c>
      <c r="F1093" s="11">
        <v>12346</v>
      </c>
      <c r="G1093">
        <f t="shared" ca="1" si="71"/>
        <v>2</v>
      </c>
      <c r="H1093" s="11">
        <f ca="1">IF(Table1[[#This Row],[Category]]="Electronics",Table1[[#This Row],[Sales]]*0.6,
IF(Table1[[#This Row],[Category]]="Furniture",Table1[[#This Row],[Sales]]*0.75,
IF(Table1[[#This Row],[Category]]="Clothing",Table1[[#This Row],[Sales]]*0.65,
Table1[[#This Row],[Sales]]*0.7)))</f>
        <v>9259.5</v>
      </c>
      <c r="I1093" s="11">
        <f ca="1">Table1[[#This Row],[Sales]]-H1093</f>
        <v>3086.5</v>
      </c>
      <c r="J1093" s="2">
        <f ca="1">Table1[[#This Row],[Profit]]/Table1[[#This Row],[Sales]]</f>
        <v>0.25</v>
      </c>
      <c r="K1093" t="str">
        <f ca="1">TEXT(Table1[[#This Row],[Order_Date]],"mmm")</f>
        <v>Apr</v>
      </c>
      <c r="L1093">
        <f ca="1">YEAR(Table1[[#This Row],[Order_Date]])</f>
        <v>2023</v>
      </c>
    </row>
    <row r="1094" spans="1:12" x14ac:dyDescent="0.3">
      <c r="A1094">
        <f t="shared" si="68"/>
        <v>1093</v>
      </c>
      <c r="B1094" s="1">
        <f t="shared" ca="1" si="69"/>
        <v>45246</v>
      </c>
      <c r="C1094" t="s">
        <v>7</v>
      </c>
      <c r="D1094" t="str">
        <f t="shared" ca="1" si="70"/>
        <v>Electronics</v>
      </c>
      <c r="E1094" t="s">
        <v>56</v>
      </c>
      <c r="F1094" s="11">
        <v>1225</v>
      </c>
      <c r="G1094">
        <f t="shared" ca="1" si="71"/>
        <v>4</v>
      </c>
      <c r="H1094" s="11">
        <f ca="1">IF(Table1[[#This Row],[Category]]="Electronics",Table1[[#This Row],[Sales]]*0.6,
IF(Table1[[#This Row],[Category]]="Furniture",Table1[[#This Row],[Sales]]*0.75,
IF(Table1[[#This Row],[Category]]="Clothing",Table1[[#This Row],[Sales]]*0.65,
Table1[[#This Row],[Sales]]*0.7)))</f>
        <v>735</v>
      </c>
      <c r="I1094" s="11">
        <f ca="1">Table1[[#This Row],[Sales]]-H1094</f>
        <v>490</v>
      </c>
      <c r="J1094" s="2">
        <f ca="1">Table1[[#This Row],[Profit]]/Table1[[#This Row],[Sales]]</f>
        <v>0.4</v>
      </c>
      <c r="K1094" t="str">
        <f ca="1">TEXT(Table1[[#This Row],[Order_Date]],"mmm")</f>
        <v>Nov</v>
      </c>
      <c r="L1094">
        <f ca="1">YEAR(Table1[[#This Row],[Order_Date]])</f>
        <v>2023</v>
      </c>
    </row>
    <row r="1095" spans="1:12" x14ac:dyDescent="0.3">
      <c r="A1095">
        <f t="shared" si="68"/>
        <v>1094</v>
      </c>
      <c r="B1095" s="1">
        <f t="shared" ca="1" si="69"/>
        <v>45225</v>
      </c>
      <c r="C1095" t="s">
        <v>8</v>
      </c>
      <c r="D1095" t="str">
        <f t="shared" ca="1" si="70"/>
        <v>Furniture</v>
      </c>
      <c r="E1095" t="s">
        <v>54</v>
      </c>
      <c r="F1095" s="11">
        <v>5417</v>
      </c>
      <c r="G1095">
        <f t="shared" ca="1" si="71"/>
        <v>6</v>
      </c>
      <c r="H1095" s="11">
        <f ca="1">IF(Table1[[#This Row],[Category]]="Electronics",Table1[[#This Row],[Sales]]*0.6,
IF(Table1[[#This Row],[Category]]="Furniture",Table1[[#This Row],[Sales]]*0.75,
IF(Table1[[#This Row],[Category]]="Clothing",Table1[[#This Row],[Sales]]*0.65,
Table1[[#This Row],[Sales]]*0.7)))</f>
        <v>4062.75</v>
      </c>
      <c r="I1095" s="11">
        <f ca="1">Table1[[#This Row],[Sales]]-H1095</f>
        <v>1354.25</v>
      </c>
      <c r="J1095" s="2">
        <f ca="1">Table1[[#This Row],[Profit]]/Table1[[#This Row],[Sales]]</f>
        <v>0.25</v>
      </c>
      <c r="K1095" t="str">
        <f ca="1">TEXT(Table1[[#This Row],[Order_Date]],"mmm")</f>
        <v>Oct</v>
      </c>
      <c r="L1095">
        <f ca="1">YEAR(Table1[[#This Row],[Order_Date]])</f>
        <v>2023</v>
      </c>
    </row>
    <row r="1096" spans="1:12" x14ac:dyDescent="0.3">
      <c r="A1096">
        <f t="shared" si="68"/>
        <v>1095</v>
      </c>
      <c r="B1096" s="1">
        <f t="shared" ca="1" si="69"/>
        <v>45133</v>
      </c>
      <c r="C1096" t="s">
        <v>9</v>
      </c>
      <c r="D1096" t="str">
        <f t="shared" ca="1" si="70"/>
        <v>Office Supplies</v>
      </c>
      <c r="E1096" t="s">
        <v>45</v>
      </c>
      <c r="F1096" s="11">
        <v>4710</v>
      </c>
      <c r="G1096">
        <f t="shared" ca="1" si="71"/>
        <v>4</v>
      </c>
      <c r="H1096" s="11">
        <f ca="1">IF(Table1[[#This Row],[Category]]="Electronics",Table1[[#This Row],[Sales]]*0.6,
IF(Table1[[#This Row],[Category]]="Furniture",Table1[[#This Row],[Sales]]*0.75,
IF(Table1[[#This Row],[Category]]="Clothing",Table1[[#This Row],[Sales]]*0.65,
Table1[[#This Row],[Sales]]*0.7)))</f>
        <v>3297</v>
      </c>
      <c r="I1096" s="11">
        <f ca="1">Table1[[#This Row],[Sales]]-H1096</f>
        <v>1413</v>
      </c>
      <c r="J1096" s="2">
        <f ca="1">Table1[[#This Row],[Profit]]/Table1[[#This Row],[Sales]]</f>
        <v>0.3</v>
      </c>
      <c r="K1096" t="str">
        <f ca="1">TEXT(Table1[[#This Row],[Order_Date]],"mmm")</f>
        <v>Jul</v>
      </c>
      <c r="L1096">
        <f ca="1">YEAR(Table1[[#This Row],[Order_Date]])</f>
        <v>2023</v>
      </c>
    </row>
    <row r="1097" spans="1:12" x14ac:dyDescent="0.3">
      <c r="A1097">
        <f t="shared" si="68"/>
        <v>1096</v>
      </c>
      <c r="B1097" s="1">
        <f t="shared" ca="1" si="69"/>
        <v>44980</v>
      </c>
      <c r="C1097" t="s">
        <v>10</v>
      </c>
      <c r="D1097" t="str">
        <f t="shared" ca="1" si="70"/>
        <v>Furniture</v>
      </c>
      <c r="E1097" t="s">
        <v>59</v>
      </c>
      <c r="F1097" s="11">
        <v>9047</v>
      </c>
      <c r="G1097">
        <f t="shared" ca="1" si="71"/>
        <v>5</v>
      </c>
      <c r="H1097" s="11">
        <f ca="1">IF(Table1[[#This Row],[Category]]="Electronics",Table1[[#This Row],[Sales]]*0.6,
IF(Table1[[#This Row],[Category]]="Furniture",Table1[[#This Row],[Sales]]*0.75,
IF(Table1[[#This Row],[Category]]="Clothing",Table1[[#This Row],[Sales]]*0.65,
Table1[[#This Row],[Sales]]*0.7)))</f>
        <v>6785.25</v>
      </c>
      <c r="I1097" s="11">
        <f ca="1">Table1[[#This Row],[Sales]]-H1097</f>
        <v>2261.75</v>
      </c>
      <c r="J1097" s="2">
        <f ca="1">Table1[[#This Row],[Profit]]/Table1[[#This Row],[Sales]]</f>
        <v>0.25</v>
      </c>
      <c r="K1097" t="str">
        <f ca="1">TEXT(Table1[[#This Row],[Order_Date]],"mmm")</f>
        <v>Feb</v>
      </c>
      <c r="L1097">
        <f ca="1">YEAR(Table1[[#This Row],[Order_Date]])</f>
        <v>2023</v>
      </c>
    </row>
    <row r="1098" spans="1:12" x14ac:dyDescent="0.3">
      <c r="A1098">
        <f t="shared" si="68"/>
        <v>1097</v>
      </c>
      <c r="B1098" s="1">
        <f t="shared" ca="1" si="69"/>
        <v>45154</v>
      </c>
      <c r="C1098" t="s">
        <v>7</v>
      </c>
      <c r="D1098" t="str">
        <f t="shared" ca="1" si="70"/>
        <v>Electronics</v>
      </c>
      <c r="E1098" t="s">
        <v>47</v>
      </c>
      <c r="F1098" s="11">
        <v>4055</v>
      </c>
      <c r="G1098">
        <f t="shared" ca="1" si="71"/>
        <v>6</v>
      </c>
      <c r="H1098" s="11">
        <f ca="1">IF(Table1[[#This Row],[Category]]="Electronics",Table1[[#This Row],[Sales]]*0.6,
IF(Table1[[#This Row],[Category]]="Furniture",Table1[[#This Row],[Sales]]*0.75,
IF(Table1[[#This Row],[Category]]="Clothing",Table1[[#This Row],[Sales]]*0.65,
Table1[[#This Row],[Sales]]*0.7)))</f>
        <v>2433</v>
      </c>
      <c r="I1098" s="11">
        <f ca="1">Table1[[#This Row],[Sales]]-H1098</f>
        <v>1622</v>
      </c>
      <c r="J1098" s="2">
        <f ca="1">Table1[[#This Row],[Profit]]/Table1[[#This Row],[Sales]]</f>
        <v>0.4</v>
      </c>
      <c r="K1098" t="str">
        <f ca="1">TEXT(Table1[[#This Row],[Order_Date]],"mmm")</f>
        <v>Aug</v>
      </c>
      <c r="L1098">
        <f ca="1">YEAR(Table1[[#This Row],[Order_Date]])</f>
        <v>2023</v>
      </c>
    </row>
    <row r="1099" spans="1:12" x14ac:dyDescent="0.3">
      <c r="A1099">
        <f t="shared" si="68"/>
        <v>1098</v>
      </c>
      <c r="B1099" s="1">
        <f t="shared" ca="1" si="69"/>
        <v>45253</v>
      </c>
      <c r="C1099" t="s">
        <v>8</v>
      </c>
      <c r="D1099" t="str">
        <f t="shared" ca="1" si="70"/>
        <v>Furniture</v>
      </c>
      <c r="E1099" t="s">
        <v>53</v>
      </c>
      <c r="F1099" s="11">
        <v>5696</v>
      </c>
      <c r="G1099">
        <f t="shared" ca="1" si="71"/>
        <v>6</v>
      </c>
      <c r="H1099" s="11">
        <f ca="1">IF(Table1[[#This Row],[Category]]="Electronics",Table1[[#This Row],[Sales]]*0.6,
IF(Table1[[#This Row],[Category]]="Furniture",Table1[[#This Row],[Sales]]*0.75,
IF(Table1[[#This Row],[Category]]="Clothing",Table1[[#This Row],[Sales]]*0.65,
Table1[[#This Row],[Sales]]*0.7)))</f>
        <v>4272</v>
      </c>
      <c r="I1099" s="11">
        <f ca="1">Table1[[#This Row],[Sales]]-H1099</f>
        <v>1424</v>
      </c>
      <c r="J1099" s="2">
        <f ca="1">Table1[[#This Row],[Profit]]/Table1[[#This Row],[Sales]]</f>
        <v>0.25</v>
      </c>
      <c r="K1099" t="str">
        <f ca="1">TEXT(Table1[[#This Row],[Order_Date]],"mmm")</f>
        <v>Nov</v>
      </c>
      <c r="L1099">
        <f ca="1">YEAR(Table1[[#This Row],[Order_Date]])</f>
        <v>2023</v>
      </c>
    </row>
    <row r="1100" spans="1:12" x14ac:dyDescent="0.3">
      <c r="A1100">
        <f t="shared" si="68"/>
        <v>1099</v>
      </c>
      <c r="B1100" s="1">
        <f t="shared" ca="1" si="69"/>
        <v>45244</v>
      </c>
      <c r="C1100" t="s">
        <v>9</v>
      </c>
      <c r="D1100" t="str">
        <f t="shared" ca="1" si="70"/>
        <v>Furniture</v>
      </c>
      <c r="E1100" t="s">
        <v>66</v>
      </c>
      <c r="F1100" s="11">
        <v>18415</v>
      </c>
      <c r="G1100">
        <f t="shared" ca="1" si="71"/>
        <v>9</v>
      </c>
      <c r="H1100" s="11">
        <f ca="1">IF(Table1[[#This Row],[Category]]="Electronics",Table1[[#This Row],[Sales]]*0.6,
IF(Table1[[#This Row],[Category]]="Furniture",Table1[[#This Row],[Sales]]*0.75,
IF(Table1[[#This Row],[Category]]="Clothing",Table1[[#This Row],[Sales]]*0.65,
Table1[[#This Row],[Sales]]*0.7)))</f>
        <v>13811.25</v>
      </c>
      <c r="I1100" s="11">
        <f ca="1">Table1[[#This Row],[Sales]]-H1100</f>
        <v>4603.75</v>
      </c>
      <c r="J1100" s="2">
        <f ca="1">Table1[[#This Row],[Profit]]/Table1[[#This Row],[Sales]]</f>
        <v>0.25</v>
      </c>
      <c r="K1100" t="str">
        <f ca="1">TEXT(Table1[[#This Row],[Order_Date]],"mmm")</f>
        <v>Nov</v>
      </c>
      <c r="L1100">
        <f ca="1">YEAR(Table1[[#This Row],[Order_Date]])</f>
        <v>2023</v>
      </c>
    </row>
    <row r="1101" spans="1:12" x14ac:dyDescent="0.3">
      <c r="A1101">
        <f t="shared" si="68"/>
        <v>1100</v>
      </c>
      <c r="B1101" s="1">
        <f t="shared" ca="1" si="69"/>
        <v>45250</v>
      </c>
      <c r="C1101" t="s">
        <v>10</v>
      </c>
      <c r="D1101" t="str">
        <f t="shared" ca="1" si="70"/>
        <v>Furniture</v>
      </c>
      <c r="E1101" t="s">
        <v>59</v>
      </c>
      <c r="F1101" s="11">
        <v>7338</v>
      </c>
      <c r="G1101">
        <f t="shared" ca="1" si="71"/>
        <v>5</v>
      </c>
      <c r="H1101" s="11">
        <f ca="1">IF(Table1[[#This Row],[Category]]="Electronics",Table1[[#This Row],[Sales]]*0.6,
IF(Table1[[#This Row],[Category]]="Furniture",Table1[[#This Row],[Sales]]*0.75,
IF(Table1[[#This Row],[Category]]="Clothing",Table1[[#This Row],[Sales]]*0.65,
Table1[[#This Row],[Sales]]*0.7)))</f>
        <v>5503.5</v>
      </c>
      <c r="I1101" s="11">
        <f ca="1">Table1[[#This Row],[Sales]]-H1101</f>
        <v>1834.5</v>
      </c>
      <c r="J1101" s="2">
        <f ca="1">Table1[[#This Row],[Profit]]/Table1[[#This Row],[Sales]]</f>
        <v>0.25</v>
      </c>
      <c r="K1101" t="str">
        <f ca="1">TEXT(Table1[[#This Row],[Order_Date]],"mmm")</f>
        <v>Nov</v>
      </c>
      <c r="L1101">
        <f ca="1">YEAR(Table1[[#This Row],[Order_Date]])</f>
        <v>2023</v>
      </c>
    </row>
    <row r="1102" spans="1:12" x14ac:dyDescent="0.3">
      <c r="A1102">
        <f t="shared" si="68"/>
        <v>1101</v>
      </c>
      <c r="B1102" s="1">
        <f t="shared" ca="1" si="69"/>
        <v>45149</v>
      </c>
      <c r="C1102" t="s">
        <v>7</v>
      </c>
      <c r="D1102" t="str">
        <f t="shared" ca="1" si="70"/>
        <v>Clothing</v>
      </c>
      <c r="E1102" t="s">
        <v>76</v>
      </c>
      <c r="F1102" s="11">
        <v>16807</v>
      </c>
      <c r="G1102">
        <f t="shared" ca="1" si="71"/>
        <v>2</v>
      </c>
      <c r="H1102" s="11">
        <f ca="1">IF(Table1[[#This Row],[Category]]="Electronics",Table1[[#This Row],[Sales]]*0.6,
IF(Table1[[#This Row],[Category]]="Furniture",Table1[[#This Row],[Sales]]*0.75,
IF(Table1[[#This Row],[Category]]="Clothing",Table1[[#This Row],[Sales]]*0.65,
Table1[[#This Row],[Sales]]*0.7)))</f>
        <v>10924.550000000001</v>
      </c>
      <c r="I1102" s="11">
        <f ca="1">Table1[[#This Row],[Sales]]-H1102</f>
        <v>5882.4499999999989</v>
      </c>
      <c r="J1102" s="2">
        <f ca="1">Table1[[#This Row],[Profit]]/Table1[[#This Row],[Sales]]</f>
        <v>0.34999999999999992</v>
      </c>
      <c r="K1102" t="str">
        <f ca="1">TEXT(Table1[[#This Row],[Order_Date]],"mmm")</f>
        <v>Aug</v>
      </c>
      <c r="L1102">
        <f ca="1">YEAR(Table1[[#This Row],[Order_Date]])</f>
        <v>2023</v>
      </c>
    </row>
    <row r="1103" spans="1:12" x14ac:dyDescent="0.3">
      <c r="A1103">
        <f t="shared" si="68"/>
        <v>1102</v>
      </c>
      <c r="B1103" s="1">
        <f t="shared" ca="1" si="69"/>
        <v>45173</v>
      </c>
      <c r="C1103" t="s">
        <v>8</v>
      </c>
      <c r="D1103" t="str">
        <f t="shared" ca="1" si="70"/>
        <v>Office Supplies</v>
      </c>
      <c r="E1103" t="s">
        <v>67</v>
      </c>
      <c r="F1103" s="11">
        <v>4388</v>
      </c>
      <c r="G1103">
        <f t="shared" ca="1" si="71"/>
        <v>4</v>
      </c>
      <c r="H1103" s="11">
        <f ca="1">IF(Table1[[#This Row],[Category]]="Electronics",Table1[[#This Row],[Sales]]*0.6,
IF(Table1[[#This Row],[Category]]="Furniture",Table1[[#This Row],[Sales]]*0.75,
IF(Table1[[#This Row],[Category]]="Clothing",Table1[[#This Row],[Sales]]*0.65,
Table1[[#This Row],[Sales]]*0.7)))</f>
        <v>3071.6</v>
      </c>
      <c r="I1103" s="11">
        <f ca="1">Table1[[#This Row],[Sales]]-H1103</f>
        <v>1316.4</v>
      </c>
      <c r="J1103" s="2">
        <f ca="1">Table1[[#This Row],[Profit]]/Table1[[#This Row],[Sales]]</f>
        <v>0.30000000000000004</v>
      </c>
      <c r="K1103" t="str">
        <f ca="1">TEXT(Table1[[#This Row],[Order_Date]],"mmm")</f>
        <v>Sep</v>
      </c>
      <c r="L1103">
        <f ca="1">YEAR(Table1[[#This Row],[Order_Date]])</f>
        <v>2023</v>
      </c>
    </row>
    <row r="1104" spans="1:12" x14ac:dyDescent="0.3">
      <c r="A1104">
        <f t="shared" si="68"/>
        <v>1103</v>
      </c>
      <c r="B1104" s="1">
        <f t="shared" ca="1" si="69"/>
        <v>45035</v>
      </c>
      <c r="C1104" t="s">
        <v>9</v>
      </c>
      <c r="D1104" t="str">
        <f t="shared" ca="1" si="70"/>
        <v>Electronics</v>
      </c>
      <c r="E1104" t="s">
        <v>67</v>
      </c>
      <c r="F1104" s="11">
        <v>19715</v>
      </c>
      <c r="G1104">
        <f t="shared" ca="1" si="71"/>
        <v>8</v>
      </c>
      <c r="H1104" s="11">
        <f ca="1">IF(Table1[[#This Row],[Category]]="Electronics",Table1[[#This Row],[Sales]]*0.6,
IF(Table1[[#This Row],[Category]]="Furniture",Table1[[#This Row],[Sales]]*0.75,
IF(Table1[[#This Row],[Category]]="Clothing",Table1[[#This Row],[Sales]]*0.65,
Table1[[#This Row],[Sales]]*0.7)))</f>
        <v>11829</v>
      </c>
      <c r="I1104" s="11">
        <f ca="1">Table1[[#This Row],[Sales]]-H1104</f>
        <v>7886</v>
      </c>
      <c r="J1104" s="2">
        <f ca="1">Table1[[#This Row],[Profit]]/Table1[[#This Row],[Sales]]</f>
        <v>0.4</v>
      </c>
      <c r="K1104" t="str">
        <f ca="1">TEXT(Table1[[#This Row],[Order_Date]],"mmm")</f>
        <v>Apr</v>
      </c>
      <c r="L1104">
        <f ca="1">YEAR(Table1[[#This Row],[Order_Date]])</f>
        <v>2023</v>
      </c>
    </row>
    <row r="1105" spans="1:12" x14ac:dyDescent="0.3">
      <c r="A1105">
        <f t="shared" si="68"/>
        <v>1104</v>
      </c>
      <c r="B1105" s="1">
        <f t="shared" ca="1" si="69"/>
        <v>45147</v>
      </c>
      <c r="C1105" t="s">
        <v>10</v>
      </c>
      <c r="D1105" t="str">
        <f t="shared" ca="1" si="70"/>
        <v>Furniture</v>
      </c>
      <c r="E1105" t="s">
        <v>80</v>
      </c>
      <c r="F1105" s="11">
        <v>7154</v>
      </c>
      <c r="G1105">
        <f t="shared" ca="1" si="71"/>
        <v>5</v>
      </c>
      <c r="H1105" s="11">
        <f ca="1">IF(Table1[[#This Row],[Category]]="Electronics",Table1[[#This Row],[Sales]]*0.6,
IF(Table1[[#This Row],[Category]]="Furniture",Table1[[#This Row],[Sales]]*0.75,
IF(Table1[[#This Row],[Category]]="Clothing",Table1[[#This Row],[Sales]]*0.65,
Table1[[#This Row],[Sales]]*0.7)))</f>
        <v>5365.5</v>
      </c>
      <c r="I1105" s="11">
        <f ca="1">Table1[[#This Row],[Sales]]-H1105</f>
        <v>1788.5</v>
      </c>
      <c r="J1105" s="2">
        <f ca="1">Table1[[#This Row],[Profit]]/Table1[[#This Row],[Sales]]</f>
        <v>0.25</v>
      </c>
      <c r="K1105" t="str">
        <f ca="1">TEXT(Table1[[#This Row],[Order_Date]],"mmm")</f>
        <v>Aug</v>
      </c>
      <c r="L1105">
        <f ca="1">YEAR(Table1[[#This Row],[Order_Date]])</f>
        <v>2023</v>
      </c>
    </row>
    <row r="1106" spans="1:12" x14ac:dyDescent="0.3">
      <c r="A1106">
        <f t="shared" si="68"/>
        <v>1105</v>
      </c>
      <c r="B1106" s="1">
        <f t="shared" ca="1" si="69"/>
        <v>45058</v>
      </c>
      <c r="C1106" t="s">
        <v>7</v>
      </c>
      <c r="D1106" t="str">
        <f t="shared" ca="1" si="70"/>
        <v>Electronics</v>
      </c>
      <c r="E1106" t="s">
        <v>83</v>
      </c>
      <c r="F1106" s="11">
        <v>11155</v>
      </c>
      <c r="G1106">
        <f t="shared" ca="1" si="71"/>
        <v>7</v>
      </c>
      <c r="H1106" s="11">
        <f ca="1">IF(Table1[[#This Row],[Category]]="Electronics",Table1[[#This Row],[Sales]]*0.6,
IF(Table1[[#This Row],[Category]]="Furniture",Table1[[#This Row],[Sales]]*0.75,
IF(Table1[[#This Row],[Category]]="Clothing",Table1[[#This Row],[Sales]]*0.65,
Table1[[#This Row],[Sales]]*0.7)))</f>
        <v>6693</v>
      </c>
      <c r="I1106" s="11">
        <f ca="1">Table1[[#This Row],[Sales]]-H1106</f>
        <v>4462</v>
      </c>
      <c r="J1106" s="2">
        <f ca="1">Table1[[#This Row],[Profit]]/Table1[[#This Row],[Sales]]</f>
        <v>0.4</v>
      </c>
      <c r="K1106" t="str">
        <f ca="1">TEXT(Table1[[#This Row],[Order_Date]],"mmm")</f>
        <v>May</v>
      </c>
      <c r="L1106">
        <f ca="1">YEAR(Table1[[#This Row],[Order_Date]])</f>
        <v>2023</v>
      </c>
    </row>
    <row r="1107" spans="1:12" x14ac:dyDescent="0.3">
      <c r="A1107">
        <f t="shared" si="68"/>
        <v>1106</v>
      </c>
      <c r="B1107" s="1">
        <f t="shared" ca="1" si="69"/>
        <v>45047</v>
      </c>
      <c r="C1107" t="s">
        <v>8</v>
      </c>
      <c r="D1107" t="str">
        <f t="shared" ca="1" si="70"/>
        <v>Clothing</v>
      </c>
      <c r="E1107" t="s">
        <v>47</v>
      </c>
      <c r="F1107" s="11">
        <v>4332</v>
      </c>
      <c r="G1107">
        <f t="shared" ca="1" si="71"/>
        <v>7</v>
      </c>
      <c r="H1107" s="11">
        <f ca="1">IF(Table1[[#This Row],[Category]]="Electronics",Table1[[#This Row],[Sales]]*0.6,
IF(Table1[[#This Row],[Category]]="Furniture",Table1[[#This Row],[Sales]]*0.75,
IF(Table1[[#This Row],[Category]]="Clothing",Table1[[#This Row],[Sales]]*0.65,
Table1[[#This Row],[Sales]]*0.7)))</f>
        <v>2815.8</v>
      </c>
      <c r="I1107" s="11">
        <f ca="1">Table1[[#This Row],[Sales]]-H1107</f>
        <v>1516.1999999999998</v>
      </c>
      <c r="J1107" s="2">
        <f ca="1">Table1[[#This Row],[Profit]]/Table1[[#This Row],[Sales]]</f>
        <v>0.35</v>
      </c>
      <c r="K1107" t="str">
        <f ca="1">TEXT(Table1[[#This Row],[Order_Date]],"mmm")</f>
        <v>May</v>
      </c>
      <c r="L1107">
        <f ca="1">YEAR(Table1[[#This Row],[Order_Date]])</f>
        <v>2023</v>
      </c>
    </row>
    <row r="1108" spans="1:12" x14ac:dyDescent="0.3">
      <c r="A1108">
        <f t="shared" si="68"/>
        <v>1107</v>
      </c>
      <c r="B1108" s="1">
        <f t="shared" ca="1" si="69"/>
        <v>45151</v>
      </c>
      <c r="C1108" t="s">
        <v>9</v>
      </c>
      <c r="D1108" t="str">
        <f t="shared" ca="1" si="70"/>
        <v>Office Supplies</v>
      </c>
      <c r="E1108" t="s">
        <v>36</v>
      </c>
      <c r="F1108" s="11">
        <v>749</v>
      </c>
      <c r="G1108">
        <f t="shared" ca="1" si="71"/>
        <v>1</v>
      </c>
      <c r="H1108" s="11">
        <f ca="1">IF(Table1[[#This Row],[Category]]="Electronics",Table1[[#This Row],[Sales]]*0.6,
IF(Table1[[#This Row],[Category]]="Furniture",Table1[[#This Row],[Sales]]*0.75,
IF(Table1[[#This Row],[Category]]="Clothing",Table1[[#This Row],[Sales]]*0.65,
Table1[[#This Row],[Sales]]*0.7)))</f>
        <v>524.29999999999995</v>
      </c>
      <c r="I1108" s="11">
        <f ca="1">Table1[[#This Row],[Sales]]-H1108</f>
        <v>224.70000000000005</v>
      </c>
      <c r="J1108" s="2">
        <f ca="1">Table1[[#This Row],[Profit]]/Table1[[#This Row],[Sales]]</f>
        <v>0.30000000000000004</v>
      </c>
      <c r="K1108" t="str">
        <f ca="1">TEXT(Table1[[#This Row],[Order_Date]],"mmm")</f>
        <v>Aug</v>
      </c>
      <c r="L1108">
        <f ca="1">YEAR(Table1[[#This Row],[Order_Date]])</f>
        <v>2023</v>
      </c>
    </row>
    <row r="1109" spans="1:12" x14ac:dyDescent="0.3">
      <c r="A1109">
        <f t="shared" si="68"/>
        <v>1108</v>
      </c>
      <c r="B1109" s="1">
        <f t="shared" ca="1" si="69"/>
        <v>45143</v>
      </c>
      <c r="C1109" t="s">
        <v>10</v>
      </c>
      <c r="D1109" t="str">
        <f t="shared" ca="1" si="70"/>
        <v>Electronics</v>
      </c>
      <c r="E1109" t="s">
        <v>52</v>
      </c>
      <c r="F1109" s="11">
        <v>18108</v>
      </c>
      <c r="G1109">
        <f t="shared" ca="1" si="71"/>
        <v>9</v>
      </c>
      <c r="H1109" s="11">
        <f ca="1">IF(Table1[[#This Row],[Category]]="Electronics",Table1[[#This Row],[Sales]]*0.6,
IF(Table1[[#This Row],[Category]]="Furniture",Table1[[#This Row],[Sales]]*0.75,
IF(Table1[[#This Row],[Category]]="Clothing",Table1[[#This Row],[Sales]]*0.65,
Table1[[#This Row],[Sales]]*0.7)))</f>
        <v>10864.8</v>
      </c>
      <c r="I1109" s="11">
        <f ca="1">Table1[[#This Row],[Sales]]-H1109</f>
        <v>7243.2000000000007</v>
      </c>
      <c r="J1109" s="2">
        <f ca="1">Table1[[#This Row],[Profit]]/Table1[[#This Row],[Sales]]</f>
        <v>0.4</v>
      </c>
      <c r="K1109" t="str">
        <f ca="1">TEXT(Table1[[#This Row],[Order_Date]],"mmm")</f>
        <v>Aug</v>
      </c>
      <c r="L1109">
        <f ca="1">YEAR(Table1[[#This Row],[Order_Date]])</f>
        <v>2023</v>
      </c>
    </row>
    <row r="1110" spans="1:12" x14ac:dyDescent="0.3">
      <c r="A1110">
        <f t="shared" si="68"/>
        <v>1109</v>
      </c>
      <c r="B1110" s="1">
        <f t="shared" ca="1" si="69"/>
        <v>45210</v>
      </c>
      <c r="C1110" t="s">
        <v>7</v>
      </c>
      <c r="D1110" t="str">
        <f t="shared" ca="1" si="70"/>
        <v>Clothing</v>
      </c>
      <c r="E1110" t="s">
        <v>75</v>
      </c>
      <c r="F1110" s="11">
        <v>13916</v>
      </c>
      <c r="G1110">
        <f t="shared" ca="1" si="71"/>
        <v>8</v>
      </c>
      <c r="H1110" s="11">
        <f ca="1">IF(Table1[[#This Row],[Category]]="Electronics",Table1[[#This Row],[Sales]]*0.6,
IF(Table1[[#This Row],[Category]]="Furniture",Table1[[#This Row],[Sales]]*0.75,
IF(Table1[[#This Row],[Category]]="Clothing",Table1[[#This Row],[Sales]]*0.65,
Table1[[#This Row],[Sales]]*0.7)))</f>
        <v>9045.4</v>
      </c>
      <c r="I1110" s="11">
        <f ca="1">Table1[[#This Row],[Sales]]-H1110</f>
        <v>4870.6000000000004</v>
      </c>
      <c r="J1110" s="2">
        <f ca="1">Table1[[#This Row],[Profit]]/Table1[[#This Row],[Sales]]</f>
        <v>0.35000000000000003</v>
      </c>
      <c r="K1110" t="str">
        <f ca="1">TEXT(Table1[[#This Row],[Order_Date]],"mmm")</f>
        <v>Oct</v>
      </c>
      <c r="L1110">
        <f ca="1">YEAR(Table1[[#This Row],[Order_Date]])</f>
        <v>2023</v>
      </c>
    </row>
    <row r="1111" spans="1:12" x14ac:dyDescent="0.3">
      <c r="A1111">
        <f t="shared" si="68"/>
        <v>1110</v>
      </c>
      <c r="B1111" s="1">
        <f t="shared" ca="1" si="69"/>
        <v>45032</v>
      </c>
      <c r="C1111" t="s">
        <v>8</v>
      </c>
      <c r="D1111" t="str">
        <f t="shared" ca="1" si="70"/>
        <v>Office Supplies</v>
      </c>
      <c r="E1111" t="s">
        <v>50</v>
      </c>
      <c r="F1111" s="11">
        <v>8999</v>
      </c>
      <c r="G1111">
        <f t="shared" ca="1" si="71"/>
        <v>10</v>
      </c>
      <c r="H1111" s="11">
        <f ca="1">IF(Table1[[#This Row],[Category]]="Electronics",Table1[[#This Row],[Sales]]*0.6,
IF(Table1[[#This Row],[Category]]="Furniture",Table1[[#This Row],[Sales]]*0.75,
IF(Table1[[#This Row],[Category]]="Clothing",Table1[[#This Row],[Sales]]*0.65,
Table1[[#This Row],[Sales]]*0.7)))</f>
        <v>6299.2999999999993</v>
      </c>
      <c r="I1111" s="11">
        <f ca="1">Table1[[#This Row],[Sales]]-H1111</f>
        <v>2699.7000000000007</v>
      </c>
      <c r="J1111" s="2">
        <f ca="1">Table1[[#This Row],[Profit]]/Table1[[#This Row],[Sales]]</f>
        <v>0.3000000000000001</v>
      </c>
      <c r="K1111" t="str">
        <f ca="1">TEXT(Table1[[#This Row],[Order_Date]],"mmm")</f>
        <v>Apr</v>
      </c>
      <c r="L1111">
        <f ca="1">YEAR(Table1[[#This Row],[Order_Date]])</f>
        <v>2023</v>
      </c>
    </row>
    <row r="1112" spans="1:12" x14ac:dyDescent="0.3">
      <c r="A1112">
        <f t="shared" si="68"/>
        <v>1111</v>
      </c>
      <c r="B1112" s="1">
        <f t="shared" ca="1" si="69"/>
        <v>44975</v>
      </c>
      <c r="C1112" t="s">
        <v>9</v>
      </c>
      <c r="D1112" t="str">
        <f t="shared" ca="1" si="70"/>
        <v>Office Supplies</v>
      </c>
      <c r="E1112" t="s">
        <v>69</v>
      </c>
      <c r="F1112" s="11">
        <v>2362</v>
      </c>
      <c r="G1112">
        <f t="shared" ca="1" si="71"/>
        <v>4</v>
      </c>
      <c r="H1112" s="11">
        <f ca="1">IF(Table1[[#This Row],[Category]]="Electronics",Table1[[#This Row],[Sales]]*0.6,
IF(Table1[[#This Row],[Category]]="Furniture",Table1[[#This Row],[Sales]]*0.75,
IF(Table1[[#This Row],[Category]]="Clothing",Table1[[#This Row],[Sales]]*0.65,
Table1[[#This Row],[Sales]]*0.7)))</f>
        <v>1653.3999999999999</v>
      </c>
      <c r="I1112" s="11">
        <f ca="1">Table1[[#This Row],[Sales]]-H1112</f>
        <v>708.60000000000014</v>
      </c>
      <c r="J1112" s="2">
        <f ca="1">Table1[[#This Row],[Profit]]/Table1[[#This Row],[Sales]]</f>
        <v>0.30000000000000004</v>
      </c>
      <c r="K1112" t="str">
        <f ca="1">TEXT(Table1[[#This Row],[Order_Date]],"mmm")</f>
        <v>Feb</v>
      </c>
      <c r="L1112">
        <f ca="1">YEAR(Table1[[#This Row],[Order_Date]])</f>
        <v>2023</v>
      </c>
    </row>
    <row r="1113" spans="1:12" x14ac:dyDescent="0.3">
      <c r="A1113">
        <f t="shared" si="68"/>
        <v>1112</v>
      </c>
      <c r="B1113" s="1">
        <f t="shared" ca="1" si="69"/>
        <v>45270</v>
      </c>
      <c r="C1113" t="s">
        <v>10</v>
      </c>
      <c r="D1113" t="str">
        <f t="shared" ca="1" si="70"/>
        <v>Furniture</v>
      </c>
      <c r="E1113" t="s">
        <v>37</v>
      </c>
      <c r="F1113" s="11">
        <v>9033</v>
      </c>
      <c r="G1113">
        <f t="shared" ca="1" si="71"/>
        <v>1</v>
      </c>
      <c r="H1113" s="11">
        <f ca="1">IF(Table1[[#This Row],[Category]]="Electronics",Table1[[#This Row],[Sales]]*0.6,
IF(Table1[[#This Row],[Category]]="Furniture",Table1[[#This Row],[Sales]]*0.75,
IF(Table1[[#This Row],[Category]]="Clothing",Table1[[#This Row],[Sales]]*0.65,
Table1[[#This Row],[Sales]]*0.7)))</f>
        <v>6774.75</v>
      </c>
      <c r="I1113" s="11">
        <f ca="1">Table1[[#This Row],[Sales]]-H1113</f>
        <v>2258.25</v>
      </c>
      <c r="J1113" s="2">
        <f ca="1">Table1[[#This Row],[Profit]]/Table1[[#This Row],[Sales]]</f>
        <v>0.25</v>
      </c>
      <c r="K1113" t="str">
        <f ca="1">TEXT(Table1[[#This Row],[Order_Date]],"mmm")</f>
        <v>Dec</v>
      </c>
      <c r="L1113">
        <f ca="1">YEAR(Table1[[#This Row],[Order_Date]])</f>
        <v>2023</v>
      </c>
    </row>
    <row r="1114" spans="1:12" x14ac:dyDescent="0.3">
      <c r="A1114">
        <f t="shared" si="68"/>
        <v>1113</v>
      </c>
      <c r="B1114" s="1">
        <f t="shared" ca="1" si="69"/>
        <v>45149</v>
      </c>
      <c r="C1114" t="s">
        <v>7</v>
      </c>
      <c r="D1114" t="str">
        <f t="shared" ca="1" si="70"/>
        <v>Furniture</v>
      </c>
      <c r="E1114" t="s">
        <v>59</v>
      </c>
      <c r="F1114" s="11">
        <v>12053</v>
      </c>
      <c r="G1114">
        <f t="shared" ca="1" si="71"/>
        <v>9</v>
      </c>
      <c r="H1114" s="11">
        <f ca="1">IF(Table1[[#This Row],[Category]]="Electronics",Table1[[#This Row],[Sales]]*0.6,
IF(Table1[[#This Row],[Category]]="Furniture",Table1[[#This Row],[Sales]]*0.75,
IF(Table1[[#This Row],[Category]]="Clothing",Table1[[#This Row],[Sales]]*0.65,
Table1[[#This Row],[Sales]]*0.7)))</f>
        <v>9039.75</v>
      </c>
      <c r="I1114" s="11">
        <f ca="1">Table1[[#This Row],[Sales]]-H1114</f>
        <v>3013.25</v>
      </c>
      <c r="J1114" s="2">
        <f ca="1">Table1[[#This Row],[Profit]]/Table1[[#This Row],[Sales]]</f>
        <v>0.25</v>
      </c>
      <c r="K1114" t="str">
        <f ca="1">TEXT(Table1[[#This Row],[Order_Date]],"mmm")</f>
        <v>Aug</v>
      </c>
      <c r="L1114">
        <f ca="1">YEAR(Table1[[#This Row],[Order_Date]])</f>
        <v>2023</v>
      </c>
    </row>
    <row r="1115" spans="1:12" x14ac:dyDescent="0.3">
      <c r="A1115">
        <f t="shared" si="68"/>
        <v>1114</v>
      </c>
      <c r="B1115" s="1">
        <f t="shared" ca="1" si="69"/>
        <v>45124</v>
      </c>
      <c r="C1115" t="s">
        <v>8</v>
      </c>
      <c r="D1115" t="str">
        <f t="shared" ca="1" si="70"/>
        <v>Office Supplies</v>
      </c>
      <c r="E1115" t="s">
        <v>78</v>
      </c>
      <c r="F1115" s="11">
        <v>10313</v>
      </c>
      <c r="G1115">
        <f t="shared" ca="1" si="71"/>
        <v>10</v>
      </c>
      <c r="H1115" s="11">
        <f ca="1">IF(Table1[[#This Row],[Category]]="Electronics",Table1[[#This Row],[Sales]]*0.6,
IF(Table1[[#This Row],[Category]]="Furniture",Table1[[#This Row],[Sales]]*0.75,
IF(Table1[[#This Row],[Category]]="Clothing",Table1[[#This Row],[Sales]]*0.65,
Table1[[#This Row],[Sales]]*0.7)))</f>
        <v>7219.0999999999995</v>
      </c>
      <c r="I1115" s="11">
        <f ca="1">Table1[[#This Row],[Sales]]-H1115</f>
        <v>3093.9000000000005</v>
      </c>
      <c r="J1115" s="2">
        <f ca="1">Table1[[#This Row],[Profit]]/Table1[[#This Row],[Sales]]</f>
        <v>0.30000000000000004</v>
      </c>
      <c r="K1115" t="str">
        <f ca="1">TEXT(Table1[[#This Row],[Order_Date]],"mmm")</f>
        <v>Jul</v>
      </c>
      <c r="L1115">
        <f ca="1">YEAR(Table1[[#This Row],[Order_Date]])</f>
        <v>2023</v>
      </c>
    </row>
    <row r="1116" spans="1:12" x14ac:dyDescent="0.3">
      <c r="A1116">
        <f t="shared" si="68"/>
        <v>1115</v>
      </c>
      <c r="B1116" s="1">
        <f t="shared" ca="1" si="69"/>
        <v>45006</v>
      </c>
      <c r="C1116" t="s">
        <v>9</v>
      </c>
      <c r="D1116" t="str">
        <f t="shared" ca="1" si="70"/>
        <v>Furniture</v>
      </c>
      <c r="E1116" t="s">
        <v>63</v>
      </c>
      <c r="F1116" s="11">
        <v>15870</v>
      </c>
      <c r="G1116">
        <f t="shared" ca="1" si="71"/>
        <v>7</v>
      </c>
      <c r="H1116" s="11">
        <f ca="1">IF(Table1[[#This Row],[Category]]="Electronics",Table1[[#This Row],[Sales]]*0.6,
IF(Table1[[#This Row],[Category]]="Furniture",Table1[[#This Row],[Sales]]*0.75,
IF(Table1[[#This Row],[Category]]="Clothing",Table1[[#This Row],[Sales]]*0.65,
Table1[[#This Row],[Sales]]*0.7)))</f>
        <v>11902.5</v>
      </c>
      <c r="I1116" s="11">
        <f ca="1">Table1[[#This Row],[Sales]]-H1116</f>
        <v>3967.5</v>
      </c>
      <c r="J1116" s="2">
        <f ca="1">Table1[[#This Row],[Profit]]/Table1[[#This Row],[Sales]]</f>
        <v>0.25</v>
      </c>
      <c r="K1116" t="str">
        <f ca="1">TEXT(Table1[[#This Row],[Order_Date]],"mmm")</f>
        <v>Mar</v>
      </c>
      <c r="L1116">
        <f ca="1">YEAR(Table1[[#This Row],[Order_Date]])</f>
        <v>2023</v>
      </c>
    </row>
    <row r="1117" spans="1:12" x14ac:dyDescent="0.3">
      <c r="A1117">
        <f t="shared" si="68"/>
        <v>1116</v>
      </c>
      <c r="B1117" s="1">
        <f t="shared" ca="1" si="69"/>
        <v>45263</v>
      </c>
      <c r="C1117" t="s">
        <v>10</v>
      </c>
      <c r="D1117" t="str">
        <f t="shared" ca="1" si="70"/>
        <v>Office Supplies</v>
      </c>
      <c r="E1117" t="s">
        <v>67</v>
      </c>
      <c r="F1117" s="11">
        <v>5826</v>
      </c>
      <c r="G1117">
        <f t="shared" ca="1" si="71"/>
        <v>8</v>
      </c>
      <c r="H1117" s="11">
        <f ca="1">IF(Table1[[#This Row],[Category]]="Electronics",Table1[[#This Row],[Sales]]*0.6,
IF(Table1[[#This Row],[Category]]="Furniture",Table1[[#This Row],[Sales]]*0.75,
IF(Table1[[#This Row],[Category]]="Clothing",Table1[[#This Row],[Sales]]*0.65,
Table1[[#This Row],[Sales]]*0.7)))</f>
        <v>4078.2</v>
      </c>
      <c r="I1117" s="11">
        <f ca="1">Table1[[#This Row],[Sales]]-H1117</f>
        <v>1747.8000000000002</v>
      </c>
      <c r="J1117" s="2">
        <f ca="1">Table1[[#This Row],[Profit]]/Table1[[#This Row],[Sales]]</f>
        <v>0.30000000000000004</v>
      </c>
      <c r="K1117" t="str">
        <f ca="1">TEXT(Table1[[#This Row],[Order_Date]],"mmm")</f>
        <v>Dec</v>
      </c>
      <c r="L1117">
        <f ca="1">YEAR(Table1[[#This Row],[Order_Date]])</f>
        <v>2023</v>
      </c>
    </row>
    <row r="1118" spans="1:12" x14ac:dyDescent="0.3">
      <c r="A1118">
        <f t="shared" si="68"/>
        <v>1117</v>
      </c>
      <c r="B1118" s="1">
        <f t="shared" ca="1" si="69"/>
        <v>44952</v>
      </c>
      <c r="C1118" t="s">
        <v>7</v>
      </c>
      <c r="D1118" t="str">
        <f t="shared" ca="1" si="70"/>
        <v>Office Supplies</v>
      </c>
      <c r="E1118" t="s">
        <v>85</v>
      </c>
      <c r="F1118" s="11">
        <v>12775</v>
      </c>
      <c r="G1118">
        <f t="shared" ca="1" si="71"/>
        <v>1</v>
      </c>
      <c r="H1118" s="11">
        <f ca="1">IF(Table1[[#This Row],[Category]]="Electronics",Table1[[#This Row],[Sales]]*0.6,
IF(Table1[[#This Row],[Category]]="Furniture",Table1[[#This Row],[Sales]]*0.75,
IF(Table1[[#This Row],[Category]]="Clothing",Table1[[#This Row],[Sales]]*0.65,
Table1[[#This Row],[Sales]]*0.7)))</f>
        <v>8942.5</v>
      </c>
      <c r="I1118" s="11">
        <f ca="1">Table1[[#This Row],[Sales]]-H1118</f>
        <v>3832.5</v>
      </c>
      <c r="J1118" s="2">
        <f ca="1">Table1[[#This Row],[Profit]]/Table1[[#This Row],[Sales]]</f>
        <v>0.3</v>
      </c>
      <c r="K1118" t="str">
        <f ca="1">TEXT(Table1[[#This Row],[Order_Date]],"mmm")</f>
        <v>Jan</v>
      </c>
      <c r="L1118">
        <f ca="1">YEAR(Table1[[#This Row],[Order_Date]])</f>
        <v>2023</v>
      </c>
    </row>
    <row r="1119" spans="1:12" x14ac:dyDescent="0.3">
      <c r="A1119">
        <f t="shared" si="68"/>
        <v>1118</v>
      </c>
      <c r="B1119" s="1">
        <f t="shared" ca="1" si="69"/>
        <v>45251</v>
      </c>
      <c r="C1119" t="s">
        <v>8</v>
      </c>
      <c r="D1119" t="str">
        <f t="shared" ca="1" si="70"/>
        <v>Furniture</v>
      </c>
      <c r="E1119" t="s">
        <v>53</v>
      </c>
      <c r="F1119" s="11">
        <v>4692</v>
      </c>
      <c r="G1119">
        <f t="shared" ca="1" si="71"/>
        <v>6</v>
      </c>
      <c r="H1119" s="11">
        <f ca="1">IF(Table1[[#This Row],[Category]]="Electronics",Table1[[#This Row],[Sales]]*0.6,
IF(Table1[[#This Row],[Category]]="Furniture",Table1[[#This Row],[Sales]]*0.75,
IF(Table1[[#This Row],[Category]]="Clothing",Table1[[#This Row],[Sales]]*0.65,
Table1[[#This Row],[Sales]]*0.7)))</f>
        <v>3519</v>
      </c>
      <c r="I1119" s="11">
        <f ca="1">Table1[[#This Row],[Sales]]-H1119</f>
        <v>1173</v>
      </c>
      <c r="J1119" s="2">
        <f ca="1">Table1[[#This Row],[Profit]]/Table1[[#This Row],[Sales]]</f>
        <v>0.25</v>
      </c>
      <c r="K1119" t="str">
        <f ca="1">TEXT(Table1[[#This Row],[Order_Date]],"mmm")</f>
        <v>Nov</v>
      </c>
      <c r="L1119">
        <f ca="1">YEAR(Table1[[#This Row],[Order_Date]])</f>
        <v>2023</v>
      </c>
    </row>
    <row r="1120" spans="1:12" x14ac:dyDescent="0.3">
      <c r="A1120">
        <f t="shared" si="68"/>
        <v>1119</v>
      </c>
      <c r="B1120" s="1">
        <f t="shared" ca="1" si="69"/>
        <v>45287</v>
      </c>
      <c r="C1120" t="s">
        <v>9</v>
      </c>
      <c r="D1120" t="str">
        <f t="shared" ca="1" si="70"/>
        <v>Furniture</v>
      </c>
      <c r="E1120" t="s">
        <v>62</v>
      </c>
      <c r="F1120" s="11">
        <v>3161</v>
      </c>
      <c r="G1120">
        <f t="shared" ca="1" si="71"/>
        <v>3</v>
      </c>
      <c r="H1120" s="11">
        <f ca="1">IF(Table1[[#This Row],[Category]]="Electronics",Table1[[#This Row],[Sales]]*0.6,
IF(Table1[[#This Row],[Category]]="Furniture",Table1[[#This Row],[Sales]]*0.75,
IF(Table1[[#This Row],[Category]]="Clothing",Table1[[#This Row],[Sales]]*0.65,
Table1[[#This Row],[Sales]]*0.7)))</f>
        <v>2370.75</v>
      </c>
      <c r="I1120" s="11">
        <f ca="1">Table1[[#This Row],[Sales]]-H1120</f>
        <v>790.25</v>
      </c>
      <c r="J1120" s="2">
        <f ca="1">Table1[[#This Row],[Profit]]/Table1[[#This Row],[Sales]]</f>
        <v>0.25</v>
      </c>
      <c r="K1120" t="str">
        <f ca="1">TEXT(Table1[[#This Row],[Order_Date]],"mmm")</f>
        <v>Dec</v>
      </c>
      <c r="L1120">
        <f ca="1">YEAR(Table1[[#This Row],[Order_Date]])</f>
        <v>2023</v>
      </c>
    </row>
    <row r="1121" spans="1:12" x14ac:dyDescent="0.3">
      <c r="A1121">
        <f t="shared" si="68"/>
        <v>1120</v>
      </c>
      <c r="B1121" s="1">
        <f t="shared" ca="1" si="69"/>
        <v>45208</v>
      </c>
      <c r="C1121" t="s">
        <v>10</v>
      </c>
      <c r="D1121" t="str">
        <f t="shared" ca="1" si="70"/>
        <v>Furniture</v>
      </c>
      <c r="E1121" t="s">
        <v>58</v>
      </c>
      <c r="F1121" s="11">
        <v>13074</v>
      </c>
      <c r="G1121">
        <f t="shared" ca="1" si="71"/>
        <v>2</v>
      </c>
      <c r="H1121" s="11">
        <f ca="1">IF(Table1[[#This Row],[Category]]="Electronics",Table1[[#This Row],[Sales]]*0.6,
IF(Table1[[#This Row],[Category]]="Furniture",Table1[[#This Row],[Sales]]*0.75,
IF(Table1[[#This Row],[Category]]="Clothing",Table1[[#This Row],[Sales]]*0.65,
Table1[[#This Row],[Sales]]*0.7)))</f>
        <v>9805.5</v>
      </c>
      <c r="I1121" s="11">
        <f ca="1">Table1[[#This Row],[Sales]]-H1121</f>
        <v>3268.5</v>
      </c>
      <c r="J1121" s="2">
        <f ca="1">Table1[[#This Row],[Profit]]/Table1[[#This Row],[Sales]]</f>
        <v>0.25</v>
      </c>
      <c r="K1121" t="str">
        <f ca="1">TEXT(Table1[[#This Row],[Order_Date]],"mmm")</f>
        <v>Oct</v>
      </c>
      <c r="L1121">
        <f ca="1">YEAR(Table1[[#This Row],[Order_Date]])</f>
        <v>2023</v>
      </c>
    </row>
    <row r="1122" spans="1:12" x14ac:dyDescent="0.3">
      <c r="A1122">
        <f t="shared" si="68"/>
        <v>1121</v>
      </c>
      <c r="B1122" s="1">
        <f t="shared" ca="1" si="69"/>
        <v>45097</v>
      </c>
      <c r="C1122" t="s">
        <v>7</v>
      </c>
      <c r="D1122" t="str">
        <f t="shared" ca="1" si="70"/>
        <v>Electronics</v>
      </c>
      <c r="E1122" t="s">
        <v>82</v>
      </c>
      <c r="F1122" s="11">
        <v>16805</v>
      </c>
      <c r="G1122">
        <f t="shared" ca="1" si="71"/>
        <v>7</v>
      </c>
      <c r="H1122" s="11">
        <f ca="1">IF(Table1[[#This Row],[Category]]="Electronics",Table1[[#This Row],[Sales]]*0.6,
IF(Table1[[#This Row],[Category]]="Furniture",Table1[[#This Row],[Sales]]*0.75,
IF(Table1[[#This Row],[Category]]="Clothing",Table1[[#This Row],[Sales]]*0.65,
Table1[[#This Row],[Sales]]*0.7)))</f>
        <v>10083</v>
      </c>
      <c r="I1122" s="11">
        <f ca="1">Table1[[#This Row],[Sales]]-H1122</f>
        <v>6722</v>
      </c>
      <c r="J1122" s="2">
        <f ca="1">Table1[[#This Row],[Profit]]/Table1[[#This Row],[Sales]]</f>
        <v>0.4</v>
      </c>
      <c r="K1122" t="str">
        <f ca="1">TEXT(Table1[[#This Row],[Order_Date]],"mmm")</f>
        <v>Jun</v>
      </c>
      <c r="L1122">
        <f ca="1">YEAR(Table1[[#This Row],[Order_Date]])</f>
        <v>2023</v>
      </c>
    </row>
    <row r="1123" spans="1:12" x14ac:dyDescent="0.3">
      <c r="A1123">
        <f t="shared" si="68"/>
        <v>1122</v>
      </c>
      <c r="B1123" s="1">
        <f t="shared" ca="1" si="69"/>
        <v>45116</v>
      </c>
      <c r="C1123" t="s">
        <v>8</v>
      </c>
      <c r="D1123" t="str">
        <f t="shared" ca="1" si="70"/>
        <v>Furniture</v>
      </c>
      <c r="E1123" t="s">
        <v>75</v>
      </c>
      <c r="F1123" s="11">
        <v>5976</v>
      </c>
      <c r="G1123">
        <f t="shared" ca="1" si="71"/>
        <v>8</v>
      </c>
      <c r="H1123" s="11">
        <f ca="1">IF(Table1[[#This Row],[Category]]="Electronics",Table1[[#This Row],[Sales]]*0.6,
IF(Table1[[#This Row],[Category]]="Furniture",Table1[[#This Row],[Sales]]*0.75,
IF(Table1[[#This Row],[Category]]="Clothing",Table1[[#This Row],[Sales]]*0.65,
Table1[[#This Row],[Sales]]*0.7)))</f>
        <v>4482</v>
      </c>
      <c r="I1123" s="11">
        <f ca="1">Table1[[#This Row],[Sales]]-H1123</f>
        <v>1494</v>
      </c>
      <c r="J1123" s="2">
        <f ca="1">Table1[[#This Row],[Profit]]/Table1[[#This Row],[Sales]]</f>
        <v>0.25</v>
      </c>
      <c r="K1123" t="str">
        <f ca="1">TEXT(Table1[[#This Row],[Order_Date]],"mmm")</f>
        <v>Jul</v>
      </c>
      <c r="L1123">
        <f ca="1">YEAR(Table1[[#This Row],[Order_Date]])</f>
        <v>2023</v>
      </c>
    </row>
    <row r="1124" spans="1:12" x14ac:dyDescent="0.3">
      <c r="A1124">
        <f t="shared" si="68"/>
        <v>1123</v>
      </c>
      <c r="B1124" s="1">
        <f t="shared" ca="1" si="69"/>
        <v>45007</v>
      </c>
      <c r="C1124" t="s">
        <v>9</v>
      </c>
      <c r="D1124" t="str">
        <f t="shared" ca="1" si="70"/>
        <v>Clothing</v>
      </c>
      <c r="E1124" t="s">
        <v>85</v>
      </c>
      <c r="F1124" s="11">
        <v>10823</v>
      </c>
      <c r="G1124">
        <f t="shared" ca="1" si="71"/>
        <v>8</v>
      </c>
      <c r="H1124" s="11">
        <f ca="1">IF(Table1[[#This Row],[Category]]="Electronics",Table1[[#This Row],[Sales]]*0.6,
IF(Table1[[#This Row],[Category]]="Furniture",Table1[[#This Row],[Sales]]*0.75,
IF(Table1[[#This Row],[Category]]="Clothing",Table1[[#This Row],[Sales]]*0.65,
Table1[[#This Row],[Sales]]*0.7)))</f>
        <v>7034.95</v>
      </c>
      <c r="I1124" s="11">
        <f ca="1">Table1[[#This Row],[Sales]]-H1124</f>
        <v>3788.05</v>
      </c>
      <c r="J1124" s="2">
        <f ca="1">Table1[[#This Row],[Profit]]/Table1[[#This Row],[Sales]]</f>
        <v>0.35000000000000003</v>
      </c>
      <c r="K1124" t="str">
        <f ca="1">TEXT(Table1[[#This Row],[Order_Date]],"mmm")</f>
        <v>Mar</v>
      </c>
      <c r="L1124">
        <f ca="1">YEAR(Table1[[#This Row],[Order_Date]])</f>
        <v>2023</v>
      </c>
    </row>
    <row r="1125" spans="1:12" x14ac:dyDescent="0.3">
      <c r="A1125">
        <f t="shared" si="68"/>
        <v>1124</v>
      </c>
      <c r="B1125" s="1">
        <f t="shared" ca="1" si="69"/>
        <v>45153</v>
      </c>
      <c r="C1125" t="s">
        <v>10</v>
      </c>
      <c r="D1125" t="str">
        <f t="shared" ca="1" si="70"/>
        <v>Electronics</v>
      </c>
      <c r="E1125" t="s">
        <v>65</v>
      </c>
      <c r="F1125" s="11">
        <v>16849</v>
      </c>
      <c r="G1125">
        <f t="shared" ca="1" si="71"/>
        <v>2</v>
      </c>
      <c r="H1125" s="11">
        <f ca="1">IF(Table1[[#This Row],[Category]]="Electronics",Table1[[#This Row],[Sales]]*0.6,
IF(Table1[[#This Row],[Category]]="Furniture",Table1[[#This Row],[Sales]]*0.75,
IF(Table1[[#This Row],[Category]]="Clothing",Table1[[#This Row],[Sales]]*0.65,
Table1[[#This Row],[Sales]]*0.7)))</f>
        <v>10109.4</v>
      </c>
      <c r="I1125" s="11">
        <f ca="1">Table1[[#This Row],[Sales]]-H1125</f>
        <v>6739.6</v>
      </c>
      <c r="J1125" s="2">
        <f ca="1">Table1[[#This Row],[Profit]]/Table1[[#This Row],[Sales]]</f>
        <v>0.4</v>
      </c>
      <c r="K1125" t="str">
        <f ca="1">TEXT(Table1[[#This Row],[Order_Date]],"mmm")</f>
        <v>Aug</v>
      </c>
      <c r="L1125">
        <f ca="1">YEAR(Table1[[#This Row],[Order_Date]])</f>
        <v>2023</v>
      </c>
    </row>
    <row r="1126" spans="1:12" x14ac:dyDescent="0.3">
      <c r="A1126">
        <f t="shared" si="68"/>
        <v>1125</v>
      </c>
      <c r="B1126" s="1">
        <f t="shared" ca="1" si="69"/>
        <v>45141</v>
      </c>
      <c r="C1126" t="s">
        <v>7</v>
      </c>
      <c r="D1126" t="str">
        <f t="shared" ca="1" si="70"/>
        <v>Electronics</v>
      </c>
      <c r="E1126" t="s">
        <v>74</v>
      </c>
      <c r="F1126" s="11">
        <v>7874</v>
      </c>
      <c r="G1126">
        <f t="shared" ca="1" si="71"/>
        <v>9</v>
      </c>
      <c r="H1126" s="11">
        <f ca="1">IF(Table1[[#This Row],[Category]]="Electronics",Table1[[#This Row],[Sales]]*0.6,
IF(Table1[[#This Row],[Category]]="Furniture",Table1[[#This Row],[Sales]]*0.75,
IF(Table1[[#This Row],[Category]]="Clothing",Table1[[#This Row],[Sales]]*0.65,
Table1[[#This Row],[Sales]]*0.7)))</f>
        <v>4724.3999999999996</v>
      </c>
      <c r="I1126" s="11">
        <f ca="1">Table1[[#This Row],[Sales]]-H1126</f>
        <v>3149.6000000000004</v>
      </c>
      <c r="J1126" s="2">
        <f ca="1">Table1[[#This Row],[Profit]]/Table1[[#This Row],[Sales]]</f>
        <v>0.4</v>
      </c>
      <c r="K1126" t="str">
        <f ca="1">TEXT(Table1[[#This Row],[Order_Date]],"mmm")</f>
        <v>Aug</v>
      </c>
      <c r="L1126">
        <f ca="1">YEAR(Table1[[#This Row],[Order_Date]])</f>
        <v>2023</v>
      </c>
    </row>
    <row r="1127" spans="1:12" x14ac:dyDescent="0.3">
      <c r="A1127">
        <f t="shared" si="68"/>
        <v>1126</v>
      </c>
      <c r="B1127" s="1">
        <f t="shared" ca="1" si="69"/>
        <v>44983</v>
      </c>
      <c r="C1127" t="s">
        <v>8</v>
      </c>
      <c r="D1127" t="str">
        <f t="shared" ca="1" si="70"/>
        <v>Office Supplies</v>
      </c>
      <c r="E1127" t="s">
        <v>58</v>
      </c>
      <c r="F1127" s="11">
        <v>17597</v>
      </c>
      <c r="G1127">
        <f t="shared" ca="1" si="71"/>
        <v>3</v>
      </c>
      <c r="H1127" s="11">
        <f ca="1">IF(Table1[[#This Row],[Category]]="Electronics",Table1[[#This Row],[Sales]]*0.6,
IF(Table1[[#This Row],[Category]]="Furniture",Table1[[#This Row],[Sales]]*0.75,
IF(Table1[[#This Row],[Category]]="Clothing",Table1[[#This Row],[Sales]]*0.65,
Table1[[#This Row],[Sales]]*0.7)))</f>
        <v>12317.9</v>
      </c>
      <c r="I1127" s="11">
        <f ca="1">Table1[[#This Row],[Sales]]-H1127</f>
        <v>5279.1</v>
      </c>
      <c r="J1127" s="2">
        <f ca="1">Table1[[#This Row],[Profit]]/Table1[[#This Row],[Sales]]</f>
        <v>0.30000000000000004</v>
      </c>
      <c r="K1127" t="str">
        <f ca="1">TEXT(Table1[[#This Row],[Order_Date]],"mmm")</f>
        <v>Feb</v>
      </c>
      <c r="L1127">
        <f ca="1">YEAR(Table1[[#This Row],[Order_Date]])</f>
        <v>2023</v>
      </c>
    </row>
    <row r="1128" spans="1:12" x14ac:dyDescent="0.3">
      <c r="A1128">
        <f t="shared" si="68"/>
        <v>1127</v>
      </c>
      <c r="B1128" s="1">
        <f t="shared" ca="1" si="69"/>
        <v>45010</v>
      </c>
      <c r="C1128" t="s">
        <v>9</v>
      </c>
      <c r="D1128" t="str">
        <f t="shared" ca="1" si="70"/>
        <v>Office Supplies</v>
      </c>
      <c r="E1128" t="s">
        <v>37</v>
      </c>
      <c r="F1128" s="11">
        <v>13179</v>
      </c>
      <c r="G1128">
        <f t="shared" ca="1" si="71"/>
        <v>2</v>
      </c>
      <c r="H1128" s="11">
        <f ca="1">IF(Table1[[#This Row],[Category]]="Electronics",Table1[[#This Row],[Sales]]*0.6,
IF(Table1[[#This Row],[Category]]="Furniture",Table1[[#This Row],[Sales]]*0.75,
IF(Table1[[#This Row],[Category]]="Clothing",Table1[[#This Row],[Sales]]*0.65,
Table1[[#This Row],[Sales]]*0.7)))</f>
        <v>9225.2999999999993</v>
      </c>
      <c r="I1128" s="11">
        <f ca="1">Table1[[#This Row],[Sales]]-H1128</f>
        <v>3953.7000000000007</v>
      </c>
      <c r="J1128" s="2">
        <f ca="1">Table1[[#This Row],[Profit]]/Table1[[#This Row],[Sales]]</f>
        <v>0.30000000000000004</v>
      </c>
      <c r="K1128" t="str">
        <f ca="1">TEXT(Table1[[#This Row],[Order_Date]],"mmm")</f>
        <v>Mar</v>
      </c>
      <c r="L1128">
        <f ca="1">YEAR(Table1[[#This Row],[Order_Date]])</f>
        <v>2023</v>
      </c>
    </row>
    <row r="1129" spans="1:12" x14ac:dyDescent="0.3">
      <c r="A1129">
        <f t="shared" si="68"/>
        <v>1128</v>
      </c>
      <c r="B1129" s="1">
        <f t="shared" ca="1" si="69"/>
        <v>45237</v>
      </c>
      <c r="C1129" t="s">
        <v>10</v>
      </c>
      <c r="D1129" t="str">
        <f t="shared" ca="1" si="70"/>
        <v>Electronics</v>
      </c>
      <c r="E1129" t="s">
        <v>48</v>
      </c>
      <c r="F1129" s="11">
        <v>17071</v>
      </c>
      <c r="G1129">
        <f t="shared" ca="1" si="71"/>
        <v>6</v>
      </c>
      <c r="H1129" s="11">
        <f ca="1">IF(Table1[[#This Row],[Category]]="Electronics",Table1[[#This Row],[Sales]]*0.6,
IF(Table1[[#This Row],[Category]]="Furniture",Table1[[#This Row],[Sales]]*0.75,
IF(Table1[[#This Row],[Category]]="Clothing",Table1[[#This Row],[Sales]]*0.65,
Table1[[#This Row],[Sales]]*0.7)))</f>
        <v>10242.6</v>
      </c>
      <c r="I1129" s="11">
        <f ca="1">Table1[[#This Row],[Sales]]-H1129</f>
        <v>6828.4</v>
      </c>
      <c r="J1129" s="2">
        <f ca="1">Table1[[#This Row],[Profit]]/Table1[[#This Row],[Sales]]</f>
        <v>0.39999999999999997</v>
      </c>
      <c r="K1129" t="str">
        <f ca="1">TEXT(Table1[[#This Row],[Order_Date]],"mmm")</f>
        <v>Nov</v>
      </c>
      <c r="L1129">
        <f ca="1">YEAR(Table1[[#This Row],[Order_Date]])</f>
        <v>2023</v>
      </c>
    </row>
    <row r="1130" spans="1:12" x14ac:dyDescent="0.3">
      <c r="A1130">
        <f t="shared" si="68"/>
        <v>1129</v>
      </c>
      <c r="B1130" s="1">
        <f t="shared" ca="1" si="69"/>
        <v>45156</v>
      </c>
      <c r="C1130" t="s">
        <v>7</v>
      </c>
      <c r="D1130" t="str">
        <f t="shared" ca="1" si="70"/>
        <v>Electronics</v>
      </c>
      <c r="E1130" t="s">
        <v>71</v>
      </c>
      <c r="F1130" s="11">
        <v>12592</v>
      </c>
      <c r="G1130">
        <f t="shared" ca="1" si="71"/>
        <v>2</v>
      </c>
      <c r="H1130" s="11">
        <f ca="1">IF(Table1[[#This Row],[Category]]="Electronics",Table1[[#This Row],[Sales]]*0.6,
IF(Table1[[#This Row],[Category]]="Furniture",Table1[[#This Row],[Sales]]*0.75,
IF(Table1[[#This Row],[Category]]="Clothing",Table1[[#This Row],[Sales]]*0.65,
Table1[[#This Row],[Sales]]*0.7)))</f>
        <v>7555.2</v>
      </c>
      <c r="I1130" s="11">
        <f ca="1">Table1[[#This Row],[Sales]]-H1130</f>
        <v>5036.8</v>
      </c>
      <c r="J1130" s="2">
        <f ca="1">Table1[[#This Row],[Profit]]/Table1[[#This Row],[Sales]]</f>
        <v>0.4</v>
      </c>
      <c r="K1130" t="str">
        <f ca="1">TEXT(Table1[[#This Row],[Order_Date]],"mmm")</f>
        <v>Aug</v>
      </c>
      <c r="L1130">
        <f ca="1">YEAR(Table1[[#This Row],[Order_Date]])</f>
        <v>2023</v>
      </c>
    </row>
    <row r="1131" spans="1:12" x14ac:dyDescent="0.3">
      <c r="A1131">
        <f t="shared" si="68"/>
        <v>1130</v>
      </c>
      <c r="B1131" s="1">
        <f t="shared" ca="1" si="69"/>
        <v>45079</v>
      </c>
      <c r="C1131" t="s">
        <v>8</v>
      </c>
      <c r="D1131" t="str">
        <f t="shared" ca="1" si="70"/>
        <v>Electronics</v>
      </c>
      <c r="E1131" t="s">
        <v>81</v>
      </c>
      <c r="F1131" s="11">
        <v>6574</v>
      </c>
      <c r="G1131">
        <f t="shared" ca="1" si="71"/>
        <v>10</v>
      </c>
      <c r="H1131" s="11">
        <f ca="1">IF(Table1[[#This Row],[Category]]="Electronics",Table1[[#This Row],[Sales]]*0.6,
IF(Table1[[#This Row],[Category]]="Furniture",Table1[[#This Row],[Sales]]*0.75,
IF(Table1[[#This Row],[Category]]="Clothing",Table1[[#This Row],[Sales]]*0.65,
Table1[[#This Row],[Sales]]*0.7)))</f>
        <v>3944.3999999999996</v>
      </c>
      <c r="I1131" s="11">
        <f ca="1">Table1[[#This Row],[Sales]]-H1131</f>
        <v>2629.6000000000004</v>
      </c>
      <c r="J1131" s="2">
        <f ca="1">Table1[[#This Row],[Profit]]/Table1[[#This Row],[Sales]]</f>
        <v>0.40000000000000008</v>
      </c>
      <c r="K1131" t="str">
        <f ca="1">TEXT(Table1[[#This Row],[Order_Date]],"mmm")</f>
        <v>Jun</v>
      </c>
      <c r="L1131">
        <f ca="1">YEAR(Table1[[#This Row],[Order_Date]])</f>
        <v>2023</v>
      </c>
    </row>
    <row r="1132" spans="1:12" x14ac:dyDescent="0.3">
      <c r="A1132">
        <f t="shared" si="68"/>
        <v>1131</v>
      </c>
      <c r="B1132" s="1">
        <f t="shared" ca="1" si="69"/>
        <v>45226</v>
      </c>
      <c r="C1132" t="s">
        <v>9</v>
      </c>
      <c r="D1132" t="str">
        <f t="shared" ca="1" si="70"/>
        <v>Furniture</v>
      </c>
      <c r="E1132" t="s">
        <v>67</v>
      </c>
      <c r="F1132" s="11">
        <v>14119</v>
      </c>
      <c r="G1132">
        <f t="shared" ca="1" si="71"/>
        <v>8</v>
      </c>
      <c r="H1132" s="11">
        <f ca="1">IF(Table1[[#This Row],[Category]]="Electronics",Table1[[#This Row],[Sales]]*0.6,
IF(Table1[[#This Row],[Category]]="Furniture",Table1[[#This Row],[Sales]]*0.75,
IF(Table1[[#This Row],[Category]]="Clothing",Table1[[#This Row],[Sales]]*0.65,
Table1[[#This Row],[Sales]]*0.7)))</f>
        <v>10589.25</v>
      </c>
      <c r="I1132" s="11">
        <f ca="1">Table1[[#This Row],[Sales]]-H1132</f>
        <v>3529.75</v>
      </c>
      <c r="J1132" s="2">
        <f ca="1">Table1[[#This Row],[Profit]]/Table1[[#This Row],[Sales]]</f>
        <v>0.25</v>
      </c>
      <c r="K1132" t="str">
        <f ca="1">TEXT(Table1[[#This Row],[Order_Date]],"mmm")</f>
        <v>Oct</v>
      </c>
      <c r="L1132">
        <f ca="1">YEAR(Table1[[#This Row],[Order_Date]])</f>
        <v>2023</v>
      </c>
    </row>
    <row r="1133" spans="1:12" x14ac:dyDescent="0.3">
      <c r="A1133">
        <f t="shared" si="68"/>
        <v>1132</v>
      </c>
      <c r="B1133" s="1">
        <f t="shared" ca="1" si="69"/>
        <v>45054</v>
      </c>
      <c r="C1133" t="s">
        <v>10</v>
      </c>
      <c r="D1133" t="str">
        <f t="shared" ca="1" si="70"/>
        <v>Office Supplies</v>
      </c>
      <c r="E1133" t="s">
        <v>62</v>
      </c>
      <c r="F1133" s="11">
        <v>19847</v>
      </c>
      <c r="G1133">
        <f t="shared" ca="1" si="71"/>
        <v>7</v>
      </c>
      <c r="H1133" s="11">
        <f ca="1">IF(Table1[[#This Row],[Category]]="Electronics",Table1[[#This Row],[Sales]]*0.6,
IF(Table1[[#This Row],[Category]]="Furniture",Table1[[#This Row],[Sales]]*0.75,
IF(Table1[[#This Row],[Category]]="Clothing",Table1[[#This Row],[Sales]]*0.65,
Table1[[#This Row],[Sales]]*0.7)))</f>
        <v>13892.9</v>
      </c>
      <c r="I1133" s="11">
        <f ca="1">Table1[[#This Row],[Sales]]-H1133</f>
        <v>5954.1</v>
      </c>
      <c r="J1133" s="2">
        <f ca="1">Table1[[#This Row],[Profit]]/Table1[[#This Row],[Sales]]</f>
        <v>0.30000000000000004</v>
      </c>
      <c r="K1133" t="str">
        <f ca="1">TEXT(Table1[[#This Row],[Order_Date]],"mmm")</f>
        <v>May</v>
      </c>
      <c r="L1133">
        <f ca="1">YEAR(Table1[[#This Row],[Order_Date]])</f>
        <v>2023</v>
      </c>
    </row>
    <row r="1134" spans="1:12" x14ac:dyDescent="0.3">
      <c r="A1134">
        <f t="shared" si="68"/>
        <v>1133</v>
      </c>
      <c r="B1134" s="1">
        <f t="shared" ca="1" si="69"/>
        <v>45177</v>
      </c>
      <c r="C1134" t="s">
        <v>7</v>
      </c>
      <c r="D1134" t="str">
        <f t="shared" ca="1" si="70"/>
        <v>Electronics</v>
      </c>
      <c r="E1134" t="s">
        <v>37</v>
      </c>
      <c r="F1134" s="11">
        <v>3364</v>
      </c>
      <c r="G1134">
        <f t="shared" ca="1" si="71"/>
        <v>4</v>
      </c>
      <c r="H1134" s="11">
        <f ca="1">IF(Table1[[#This Row],[Category]]="Electronics",Table1[[#This Row],[Sales]]*0.6,
IF(Table1[[#This Row],[Category]]="Furniture",Table1[[#This Row],[Sales]]*0.75,
IF(Table1[[#This Row],[Category]]="Clothing",Table1[[#This Row],[Sales]]*0.65,
Table1[[#This Row],[Sales]]*0.7)))</f>
        <v>2018.3999999999999</v>
      </c>
      <c r="I1134" s="11">
        <f ca="1">Table1[[#This Row],[Sales]]-H1134</f>
        <v>1345.6000000000001</v>
      </c>
      <c r="J1134" s="2">
        <f ca="1">Table1[[#This Row],[Profit]]/Table1[[#This Row],[Sales]]</f>
        <v>0.4</v>
      </c>
      <c r="K1134" t="str">
        <f ca="1">TEXT(Table1[[#This Row],[Order_Date]],"mmm")</f>
        <v>Sep</v>
      </c>
      <c r="L1134">
        <f ca="1">YEAR(Table1[[#This Row],[Order_Date]])</f>
        <v>2023</v>
      </c>
    </row>
    <row r="1135" spans="1:12" x14ac:dyDescent="0.3">
      <c r="A1135">
        <f t="shared" si="68"/>
        <v>1134</v>
      </c>
      <c r="B1135" s="1">
        <f t="shared" ca="1" si="69"/>
        <v>45089</v>
      </c>
      <c r="C1135" t="s">
        <v>8</v>
      </c>
      <c r="D1135" t="str">
        <f t="shared" ca="1" si="70"/>
        <v>Electronics</v>
      </c>
      <c r="E1135" t="s">
        <v>78</v>
      </c>
      <c r="F1135" s="11">
        <v>6675</v>
      </c>
      <c r="G1135">
        <f t="shared" ca="1" si="71"/>
        <v>8</v>
      </c>
      <c r="H1135" s="11">
        <f ca="1">IF(Table1[[#This Row],[Category]]="Electronics",Table1[[#This Row],[Sales]]*0.6,
IF(Table1[[#This Row],[Category]]="Furniture",Table1[[#This Row],[Sales]]*0.75,
IF(Table1[[#This Row],[Category]]="Clothing",Table1[[#This Row],[Sales]]*0.65,
Table1[[#This Row],[Sales]]*0.7)))</f>
        <v>4005</v>
      </c>
      <c r="I1135" s="11">
        <f ca="1">Table1[[#This Row],[Sales]]-H1135</f>
        <v>2670</v>
      </c>
      <c r="J1135" s="2">
        <f ca="1">Table1[[#This Row],[Profit]]/Table1[[#This Row],[Sales]]</f>
        <v>0.4</v>
      </c>
      <c r="K1135" t="str">
        <f ca="1">TEXT(Table1[[#This Row],[Order_Date]],"mmm")</f>
        <v>Jun</v>
      </c>
      <c r="L1135">
        <f ca="1">YEAR(Table1[[#This Row],[Order_Date]])</f>
        <v>2023</v>
      </c>
    </row>
    <row r="1136" spans="1:12" x14ac:dyDescent="0.3">
      <c r="A1136">
        <f t="shared" si="68"/>
        <v>1135</v>
      </c>
      <c r="B1136" s="1">
        <f t="shared" ca="1" si="69"/>
        <v>45194</v>
      </c>
      <c r="C1136" t="s">
        <v>9</v>
      </c>
      <c r="D1136" t="str">
        <f t="shared" ca="1" si="70"/>
        <v>Furniture</v>
      </c>
      <c r="E1136" t="s">
        <v>45</v>
      </c>
      <c r="F1136" s="11">
        <v>19903</v>
      </c>
      <c r="G1136">
        <f t="shared" ca="1" si="71"/>
        <v>9</v>
      </c>
      <c r="H1136" s="11">
        <f ca="1">IF(Table1[[#This Row],[Category]]="Electronics",Table1[[#This Row],[Sales]]*0.6,
IF(Table1[[#This Row],[Category]]="Furniture",Table1[[#This Row],[Sales]]*0.75,
IF(Table1[[#This Row],[Category]]="Clothing",Table1[[#This Row],[Sales]]*0.65,
Table1[[#This Row],[Sales]]*0.7)))</f>
        <v>14927.25</v>
      </c>
      <c r="I1136" s="11">
        <f ca="1">Table1[[#This Row],[Sales]]-H1136</f>
        <v>4975.75</v>
      </c>
      <c r="J1136" s="2">
        <f ca="1">Table1[[#This Row],[Profit]]/Table1[[#This Row],[Sales]]</f>
        <v>0.25</v>
      </c>
      <c r="K1136" t="str">
        <f ca="1">TEXT(Table1[[#This Row],[Order_Date]],"mmm")</f>
        <v>Sep</v>
      </c>
      <c r="L1136">
        <f ca="1">YEAR(Table1[[#This Row],[Order_Date]])</f>
        <v>2023</v>
      </c>
    </row>
    <row r="1137" spans="1:12" x14ac:dyDescent="0.3">
      <c r="A1137">
        <f t="shared" si="68"/>
        <v>1136</v>
      </c>
      <c r="B1137" s="1">
        <f t="shared" ca="1" si="69"/>
        <v>45134</v>
      </c>
      <c r="C1137" t="s">
        <v>10</v>
      </c>
      <c r="D1137" t="str">
        <f t="shared" ca="1" si="70"/>
        <v>Office Supplies</v>
      </c>
      <c r="E1137" t="s">
        <v>75</v>
      </c>
      <c r="F1137" s="11">
        <v>19681</v>
      </c>
      <c r="G1137">
        <f t="shared" ca="1" si="71"/>
        <v>2</v>
      </c>
      <c r="H1137" s="11">
        <f ca="1">IF(Table1[[#This Row],[Category]]="Electronics",Table1[[#This Row],[Sales]]*0.6,
IF(Table1[[#This Row],[Category]]="Furniture",Table1[[#This Row],[Sales]]*0.75,
IF(Table1[[#This Row],[Category]]="Clothing",Table1[[#This Row],[Sales]]*0.65,
Table1[[#This Row],[Sales]]*0.7)))</f>
        <v>13776.699999999999</v>
      </c>
      <c r="I1137" s="11">
        <f ca="1">Table1[[#This Row],[Sales]]-H1137</f>
        <v>5904.3000000000011</v>
      </c>
      <c r="J1137" s="2">
        <f ca="1">Table1[[#This Row],[Profit]]/Table1[[#This Row],[Sales]]</f>
        <v>0.30000000000000004</v>
      </c>
      <c r="K1137" t="str">
        <f ca="1">TEXT(Table1[[#This Row],[Order_Date]],"mmm")</f>
        <v>Jul</v>
      </c>
      <c r="L1137">
        <f ca="1">YEAR(Table1[[#This Row],[Order_Date]])</f>
        <v>2023</v>
      </c>
    </row>
    <row r="1138" spans="1:12" x14ac:dyDescent="0.3">
      <c r="A1138">
        <f t="shared" si="68"/>
        <v>1137</v>
      </c>
      <c r="B1138" s="1">
        <f t="shared" ca="1" si="69"/>
        <v>45162</v>
      </c>
      <c r="C1138" t="s">
        <v>7</v>
      </c>
      <c r="D1138" t="str">
        <f t="shared" ca="1" si="70"/>
        <v>Office Supplies</v>
      </c>
      <c r="E1138" t="s">
        <v>79</v>
      </c>
      <c r="F1138" s="11">
        <v>7246</v>
      </c>
      <c r="G1138">
        <f t="shared" ca="1" si="71"/>
        <v>4</v>
      </c>
      <c r="H1138" s="11">
        <f ca="1">IF(Table1[[#This Row],[Category]]="Electronics",Table1[[#This Row],[Sales]]*0.6,
IF(Table1[[#This Row],[Category]]="Furniture",Table1[[#This Row],[Sales]]*0.75,
IF(Table1[[#This Row],[Category]]="Clothing",Table1[[#This Row],[Sales]]*0.65,
Table1[[#This Row],[Sales]]*0.7)))</f>
        <v>5072.2</v>
      </c>
      <c r="I1138" s="11">
        <f ca="1">Table1[[#This Row],[Sales]]-H1138</f>
        <v>2173.8000000000002</v>
      </c>
      <c r="J1138" s="2">
        <f ca="1">Table1[[#This Row],[Profit]]/Table1[[#This Row],[Sales]]</f>
        <v>0.30000000000000004</v>
      </c>
      <c r="K1138" t="str">
        <f ca="1">TEXT(Table1[[#This Row],[Order_Date]],"mmm")</f>
        <v>Aug</v>
      </c>
      <c r="L1138">
        <f ca="1">YEAR(Table1[[#This Row],[Order_Date]])</f>
        <v>2023</v>
      </c>
    </row>
    <row r="1139" spans="1:12" x14ac:dyDescent="0.3">
      <c r="A1139">
        <f t="shared" si="68"/>
        <v>1138</v>
      </c>
      <c r="B1139" s="1">
        <f t="shared" ca="1" si="69"/>
        <v>45214</v>
      </c>
      <c r="C1139" t="s">
        <v>8</v>
      </c>
      <c r="D1139" t="str">
        <f t="shared" ca="1" si="70"/>
        <v>Electronics</v>
      </c>
      <c r="E1139" t="s">
        <v>45</v>
      </c>
      <c r="F1139" s="11">
        <v>1485</v>
      </c>
      <c r="G1139">
        <f t="shared" ca="1" si="71"/>
        <v>4</v>
      </c>
      <c r="H1139" s="11">
        <f ca="1">IF(Table1[[#This Row],[Category]]="Electronics",Table1[[#This Row],[Sales]]*0.6,
IF(Table1[[#This Row],[Category]]="Furniture",Table1[[#This Row],[Sales]]*0.75,
IF(Table1[[#This Row],[Category]]="Clothing",Table1[[#This Row],[Sales]]*0.65,
Table1[[#This Row],[Sales]]*0.7)))</f>
        <v>891</v>
      </c>
      <c r="I1139" s="11">
        <f ca="1">Table1[[#This Row],[Sales]]-H1139</f>
        <v>594</v>
      </c>
      <c r="J1139" s="2">
        <f ca="1">Table1[[#This Row],[Profit]]/Table1[[#This Row],[Sales]]</f>
        <v>0.4</v>
      </c>
      <c r="K1139" t="str">
        <f ca="1">TEXT(Table1[[#This Row],[Order_Date]],"mmm")</f>
        <v>Oct</v>
      </c>
      <c r="L1139">
        <f ca="1">YEAR(Table1[[#This Row],[Order_Date]])</f>
        <v>2023</v>
      </c>
    </row>
    <row r="1140" spans="1:12" x14ac:dyDescent="0.3">
      <c r="A1140">
        <f t="shared" si="68"/>
        <v>1139</v>
      </c>
      <c r="B1140" s="1">
        <f t="shared" ca="1" si="69"/>
        <v>45043</v>
      </c>
      <c r="C1140" t="s">
        <v>9</v>
      </c>
      <c r="D1140" t="str">
        <f t="shared" ca="1" si="70"/>
        <v>Furniture</v>
      </c>
      <c r="E1140" t="s">
        <v>75</v>
      </c>
      <c r="F1140" s="11">
        <v>9437</v>
      </c>
      <c r="G1140">
        <f t="shared" ca="1" si="71"/>
        <v>9</v>
      </c>
      <c r="H1140" s="11">
        <f ca="1">IF(Table1[[#This Row],[Category]]="Electronics",Table1[[#This Row],[Sales]]*0.6,
IF(Table1[[#This Row],[Category]]="Furniture",Table1[[#This Row],[Sales]]*0.75,
IF(Table1[[#This Row],[Category]]="Clothing",Table1[[#This Row],[Sales]]*0.65,
Table1[[#This Row],[Sales]]*0.7)))</f>
        <v>7077.75</v>
      </c>
      <c r="I1140" s="11">
        <f ca="1">Table1[[#This Row],[Sales]]-H1140</f>
        <v>2359.25</v>
      </c>
      <c r="J1140" s="2">
        <f ca="1">Table1[[#This Row],[Profit]]/Table1[[#This Row],[Sales]]</f>
        <v>0.25</v>
      </c>
      <c r="K1140" t="str">
        <f ca="1">TEXT(Table1[[#This Row],[Order_Date]],"mmm")</f>
        <v>Apr</v>
      </c>
      <c r="L1140">
        <f ca="1">YEAR(Table1[[#This Row],[Order_Date]])</f>
        <v>2023</v>
      </c>
    </row>
    <row r="1141" spans="1:12" x14ac:dyDescent="0.3">
      <c r="A1141">
        <f t="shared" si="68"/>
        <v>1140</v>
      </c>
      <c r="B1141" s="1">
        <f t="shared" ca="1" si="69"/>
        <v>45284</v>
      </c>
      <c r="C1141" t="s">
        <v>10</v>
      </c>
      <c r="D1141" t="str">
        <f t="shared" ca="1" si="70"/>
        <v>Office Supplies</v>
      </c>
      <c r="E1141" t="s">
        <v>53</v>
      </c>
      <c r="F1141" s="11">
        <v>4110</v>
      </c>
      <c r="G1141">
        <f t="shared" ca="1" si="71"/>
        <v>4</v>
      </c>
      <c r="H1141" s="11">
        <f ca="1">IF(Table1[[#This Row],[Category]]="Electronics",Table1[[#This Row],[Sales]]*0.6,
IF(Table1[[#This Row],[Category]]="Furniture",Table1[[#This Row],[Sales]]*0.75,
IF(Table1[[#This Row],[Category]]="Clothing",Table1[[#This Row],[Sales]]*0.65,
Table1[[#This Row],[Sales]]*0.7)))</f>
        <v>2877</v>
      </c>
      <c r="I1141" s="11">
        <f ca="1">Table1[[#This Row],[Sales]]-H1141</f>
        <v>1233</v>
      </c>
      <c r="J1141" s="2">
        <f ca="1">Table1[[#This Row],[Profit]]/Table1[[#This Row],[Sales]]</f>
        <v>0.3</v>
      </c>
      <c r="K1141" t="str">
        <f ca="1">TEXT(Table1[[#This Row],[Order_Date]],"mmm")</f>
        <v>Dec</v>
      </c>
      <c r="L1141">
        <f ca="1">YEAR(Table1[[#This Row],[Order_Date]])</f>
        <v>2023</v>
      </c>
    </row>
    <row r="1142" spans="1:12" x14ac:dyDescent="0.3">
      <c r="A1142">
        <f t="shared" si="68"/>
        <v>1141</v>
      </c>
      <c r="B1142" s="1">
        <f t="shared" ca="1" si="69"/>
        <v>45185</v>
      </c>
      <c r="C1142" t="s">
        <v>7</v>
      </c>
      <c r="D1142" t="str">
        <f t="shared" ca="1" si="70"/>
        <v>Clothing</v>
      </c>
      <c r="E1142" t="s">
        <v>80</v>
      </c>
      <c r="F1142" s="11">
        <v>10822</v>
      </c>
      <c r="G1142">
        <f t="shared" ca="1" si="71"/>
        <v>7</v>
      </c>
      <c r="H1142" s="11">
        <f ca="1">IF(Table1[[#This Row],[Category]]="Electronics",Table1[[#This Row],[Sales]]*0.6,
IF(Table1[[#This Row],[Category]]="Furniture",Table1[[#This Row],[Sales]]*0.75,
IF(Table1[[#This Row],[Category]]="Clothing",Table1[[#This Row],[Sales]]*0.65,
Table1[[#This Row],[Sales]]*0.7)))</f>
        <v>7034.3</v>
      </c>
      <c r="I1142" s="11">
        <f ca="1">Table1[[#This Row],[Sales]]-H1142</f>
        <v>3787.7</v>
      </c>
      <c r="J1142" s="2">
        <f ca="1">Table1[[#This Row],[Profit]]/Table1[[#This Row],[Sales]]</f>
        <v>0.35</v>
      </c>
      <c r="K1142" t="str">
        <f ca="1">TEXT(Table1[[#This Row],[Order_Date]],"mmm")</f>
        <v>Sep</v>
      </c>
      <c r="L1142">
        <f ca="1">YEAR(Table1[[#This Row],[Order_Date]])</f>
        <v>2023</v>
      </c>
    </row>
    <row r="1143" spans="1:12" x14ac:dyDescent="0.3">
      <c r="A1143">
        <f t="shared" si="68"/>
        <v>1142</v>
      </c>
      <c r="B1143" s="1">
        <f t="shared" ca="1" si="69"/>
        <v>45149</v>
      </c>
      <c r="C1143" t="s">
        <v>8</v>
      </c>
      <c r="D1143" t="str">
        <f t="shared" ca="1" si="70"/>
        <v>Office Supplies</v>
      </c>
      <c r="E1143" t="s">
        <v>64</v>
      </c>
      <c r="F1143" s="11">
        <v>8386</v>
      </c>
      <c r="G1143">
        <f t="shared" ca="1" si="71"/>
        <v>1</v>
      </c>
      <c r="H1143" s="11">
        <f ca="1">IF(Table1[[#This Row],[Category]]="Electronics",Table1[[#This Row],[Sales]]*0.6,
IF(Table1[[#This Row],[Category]]="Furniture",Table1[[#This Row],[Sales]]*0.75,
IF(Table1[[#This Row],[Category]]="Clothing",Table1[[#This Row],[Sales]]*0.65,
Table1[[#This Row],[Sales]]*0.7)))</f>
        <v>5870.2</v>
      </c>
      <c r="I1143" s="11">
        <f ca="1">Table1[[#This Row],[Sales]]-H1143</f>
        <v>2515.8000000000002</v>
      </c>
      <c r="J1143" s="2">
        <f ca="1">Table1[[#This Row],[Profit]]/Table1[[#This Row],[Sales]]</f>
        <v>0.30000000000000004</v>
      </c>
      <c r="K1143" t="str">
        <f ca="1">TEXT(Table1[[#This Row],[Order_Date]],"mmm")</f>
        <v>Aug</v>
      </c>
      <c r="L1143">
        <f ca="1">YEAR(Table1[[#This Row],[Order_Date]])</f>
        <v>2023</v>
      </c>
    </row>
    <row r="1144" spans="1:12" x14ac:dyDescent="0.3">
      <c r="A1144">
        <f t="shared" si="68"/>
        <v>1143</v>
      </c>
      <c r="B1144" s="1">
        <f t="shared" ca="1" si="69"/>
        <v>45245</v>
      </c>
      <c r="C1144" t="s">
        <v>9</v>
      </c>
      <c r="D1144" t="str">
        <f t="shared" ca="1" si="70"/>
        <v>Furniture</v>
      </c>
      <c r="E1144" t="s">
        <v>60</v>
      </c>
      <c r="F1144" s="11">
        <v>6805</v>
      </c>
      <c r="G1144">
        <f t="shared" ca="1" si="71"/>
        <v>8</v>
      </c>
      <c r="H1144" s="11">
        <f ca="1">IF(Table1[[#This Row],[Category]]="Electronics",Table1[[#This Row],[Sales]]*0.6,
IF(Table1[[#This Row],[Category]]="Furniture",Table1[[#This Row],[Sales]]*0.75,
IF(Table1[[#This Row],[Category]]="Clothing",Table1[[#This Row],[Sales]]*0.65,
Table1[[#This Row],[Sales]]*0.7)))</f>
        <v>5103.75</v>
      </c>
      <c r="I1144" s="11">
        <f ca="1">Table1[[#This Row],[Sales]]-H1144</f>
        <v>1701.25</v>
      </c>
      <c r="J1144" s="2">
        <f ca="1">Table1[[#This Row],[Profit]]/Table1[[#This Row],[Sales]]</f>
        <v>0.25</v>
      </c>
      <c r="K1144" t="str">
        <f ca="1">TEXT(Table1[[#This Row],[Order_Date]],"mmm")</f>
        <v>Nov</v>
      </c>
      <c r="L1144">
        <f ca="1">YEAR(Table1[[#This Row],[Order_Date]])</f>
        <v>2023</v>
      </c>
    </row>
    <row r="1145" spans="1:12" x14ac:dyDescent="0.3">
      <c r="A1145">
        <f t="shared" si="68"/>
        <v>1144</v>
      </c>
      <c r="B1145" s="1">
        <f t="shared" ca="1" si="69"/>
        <v>45023</v>
      </c>
      <c r="C1145" t="s">
        <v>10</v>
      </c>
      <c r="D1145" t="str">
        <f t="shared" ca="1" si="70"/>
        <v>Clothing</v>
      </c>
      <c r="E1145" t="s">
        <v>47</v>
      </c>
      <c r="F1145" s="11">
        <v>15535</v>
      </c>
      <c r="G1145">
        <f t="shared" ca="1" si="71"/>
        <v>1</v>
      </c>
      <c r="H1145" s="11">
        <f ca="1">IF(Table1[[#This Row],[Category]]="Electronics",Table1[[#This Row],[Sales]]*0.6,
IF(Table1[[#This Row],[Category]]="Furniture",Table1[[#This Row],[Sales]]*0.75,
IF(Table1[[#This Row],[Category]]="Clothing",Table1[[#This Row],[Sales]]*0.65,
Table1[[#This Row],[Sales]]*0.7)))</f>
        <v>10097.75</v>
      </c>
      <c r="I1145" s="11">
        <f ca="1">Table1[[#This Row],[Sales]]-H1145</f>
        <v>5437.25</v>
      </c>
      <c r="J1145" s="2">
        <f ca="1">Table1[[#This Row],[Profit]]/Table1[[#This Row],[Sales]]</f>
        <v>0.35</v>
      </c>
      <c r="K1145" t="str">
        <f ca="1">TEXT(Table1[[#This Row],[Order_Date]],"mmm")</f>
        <v>Apr</v>
      </c>
      <c r="L1145">
        <f ca="1">YEAR(Table1[[#This Row],[Order_Date]])</f>
        <v>2023</v>
      </c>
    </row>
    <row r="1146" spans="1:12" x14ac:dyDescent="0.3">
      <c r="A1146">
        <f t="shared" si="68"/>
        <v>1145</v>
      </c>
      <c r="B1146" s="1">
        <f t="shared" ca="1" si="69"/>
        <v>45183</v>
      </c>
      <c r="C1146" t="s">
        <v>7</v>
      </c>
      <c r="D1146" t="str">
        <f t="shared" ca="1" si="70"/>
        <v>Furniture</v>
      </c>
      <c r="E1146" t="s">
        <v>79</v>
      </c>
      <c r="F1146" s="11">
        <v>15179</v>
      </c>
      <c r="G1146">
        <f t="shared" ca="1" si="71"/>
        <v>9</v>
      </c>
      <c r="H1146" s="11">
        <f ca="1">IF(Table1[[#This Row],[Category]]="Electronics",Table1[[#This Row],[Sales]]*0.6,
IF(Table1[[#This Row],[Category]]="Furniture",Table1[[#This Row],[Sales]]*0.75,
IF(Table1[[#This Row],[Category]]="Clothing",Table1[[#This Row],[Sales]]*0.65,
Table1[[#This Row],[Sales]]*0.7)))</f>
        <v>11384.25</v>
      </c>
      <c r="I1146" s="11">
        <f ca="1">Table1[[#This Row],[Sales]]-H1146</f>
        <v>3794.75</v>
      </c>
      <c r="J1146" s="2">
        <f ca="1">Table1[[#This Row],[Profit]]/Table1[[#This Row],[Sales]]</f>
        <v>0.25</v>
      </c>
      <c r="K1146" t="str">
        <f ca="1">TEXT(Table1[[#This Row],[Order_Date]],"mmm")</f>
        <v>Sep</v>
      </c>
      <c r="L1146">
        <f ca="1">YEAR(Table1[[#This Row],[Order_Date]])</f>
        <v>2023</v>
      </c>
    </row>
    <row r="1147" spans="1:12" x14ac:dyDescent="0.3">
      <c r="A1147">
        <f t="shared" si="68"/>
        <v>1146</v>
      </c>
      <c r="B1147" s="1">
        <f t="shared" ca="1" si="69"/>
        <v>44983</v>
      </c>
      <c r="C1147" t="s">
        <v>8</v>
      </c>
      <c r="D1147" t="str">
        <f t="shared" ca="1" si="70"/>
        <v>Office Supplies</v>
      </c>
      <c r="E1147" t="s">
        <v>71</v>
      </c>
      <c r="F1147" s="11">
        <v>13879</v>
      </c>
      <c r="G1147">
        <f t="shared" ca="1" si="71"/>
        <v>6</v>
      </c>
      <c r="H1147" s="11">
        <f ca="1">IF(Table1[[#This Row],[Category]]="Electronics",Table1[[#This Row],[Sales]]*0.6,
IF(Table1[[#This Row],[Category]]="Furniture",Table1[[#This Row],[Sales]]*0.75,
IF(Table1[[#This Row],[Category]]="Clothing",Table1[[#This Row],[Sales]]*0.65,
Table1[[#This Row],[Sales]]*0.7)))</f>
        <v>9715.2999999999993</v>
      </c>
      <c r="I1147" s="11">
        <f ca="1">Table1[[#This Row],[Sales]]-H1147</f>
        <v>4163.7000000000007</v>
      </c>
      <c r="J1147" s="2">
        <f ca="1">Table1[[#This Row],[Profit]]/Table1[[#This Row],[Sales]]</f>
        <v>0.30000000000000004</v>
      </c>
      <c r="K1147" t="str">
        <f ca="1">TEXT(Table1[[#This Row],[Order_Date]],"mmm")</f>
        <v>Feb</v>
      </c>
      <c r="L1147">
        <f ca="1">YEAR(Table1[[#This Row],[Order_Date]])</f>
        <v>2023</v>
      </c>
    </row>
    <row r="1148" spans="1:12" x14ac:dyDescent="0.3">
      <c r="A1148">
        <f t="shared" si="68"/>
        <v>1147</v>
      </c>
      <c r="B1148" s="1">
        <f t="shared" ca="1" si="69"/>
        <v>45005</v>
      </c>
      <c r="C1148" t="s">
        <v>9</v>
      </c>
      <c r="D1148" t="str">
        <f t="shared" ca="1" si="70"/>
        <v>Furniture</v>
      </c>
      <c r="E1148" t="s">
        <v>84</v>
      </c>
      <c r="F1148" s="11">
        <v>13481</v>
      </c>
      <c r="G1148">
        <f t="shared" ca="1" si="71"/>
        <v>9</v>
      </c>
      <c r="H1148" s="11">
        <f ca="1">IF(Table1[[#This Row],[Category]]="Electronics",Table1[[#This Row],[Sales]]*0.6,
IF(Table1[[#This Row],[Category]]="Furniture",Table1[[#This Row],[Sales]]*0.75,
IF(Table1[[#This Row],[Category]]="Clothing",Table1[[#This Row],[Sales]]*0.65,
Table1[[#This Row],[Sales]]*0.7)))</f>
        <v>10110.75</v>
      </c>
      <c r="I1148" s="11">
        <f ca="1">Table1[[#This Row],[Sales]]-H1148</f>
        <v>3370.25</v>
      </c>
      <c r="J1148" s="2">
        <f ca="1">Table1[[#This Row],[Profit]]/Table1[[#This Row],[Sales]]</f>
        <v>0.25</v>
      </c>
      <c r="K1148" t="str">
        <f ca="1">TEXT(Table1[[#This Row],[Order_Date]],"mmm")</f>
        <v>Mar</v>
      </c>
      <c r="L1148">
        <f ca="1">YEAR(Table1[[#This Row],[Order_Date]])</f>
        <v>2023</v>
      </c>
    </row>
    <row r="1149" spans="1:12" x14ac:dyDescent="0.3">
      <c r="A1149">
        <f t="shared" si="68"/>
        <v>1148</v>
      </c>
      <c r="B1149" s="1">
        <f t="shared" ca="1" si="69"/>
        <v>45192</v>
      </c>
      <c r="C1149" t="s">
        <v>10</v>
      </c>
      <c r="D1149" t="str">
        <f t="shared" ca="1" si="70"/>
        <v>Clothing</v>
      </c>
      <c r="E1149" t="s">
        <v>67</v>
      </c>
      <c r="F1149" s="11">
        <v>6397</v>
      </c>
      <c r="G1149">
        <f t="shared" ca="1" si="71"/>
        <v>6</v>
      </c>
      <c r="H1149" s="11">
        <f ca="1">IF(Table1[[#This Row],[Category]]="Electronics",Table1[[#This Row],[Sales]]*0.6,
IF(Table1[[#This Row],[Category]]="Furniture",Table1[[#This Row],[Sales]]*0.75,
IF(Table1[[#This Row],[Category]]="Clothing",Table1[[#This Row],[Sales]]*0.65,
Table1[[#This Row],[Sales]]*0.7)))</f>
        <v>4158.05</v>
      </c>
      <c r="I1149" s="11">
        <f ca="1">Table1[[#This Row],[Sales]]-H1149</f>
        <v>2238.9499999999998</v>
      </c>
      <c r="J1149" s="2">
        <f ca="1">Table1[[#This Row],[Profit]]/Table1[[#This Row],[Sales]]</f>
        <v>0.35</v>
      </c>
      <c r="K1149" t="str">
        <f ca="1">TEXT(Table1[[#This Row],[Order_Date]],"mmm")</f>
        <v>Sep</v>
      </c>
      <c r="L1149">
        <f ca="1">YEAR(Table1[[#This Row],[Order_Date]])</f>
        <v>2023</v>
      </c>
    </row>
    <row r="1150" spans="1:12" x14ac:dyDescent="0.3">
      <c r="A1150">
        <f t="shared" si="68"/>
        <v>1149</v>
      </c>
      <c r="B1150" s="1">
        <f t="shared" ca="1" si="69"/>
        <v>45254</v>
      </c>
      <c r="C1150" t="s">
        <v>7</v>
      </c>
      <c r="D1150" t="str">
        <f t="shared" ca="1" si="70"/>
        <v>Office Supplies</v>
      </c>
      <c r="E1150" t="s">
        <v>37</v>
      </c>
      <c r="F1150" s="11">
        <v>1503</v>
      </c>
      <c r="G1150">
        <f t="shared" ca="1" si="71"/>
        <v>1</v>
      </c>
      <c r="H1150" s="11">
        <f ca="1">IF(Table1[[#This Row],[Category]]="Electronics",Table1[[#This Row],[Sales]]*0.6,
IF(Table1[[#This Row],[Category]]="Furniture",Table1[[#This Row],[Sales]]*0.75,
IF(Table1[[#This Row],[Category]]="Clothing",Table1[[#This Row],[Sales]]*0.65,
Table1[[#This Row],[Sales]]*0.7)))</f>
        <v>1052.0999999999999</v>
      </c>
      <c r="I1150" s="11">
        <f ca="1">Table1[[#This Row],[Sales]]-H1150</f>
        <v>450.90000000000009</v>
      </c>
      <c r="J1150" s="2">
        <f ca="1">Table1[[#This Row],[Profit]]/Table1[[#This Row],[Sales]]</f>
        <v>0.30000000000000004</v>
      </c>
      <c r="K1150" t="str">
        <f ca="1">TEXT(Table1[[#This Row],[Order_Date]],"mmm")</f>
        <v>Nov</v>
      </c>
      <c r="L1150">
        <f ca="1">YEAR(Table1[[#This Row],[Order_Date]])</f>
        <v>2023</v>
      </c>
    </row>
    <row r="1151" spans="1:12" x14ac:dyDescent="0.3">
      <c r="A1151">
        <f t="shared" si="68"/>
        <v>1150</v>
      </c>
      <c r="B1151" s="1">
        <f t="shared" ca="1" si="69"/>
        <v>44977</v>
      </c>
      <c r="C1151" t="s">
        <v>8</v>
      </c>
      <c r="D1151" t="str">
        <f t="shared" ca="1" si="70"/>
        <v>Electronics</v>
      </c>
      <c r="E1151" t="s">
        <v>80</v>
      </c>
      <c r="F1151" s="11">
        <v>6363</v>
      </c>
      <c r="G1151">
        <f t="shared" ca="1" si="71"/>
        <v>4</v>
      </c>
      <c r="H1151" s="11">
        <f ca="1">IF(Table1[[#This Row],[Category]]="Electronics",Table1[[#This Row],[Sales]]*0.6,
IF(Table1[[#This Row],[Category]]="Furniture",Table1[[#This Row],[Sales]]*0.75,
IF(Table1[[#This Row],[Category]]="Clothing",Table1[[#This Row],[Sales]]*0.65,
Table1[[#This Row],[Sales]]*0.7)))</f>
        <v>3817.7999999999997</v>
      </c>
      <c r="I1151" s="11">
        <f ca="1">Table1[[#This Row],[Sales]]-H1151</f>
        <v>2545.2000000000003</v>
      </c>
      <c r="J1151" s="2">
        <f ca="1">Table1[[#This Row],[Profit]]/Table1[[#This Row],[Sales]]</f>
        <v>0.4</v>
      </c>
      <c r="K1151" t="str">
        <f ca="1">TEXT(Table1[[#This Row],[Order_Date]],"mmm")</f>
        <v>Feb</v>
      </c>
      <c r="L1151">
        <f ca="1">YEAR(Table1[[#This Row],[Order_Date]])</f>
        <v>2023</v>
      </c>
    </row>
    <row r="1152" spans="1:12" x14ac:dyDescent="0.3">
      <c r="A1152">
        <f t="shared" si="68"/>
        <v>1151</v>
      </c>
      <c r="B1152" s="1">
        <f t="shared" ca="1" si="69"/>
        <v>44979</v>
      </c>
      <c r="C1152" t="s">
        <v>9</v>
      </c>
      <c r="D1152" t="str">
        <f t="shared" ca="1" si="70"/>
        <v>Furniture</v>
      </c>
      <c r="E1152" t="s">
        <v>84</v>
      </c>
      <c r="F1152" s="11">
        <v>5926</v>
      </c>
      <c r="G1152">
        <f t="shared" ca="1" si="71"/>
        <v>7</v>
      </c>
      <c r="H1152" s="11">
        <f ca="1">IF(Table1[[#This Row],[Category]]="Electronics",Table1[[#This Row],[Sales]]*0.6,
IF(Table1[[#This Row],[Category]]="Furniture",Table1[[#This Row],[Sales]]*0.75,
IF(Table1[[#This Row],[Category]]="Clothing",Table1[[#This Row],[Sales]]*0.65,
Table1[[#This Row],[Sales]]*0.7)))</f>
        <v>4444.5</v>
      </c>
      <c r="I1152" s="11">
        <f ca="1">Table1[[#This Row],[Sales]]-H1152</f>
        <v>1481.5</v>
      </c>
      <c r="J1152" s="2">
        <f ca="1">Table1[[#This Row],[Profit]]/Table1[[#This Row],[Sales]]</f>
        <v>0.25</v>
      </c>
      <c r="K1152" t="str">
        <f ca="1">TEXT(Table1[[#This Row],[Order_Date]],"mmm")</f>
        <v>Feb</v>
      </c>
      <c r="L1152">
        <f ca="1">YEAR(Table1[[#This Row],[Order_Date]])</f>
        <v>2023</v>
      </c>
    </row>
    <row r="1153" spans="1:12" x14ac:dyDescent="0.3">
      <c r="A1153">
        <f t="shared" si="68"/>
        <v>1152</v>
      </c>
      <c r="B1153" s="1">
        <f t="shared" ca="1" si="69"/>
        <v>44962</v>
      </c>
      <c r="C1153" t="s">
        <v>10</v>
      </c>
      <c r="D1153" t="str">
        <f t="shared" ca="1" si="70"/>
        <v>Electronics</v>
      </c>
      <c r="E1153" t="s">
        <v>71</v>
      </c>
      <c r="F1153" s="11">
        <v>4699</v>
      </c>
      <c r="G1153">
        <f t="shared" ca="1" si="71"/>
        <v>9</v>
      </c>
      <c r="H1153" s="11">
        <f ca="1">IF(Table1[[#This Row],[Category]]="Electronics",Table1[[#This Row],[Sales]]*0.6,
IF(Table1[[#This Row],[Category]]="Furniture",Table1[[#This Row],[Sales]]*0.75,
IF(Table1[[#This Row],[Category]]="Clothing",Table1[[#This Row],[Sales]]*0.65,
Table1[[#This Row],[Sales]]*0.7)))</f>
        <v>2819.4</v>
      </c>
      <c r="I1153" s="11">
        <f ca="1">Table1[[#This Row],[Sales]]-H1153</f>
        <v>1879.6</v>
      </c>
      <c r="J1153" s="2">
        <f ca="1">Table1[[#This Row],[Profit]]/Table1[[#This Row],[Sales]]</f>
        <v>0.39999999999999997</v>
      </c>
      <c r="K1153" t="str">
        <f ca="1">TEXT(Table1[[#This Row],[Order_Date]],"mmm")</f>
        <v>Feb</v>
      </c>
      <c r="L1153">
        <f ca="1">YEAR(Table1[[#This Row],[Order_Date]])</f>
        <v>2023</v>
      </c>
    </row>
    <row r="1154" spans="1:12" x14ac:dyDescent="0.3">
      <c r="A1154">
        <f t="shared" si="68"/>
        <v>1153</v>
      </c>
      <c r="B1154" s="1">
        <f t="shared" ca="1" si="69"/>
        <v>45079</v>
      </c>
      <c r="C1154" t="s">
        <v>7</v>
      </c>
      <c r="D1154" t="str">
        <f t="shared" ca="1" si="70"/>
        <v>Electronics</v>
      </c>
      <c r="E1154" t="s">
        <v>64</v>
      </c>
      <c r="F1154" s="11">
        <v>10489</v>
      </c>
      <c r="G1154">
        <f t="shared" ca="1" si="71"/>
        <v>4</v>
      </c>
      <c r="H1154" s="11">
        <f ca="1">IF(Table1[[#This Row],[Category]]="Electronics",Table1[[#This Row],[Sales]]*0.6,
IF(Table1[[#This Row],[Category]]="Furniture",Table1[[#This Row],[Sales]]*0.75,
IF(Table1[[#This Row],[Category]]="Clothing",Table1[[#This Row],[Sales]]*0.65,
Table1[[#This Row],[Sales]]*0.7)))</f>
        <v>6293.4</v>
      </c>
      <c r="I1154" s="11">
        <f ca="1">Table1[[#This Row],[Sales]]-H1154</f>
        <v>4195.6000000000004</v>
      </c>
      <c r="J1154" s="2">
        <f ca="1">Table1[[#This Row],[Profit]]/Table1[[#This Row],[Sales]]</f>
        <v>0.4</v>
      </c>
      <c r="K1154" t="str">
        <f ca="1">TEXT(Table1[[#This Row],[Order_Date]],"mmm")</f>
        <v>Jun</v>
      </c>
      <c r="L1154">
        <f ca="1">YEAR(Table1[[#This Row],[Order_Date]])</f>
        <v>2023</v>
      </c>
    </row>
    <row r="1155" spans="1:12" x14ac:dyDescent="0.3">
      <c r="A1155">
        <f t="shared" ref="A1155:A1218" si="72">ROW()-1</f>
        <v>1154</v>
      </c>
      <c r="B1155" s="1">
        <f t="shared" ref="B1155:B1218" ca="1" si="73">DATE(2023, RANDBETWEEN(1,12), RANDBETWEEN(1,28))</f>
        <v>45193</v>
      </c>
      <c r="C1155" t="s">
        <v>8</v>
      </c>
      <c r="D1155" t="str">
        <f t="shared" ref="D1155:D1218" ca="1" si="74">CHOOSE(RANDBETWEEN(1,4),"Electronics","Furniture","Clothing","Office Supplies")</f>
        <v>Clothing</v>
      </c>
      <c r="E1155" t="s">
        <v>77</v>
      </c>
      <c r="F1155" s="11">
        <v>4955</v>
      </c>
      <c r="G1155">
        <f t="shared" ref="G1155:G1218" ca="1" si="75">RANDBETWEEN(1,10)</f>
        <v>5</v>
      </c>
      <c r="H1155" s="11">
        <f ca="1">IF(Table1[[#This Row],[Category]]="Electronics",Table1[[#This Row],[Sales]]*0.6,
IF(Table1[[#This Row],[Category]]="Furniture",Table1[[#This Row],[Sales]]*0.75,
IF(Table1[[#This Row],[Category]]="Clothing",Table1[[#This Row],[Sales]]*0.65,
Table1[[#This Row],[Sales]]*0.7)))</f>
        <v>3220.75</v>
      </c>
      <c r="I1155" s="11">
        <f ca="1">Table1[[#This Row],[Sales]]-H1155</f>
        <v>1734.25</v>
      </c>
      <c r="J1155" s="2">
        <f ca="1">Table1[[#This Row],[Profit]]/Table1[[#This Row],[Sales]]</f>
        <v>0.35</v>
      </c>
      <c r="K1155" t="str">
        <f ca="1">TEXT(Table1[[#This Row],[Order_Date]],"mmm")</f>
        <v>Sep</v>
      </c>
      <c r="L1155">
        <f ca="1">YEAR(Table1[[#This Row],[Order_Date]])</f>
        <v>2023</v>
      </c>
    </row>
    <row r="1156" spans="1:12" x14ac:dyDescent="0.3">
      <c r="A1156">
        <f t="shared" si="72"/>
        <v>1155</v>
      </c>
      <c r="B1156" s="1">
        <f t="shared" ca="1" si="73"/>
        <v>45088</v>
      </c>
      <c r="C1156" t="s">
        <v>9</v>
      </c>
      <c r="D1156" t="str">
        <f t="shared" ca="1" si="74"/>
        <v>Electronics</v>
      </c>
      <c r="E1156" t="s">
        <v>52</v>
      </c>
      <c r="F1156" s="11">
        <v>916</v>
      </c>
      <c r="G1156">
        <f t="shared" ca="1" si="75"/>
        <v>7</v>
      </c>
      <c r="H1156" s="11">
        <f ca="1">IF(Table1[[#This Row],[Category]]="Electronics",Table1[[#This Row],[Sales]]*0.6,
IF(Table1[[#This Row],[Category]]="Furniture",Table1[[#This Row],[Sales]]*0.75,
IF(Table1[[#This Row],[Category]]="Clothing",Table1[[#This Row],[Sales]]*0.65,
Table1[[#This Row],[Sales]]*0.7)))</f>
        <v>549.6</v>
      </c>
      <c r="I1156" s="11">
        <f ca="1">Table1[[#This Row],[Sales]]-H1156</f>
        <v>366.4</v>
      </c>
      <c r="J1156" s="2">
        <f ca="1">Table1[[#This Row],[Profit]]/Table1[[#This Row],[Sales]]</f>
        <v>0.39999999999999997</v>
      </c>
      <c r="K1156" t="str">
        <f ca="1">TEXT(Table1[[#This Row],[Order_Date]],"mmm")</f>
        <v>Jun</v>
      </c>
      <c r="L1156">
        <f ca="1">YEAR(Table1[[#This Row],[Order_Date]])</f>
        <v>2023</v>
      </c>
    </row>
    <row r="1157" spans="1:12" x14ac:dyDescent="0.3">
      <c r="A1157">
        <f t="shared" si="72"/>
        <v>1156</v>
      </c>
      <c r="B1157" s="1">
        <f t="shared" ca="1" si="73"/>
        <v>44970</v>
      </c>
      <c r="C1157" t="s">
        <v>10</v>
      </c>
      <c r="D1157" t="str">
        <f t="shared" ca="1" si="74"/>
        <v>Office Supplies</v>
      </c>
      <c r="E1157" t="s">
        <v>46</v>
      </c>
      <c r="F1157" s="11">
        <v>17311</v>
      </c>
      <c r="G1157">
        <f t="shared" ca="1" si="75"/>
        <v>10</v>
      </c>
      <c r="H1157" s="11">
        <f ca="1">IF(Table1[[#This Row],[Category]]="Electronics",Table1[[#This Row],[Sales]]*0.6,
IF(Table1[[#This Row],[Category]]="Furniture",Table1[[#This Row],[Sales]]*0.75,
IF(Table1[[#This Row],[Category]]="Clothing",Table1[[#This Row],[Sales]]*0.65,
Table1[[#This Row],[Sales]]*0.7)))</f>
        <v>12117.699999999999</v>
      </c>
      <c r="I1157" s="11">
        <f ca="1">Table1[[#This Row],[Sales]]-H1157</f>
        <v>5193.3000000000011</v>
      </c>
      <c r="J1157" s="2">
        <f ca="1">Table1[[#This Row],[Profit]]/Table1[[#This Row],[Sales]]</f>
        <v>0.30000000000000004</v>
      </c>
      <c r="K1157" t="str">
        <f ca="1">TEXT(Table1[[#This Row],[Order_Date]],"mmm")</f>
        <v>Feb</v>
      </c>
      <c r="L1157">
        <f ca="1">YEAR(Table1[[#This Row],[Order_Date]])</f>
        <v>2023</v>
      </c>
    </row>
    <row r="1158" spans="1:12" x14ac:dyDescent="0.3">
      <c r="A1158">
        <f t="shared" si="72"/>
        <v>1157</v>
      </c>
      <c r="B1158" s="1">
        <f t="shared" ca="1" si="73"/>
        <v>44936</v>
      </c>
      <c r="C1158" t="s">
        <v>7</v>
      </c>
      <c r="D1158" t="str">
        <f t="shared" ca="1" si="74"/>
        <v>Clothing</v>
      </c>
      <c r="E1158" t="s">
        <v>72</v>
      </c>
      <c r="F1158" s="11">
        <v>9305</v>
      </c>
      <c r="G1158">
        <f t="shared" ca="1" si="75"/>
        <v>4</v>
      </c>
      <c r="H1158" s="11">
        <f ca="1">IF(Table1[[#This Row],[Category]]="Electronics",Table1[[#This Row],[Sales]]*0.6,
IF(Table1[[#This Row],[Category]]="Furniture",Table1[[#This Row],[Sales]]*0.75,
IF(Table1[[#This Row],[Category]]="Clothing",Table1[[#This Row],[Sales]]*0.65,
Table1[[#This Row],[Sales]]*0.7)))</f>
        <v>6048.25</v>
      </c>
      <c r="I1158" s="11">
        <f ca="1">Table1[[#This Row],[Sales]]-H1158</f>
        <v>3256.75</v>
      </c>
      <c r="J1158" s="2">
        <f ca="1">Table1[[#This Row],[Profit]]/Table1[[#This Row],[Sales]]</f>
        <v>0.35</v>
      </c>
      <c r="K1158" t="str">
        <f ca="1">TEXT(Table1[[#This Row],[Order_Date]],"mmm")</f>
        <v>Jan</v>
      </c>
      <c r="L1158">
        <f ca="1">YEAR(Table1[[#This Row],[Order_Date]])</f>
        <v>2023</v>
      </c>
    </row>
    <row r="1159" spans="1:12" x14ac:dyDescent="0.3">
      <c r="A1159">
        <f t="shared" si="72"/>
        <v>1158</v>
      </c>
      <c r="B1159" s="1">
        <f t="shared" ca="1" si="73"/>
        <v>45186</v>
      </c>
      <c r="C1159" t="s">
        <v>8</v>
      </c>
      <c r="D1159" t="str">
        <f t="shared" ca="1" si="74"/>
        <v>Furniture</v>
      </c>
      <c r="E1159" t="s">
        <v>49</v>
      </c>
      <c r="F1159" s="11">
        <v>3330</v>
      </c>
      <c r="G1159">
        <f t="shared" ca="1" si="75"/>
        <v>7</v>
      </c>
      <c r="H1159" s="11">
        <f ca="1">IF(Table1[[#This Row],[Category]]="Electronics",Table1[[#This Row],[Sales]]*0.6,
IF(Table1[[#This Row],[Category]]="Furniture",Table1[[#This Row],[Sales]]*0.75,
IF(Table1[[#This Row],[Category]]="Clothing",Table1[[#This Row],[Sales]]*0.65,
Table1[[#This Row],[Sales]]*0.7)))</f>
        <v>2497.5</v>
      </c>
      <c r="I1159" s="11">
        <f ca="1">Table1[[#This Row],[Sales]]-H1159</f>
        <v>832.5</v>
      </c>
      <c r="J1159" s="2">
        <f ca="1">Table1[[#This Row],[Profit]]/Table1[[#This Row],[Sales]]</f>
        <v>0.25</v>
      </c>
      <c r="K1159" t="str">
        <f ca="1">TEXT(Table1[[#This Row],[Order_Date]],"mmm")</f>
        <v>Sep</v>
      </c>
      <c r="L1159">
        <f ca="1">YEAR(Table1[[#This Row],[Order_Date]])</f>
        <v>2023</v>
      </c>
    </row>
    <row r="1160" spans="1:12" x14ac:dyDescent="0.3">
      <c r="A1160">
        <f t="shared" si="72"/>
        <v>1159</v>
      </c>
      <c r="B1160" s="1">
        <f t="shared" ca="1" si="73"/>
        <v>45049</v>
      </c>
      <c r="C1160" t="s">
        <v>9</v>
      </c>
      <c r="D1160" t="str">
        <f t="shared" ca="1" si="74"/>
        <v>Office Supplies</v>
      </c>
      <c r="E1160" t="s">
        <v>45</v>
      </c>
      <c r="F1160" s="11">
        <v>2078</v>
      </c>
      <c r="G1160">
        <f t="shared" ca="1" si="75"/>
        <v>9</v>
      </c>
      <c r="H1160" s="11">
        <f ca="1">IF(Table1[[#This Row],[Category]]="Electronics",Table1[[#This Row],[Sales]]*0.6,
IF(Table1[[#This Row],[Category]]="Furniture",Table1[[#This Row],[Sales]]*0.75,
IF(Table1[[#This Row],[Category]]="Clothing",Table1[[#This Row],[Sales]]*0.65,
Table1[[#This Row],[Sales]]*0.7)))</f>
        <v>1454.6</v>
      </c>
      <c r="I1160" s="11">
        <f ca="1">Table1[[#This Row],[Sales]]-H1160</f>
        <v>623.40000000000009</v>
      </c>
      <c r="J1160" s="2">
        <f ca="1">Table1[[#This Row],[Profit]]/Table1[[#This Row],[Sales]]</f>
        <v>0.30000000000000004</v>
      </c>
      <c r="K1160" t="str">
        <f ca="1">TEXT(Table1[[#This Row],[Order_Date]],"mmm")</f>
        <v>May</v>
      </c>
      <c r="L1160">
        <f ca="1">YEAR(Table1[[#This Row],[Order_Date]])</f>
        <v>2023</v>
      </c>
    </row>
    <row r="1161" spans="1:12" x14ac:dyDescent="0.3">
      <c r="A1161">
        <f t="shared" si="72"/>
        <v>1160</v>
      </c>
      <c r="B1161" s="1">
        <f t="shared" ca="1" si="73"/>
        <v>44965</v>
      </c>
      <c r="C1161" t="s">
        <v>10</v>
      </c>
      <c r="D1161" t="str">
        <f t="shared" ca="1" si="74"/>
        <v>Clothing</v>
      </c>
      <c r="E1161" t="s">
        <v>49</v>
      </c>
      <c r="F1161" s="11">
        <v>15493</v>
      </c>
      <c r="G1161">
        <f t="shared" ca="1" si="75"/>
        <v>10</v>
      </c>
      <c r="H1161" s="11">
        <f ca="1">IF(Table1[[#This Row],[Category]]="Electronics",Table1[[#This Row],[Sales]]*0.6,
IF(Table1[[#This Row],[Category]]="Furniture",Table1[[#This Row],[Sales]]*0.75,
IF(Table1[[#This Row],[Category]]="Clothing",Table1[[#This Row],[Sales]]*0.65,
Table1[[#This Row],[Sales]]*0.7)))</f>
        <v>10070.450000000001</v>
      </c>
      <c r="I1161" s="11">
        <f ca="1">Table1[[#This Row],[Sales]]-H1161</f>
        <v>5422.5499999999993</v>
      </c>
      <c r="J1161" s="2">
        <f ca="1">Table1[[#This Row],[Profit]]/Table1[[#This Row],[Sales]]</f>
        <v>0.35</v>
      </c>
      <c r="K1161" t="str">
        <f ca="1">TEXT(Table1[[#This Row],[Order_Date]],"mmm")</f>
        <v>Feb</v>
      </c>
      <c r="L1161">
        <f ca="1">YEAR(Table1[[#This Row],[Order_Date]])</f>
        <v>2023</v>
      </c>
    </row>
    <row r="1162" spans="1:12" x14ac:dyDescent="0.3">
      <c r="A1162">
        <f t="shared" si="72"/>
        <v>1161</v>
      </c>
      <c r="B1162" s="1">
        <f t="shared" ca="1" si="73"/>
        <v>45086</v>
      </c>
      <c r="C1162" t="s">
        <v>7</v>
      </c>
      <c r="D1162" t="str">
        <f t="shared" ca="1" si="74"/>
        <v>Electronics</v>
      </c>
      <c r="E1162" t="s">
        <v>65</v>
      </c>
      <c r="F1162" s="11">
        <v>13571</v>
      </c>
      <c r="G1162">
        <f t="shared" ca="1" si="75"/>
        <v>8</v>
      </c>
      <c r="H1162" s="11">
        <f ca="1">IF(Table1[[#This Row],[Category]]="Electronics",Table1[[#This Row],[Sales]]*0.6,
IF(Table1[[#This Row],[Category]]="Furniture",Table1[[#This Row],[Sales]]*0.75,
IF(Table1[[#This Row],[Category]]="Clothing",Table1[[#This Row],[Sales]]*0.65,
Table1[[#This Row],[Sales]]*0.7)))</f>
        <v>8142.5999999999995</v>
      </c>
      <c r="I1162" s="11">
        <f ca="1">Table1[[#This Row],[Sales]]-H1162</f>
        <v>5428.4000000000005</v>
      </c>
      <c r="J1162" s="2">
        <f ca="1">Table1[[#This Row],[Profit]]/Table1[[#This Row],[Sales]]</f>
        <v>0.4</v>
      </c>
      <c r="K1162" t="str">
        <f ca="1">TEXT(Table1[[#This Row],[Order_Date]],"mmm")</f>
        <v>Jun</v>
      </c>
      <c r="L1162">
        <f ca="1">YEAR(Table1[[#This Row],[Order_Date]])</f>
        <v>2023</v>
      </c>
    </row>
    <row r="1163" spans="1:12" x14ac:dyDescent="0.3">
      <c r="A1163">
        <f t="shared" si="72"/>
        <v>1162</v>
      </c>
      <c r="B1163" s="1">
        <f t="shared" ca="1" si="73"/>
        <v>45101</v>
      </c>
      <c r="C1163" t="s">
        <v>8</v>
      </c>
      <c r="D1163" t="str">
        <f t="shared" ca="1" si="74"/>
        <v>Clothing</v>
      </c>
      <c r="E1163" t="s">
        <v>63</v>
      </c>
      <c r="F1163" s="11">
        <v>2778</v>
      </c>
      <c r="G1163">
        <f t="shared" ca="1" si="75"/>
        <v>4</v>
      </c>
      <c r="H1163" s="11">
        <f ca="1">IF(Table1[[#This Row],[Category]]="Electronics",Table1[[#This Row],[Sales]]*0.6,
IF(Table1[[#This Row],[Category]]="Furniture",Table1[[#This Row],[Sales]]*0.75,
IF(Table1[[#This Row],[Category]]="Clothing",Table1[[#This Row],[Sales]]*0.65,
Table1[[#This Row],[Sales]]*0.7)))</f>
        <v>1805.7</v>
      </c>
      <c r="I1163" s="11">
        <f ca="1">Table1[[#This Row],[Sales]]-H1163</f>
        <v>972.3</v>
      </c>
      <c r="J1163" s="2">
        <f ca="1">Table1[[#This Row],[Profit]]/Table1[[#This Row],[Sales]]</f>
        <v>0.35</v>
      </c>
      <c r="K1163" t="str">
        <f ca="1">TEXT(Table1[[#This Row],[Order_Date]],"mmm")</f>
        <v>Jun</v>
      </c>
      <c r="L1163">
        <f ca="1">YEAR(Table1[[#This Row],[Order_Date]])</f>
        <v>2023</v>
      </c>
    </row>
    <row r="1164" spans="1:12" x14ac:dyDescent="0.3">
      <c r="A1164">
        <f t="shared" si="72"/>
        <v>1163</v>
      </c>
      <c r="B1164" s="1">
        <f t="shared" ca="1" si="73"/>
        <v>45017</v>
      </c>
      <c r="C1164" t="s">
        <v>9</v>
      </c>
      <c r="D1164" t="str">
        <f t="shared" ca="1" si="74"/>
        <v>Furniture</v>
      </c>
      <c r="E1164" t="s">
        <v>41</v>
      </c>
      <c r="F1164" s="11">
        <v>10550</v>
      </c>
      <c r="G1164">
        <f t="shared" ca="1" si="75"/>
        <v>2</v>
      </c>
      <c r="H1164" s="11">
        <f ca="1">IF(Table1[[#This Row],[Category]]="Electronics",Table1[[#This Row],[Sales]]*0.6,
IF(Table1[[#This Row],[Category]]="Furniture",Table1[[#This Row],[Sales]]*0.75,
IF(Table1[[#This Row],[Category]]="Clothing",Table1[[#This Row],[Sales]]*0.65,
Table1[[#This Row],[Sales]]*0.7)))</f>
        <v>7912.5</v>
      </c>
      <c r="I1164" s="11">
        <f ca="1">Table1[[#This Row],[Sales]]-H1164</f>
        <v>2637.5</v>
      </c>
      <c r="J1164" s="2">
        <f ca="1">Table1[[#This Row],[Profit]]/Table1[[#This Row],[Sales]]</f>
        <v>0.25</v>
      </c>
      <c r="K1164" t="str">
        <f ca="1">TEXT(Table1[[#This Row],[Order_Date]],"mmm")</f>
        <v>Apr</v>
      </c>
      <c r="L1164">
        <f ca="1">YEAR(Table1[[#This Row],[Order_Date]])</f>
        <v>2023</v>
      </c>
    </row>
    <row r="1165" spans="1:12" x14ac:dyDescent="0.3">
      <c r="A1165">
        <f t="shared" si="72"/>
        <v>1164</v>
      </c>
      <c r="B1165" s="1">
        <f t="shared" ca="1" si="73"/>
        <v>45021</v>
      </c>
      <c r="C1165" t="s">
        <v>10</v>
      </c>
      <c r="D1165" t="str">
        <f t="shared" ca="1" si="74"/>
        <v>Electronics</v>
      </c>
      <c r="E1165" t="s">
        <v>44</v>
      </c>
      <c r="F1165" s="11">
        <v>16450</v>
      </c>
      <c r="G1165">
        <f t="shared" ca="1" si="75"/>
        <v>4</v>
      </c>
      <c r="H1165" s="11">
        <f ca="1">IF(Table1[[#This Row],[Category]]="Electronics",Table1[[#This Row],[Sales]]*0.6,
IF(Table1[[#This Row],[Category]]="Furniture",Table1[[#This Row],[Sales]]*0.75,
IF(Table1[[#This Row],[Category]]="Clothing",Table1[[#This Row],[Sales]]*0.65,
Table1[[#This Row],[Sales]]*0.7)))</f>
        <v>9870</v>
      </c>
      <c r="I1165" s="11">
        <f ca="1">Table1[[#This Row],[Sales]]-H1165</f>
        <v>6580</v>
      </c>
      <c r="J1165" s="2">
        <f ca="1">Table1[[#This Row],[Profit]]/Table1[[#This Row],[Sales]]</f>
        <v>0.4</v>
      </c>
      <c r="K1165" t="str">
        <f ca="1">TEXT(Table1[[#This Row],[Order_Date]],"mmm")</f>
        <v>Apr</v>
      </c>
      <c r="L1165">
        <f ca="1">YEAR(Table1[[#This Row],[Order_Date]])</f>
        <v>2023</v>
      </c>
    </row>
    <row r="1166" spans="1:12" x14ac:dyDescent="0.3">
      <c r="A1166">
        <f t="shared" si="72"/>
        <v>1165</v>
      </c>
      <c r="B1166" s="1">
        <f t="shared" ca="1" si="73"/>
        <v>45065</v>
      </c>
      <c r="C1166" t="s">
        <v>7</v>
      </c>
      <c r="D1166" t="str">
        <f t="shared" ca="1" si="74"/>
        <v>Electronics</v>
      </c>
      <c r="E1166" t="s">
        <v>38</v>
      </c>
      <c r="F1166" s="11">
        <v>5482</v>
      </c>
      <c r="G1166">
        <f t="shared" ca="1" si="75"/>
        <v>3</v>
      </c>
      <c r="H1166" s="11">
        <f ca="1">IF(Table1[[#This Row],[Category]]="Electronics",Table1[[#This Row],[Sales]]*0.6,
IF(Table1[[#This Row],[Category]]="Furniture",Table1[[#This Row],[Sales]]*0.75,
IF(Table1[[#This Row],[Category]]="Clothing",Table1[[#This Row],[Sales]]*0.65,
Table1[[#This Row],[Sales]]*0.7)))</f>
        <v>3289.2</v>
      </c>
      <c r="I1166" s="11">
        <f ca="1">Table1[[#This Row],[Sales]]-H1166</f>
        <v>2192.8000000000002</v>
      </c>
      <c r="J1166" s="2">
        <f ca="1">Table1[[#This Row],[Profit]]/Table1[[#This Row],[Sales]]</f>
        <v>0.4</v>
      </c>
      <c r="K1166" t="str">
        <f ca="1">TEXT(Table1[[#This Row],[Order_Date]],"mmm")</f>
        <v>May</v>
      </c>
      <c r="L1166">
        <f ca="1">YEAR(Table1[[#This Row],[Order_Date]])</f>
        <v>2023</v>
      </c>
    </row>
    <row r="1167" spans="1:12" x14ac:dyDescent="0.3">
      <c r="A1167">
        <f t="shared" si="72"/>
        <v>1166</v>
      </c>
      <c r="B1167" s="1">
        <f t="shared" ca="1" si="73"/>
        <v>44972</v>
      </c>
      <c r="C1167" t="s">
        <v>8</v>
      </c>
      <c r="D1167" t="str">
        <f t="shared" ca="1" si="74"/>
        <v>Furniture</v>
      </c>
      <c r="E1167" t="s">
        <v>61</v>
      </c>
      <c r="F1167" s="11">
        <v>19118</v>
      </c>
      <c r="G1167">
        <f t="shared" ca="1" si="75"/>
        <v>2</v>
      </c>
      <c r="H1167" s="11">
        <f ca="1">IF(Table1[[#This Row],[Category]]="Electronics",Table1[[#This Row],[Sales]]*0.6,
IF(Table1[[#This Row],[Category]]="Furniture",Table1[[#This Row],[Sales]]*0.75,
IF(Table1[[#This Row],[Category]]="Clothing",Table1[[#This Row],[Sales]]*0.65,
Table1[[#This Row],[Sales]]*0.7)))</f>
        <v>14338.5</v>
      </c>
      <c r="I1167" s="11">
        <f ca="1">Table1[[#This Row],[Sales]]-H1167</f>
        <v>4779.5</v>
      </c>
      <c r="J1167" s="2">
        <f ca="1">Table1[[#This Row],[Profit]]/Table1[[#This Row],[Sales]]</f>
        <v>0.25</v>
      </c>
      <c r="K1167" t="str">
        <f ca="1">TEXT(Table1[[#This Row],[Order_Date]],"mmm")</f>
        <v>Feb</v>
      </c>
      <c r="L1167">
        <f ca="1">YEAR(Table1[[#This Row],[Order_Date]])</f>
        <v>2023</v>
      </c>
    </row>
    <row r="1168" spans="1:12" x14ac:dyDescent="0.3">
      <c r="A1168">
        <f t="shared" si="72"/>
        <v>1167</v>
      </c>
      <c r="B1168" s="1">
        <f t="shared" ca="1" si="73"/>
        <v>45120</v>
      </c>
      <c r="C1168" t="s">
        <v>9</v>
      </c>
      <c r="D1168" t="str">
        <f t="shared" ca="1" si="74"/>
        <v>Office Supplies</v>
      </c>
      <c r="E1168" t="s">
        <v>62</v>
      </c>
      <c r="F1168" s="11">
        <v>14099</v>
      </c>
      <c r="G1168">
        <f t="shared" ca="1" si="75"/>
        <v>1</v>
      </c>
      <c r="H1168" s="11">
        <f ca="1">IF(Table1[[#This Row],[Category]]="Electronics",Table1[[#This Row],[Sales]]*0.6,
IF(Table1[[#This Row],[Category]]="Furniture",Table1[[#This Row],[Sales]]*0.75,
IF(Table1[[#This Row],[Category]]="Clothing",Table1[[#This Row],[Sales]]*0.65,
Table1[[#This Row],[Sales]]*0.7)))</f>
        <v>9869.2999999999993</v>
      </c>
      <c r="I1168" s="11">
        <f ca="1">Table1[[#This Row],[Sales]]-H1168</f>
        <v>4229.7000000000007</v>
      </c>
      <c r="J1168" s="2">
        <f ca="1">Table1[[#This Row],[Profit]]/Table1[[#This Row],[Sales]]</f>
        <v>0.30000000000000004</v>
      </c>
      <c r="K1168" t="str">
        <f ca="1">TEXT(Table1[[#This Row],[Order_Date]],"mmm")</f>
        <v>Jul</v>
      </c>
      <c r="L1168">
        <f ca="1">YEAR(Table1[[#This Row],[Order_Date]])</f>
        <v>2023</v>
      </c>
    </row>
    <row r="1169" spans="1:12" x14ac:dyDescent="0.3">
      <c r="A1169">
        <f t="shared" si="72"/>
        <v>1168</v>
      </c>
      <c r="B1169" s="1">
        <f t="shared" ca="1" si="73"/>
        <v>45047</v>
      </c>
      <c r="C1169" t="s">
        <v>10</v>
      </c>
      <c r="D1169" t="str">
        <f t="shared" ca="1" si="74"/>
        <v>Clothing</v>
      </c>
      <c r="E1169" t="s">
        <v>41</v>
      </c>
      <c r="F1169" s="11">
        <v>11130</v>
      </c>
      <c r="G1169">
        <f t="shared" ca="1" si="75"/>
        <v>1</v>
      </c>
      <c r="H1169" s="11">
        <f ca="1">IF(Table1[[#This Row],[Category]]="Electronics",Table1[[#This Row],[Sales]]*0.6,
IF(Table1[[#This Row],[Category]]="Furniture",Table1[[#This Row],[Sales]]*0.75,
IF(Table1[[#This Row],[Category]]="Clothing",Table1[[#This Row],[Sales]]*0.65,
Table1[[#This Row],[Sales]]*0.7)))</f>
        <v>7234.5</v>
      </c>
      <c r="I1169" s="11">
        <f ca="1">Table1[[#This Row],[Sales]]-H1169</f>
        <v>3895.5</v>
      </c>
      <c r="J1169" s="2">
        <f ca="1">Table1[[#This Row],[Profit]]/Table1[[#This Row],[Sales]]</f>
        <v>0.35</v>
      </c>
      <c r="K1169" t="str">
        <f ca="1">TEXT(Table1[[#This Row],[Order_Date]],"mmm")</f>
        <v>May</v>
      </c>
      <c r="L1169">
        <f ca="1">YEAR(Table1[[#This Row],[Order_Date]])</f>
        <v>2023</v>
      </c>
    </row>
    <row r="1170" spans="1:12" x14ac:dyDescent="0.3">
      <c r="A1170">
        <f t="shared" si="72"/>
        <v>1169</v>
      </c>
      <c r="B1170" s="1">
        <f t="shared" ca="1" si="73"/>
        <v>45200</v>
      </c>
      <c r="C1170" t="s">
        <v>7</v>
      </c>
      <c r="D1170" t="str">
        <f t="shared" ca="1" si="74"/>
        <v>Office Supplies</v>
      </c>
      <c r="E1170" t="s">
        <v>65</v>
      </c>
      <c r="F1170" s="11">
        <v>11839</v>
      </c>
      <c r="G1170">
        <f t="shared" ca="1" si="75"/>
        <v>2</v>
      </c>
      <c r="H1170" s="11">
        <f ca="1">IF(Table1[[#This Row],[Category]]="Electronics",Table1[[#This Row],[Sales]]*0.6,
IF(Table1[[#This Row],[Category]]="Furniture",Table1[[#This Row],[Sales]]*0.75,
IF(Table1[[#This Row],[Category]]="Clothing",Table1[[#This Row],[Sales]]*0.65,
Table1[[#This Row],[Sales]]*0.7)))</f>
        <v>8287.2999999999993</v>
      </c>
      <c r="I1170" s="11">
        <f ca="1">Table1[[#This Row],[Sales]]-H1170</f>
        <v>3551.7000000000007</v>
      </c>
      <c r="J1170" s="2">
        <f ca="1">Table1[[#This Row],[Profit]]/Table1[[#This Row],[Sales]]</f>
        <v>0.30000000000000004</v>
      </c>
      <c r="K1170" t="str">
        <f ca="1">TEXT(Table1[[#This Row],[Order_Date]],"mmm")</f>
        <v>Oct</v>
      </c>
      <c r="L1170">
        <f ca="1">YEAR(Table1[[#This Row],[Order_Date]])</f>
        <v>2023</v>
      </c>
    </row>
    <row r="1171" spans="1:12" x14ac:dyDescent="0.3">
      <c r="A1171">
        <f t="shared" si="72"/>
        <v>1170</v>
      </c>
      <c r="B1171" s="1">
        <f t="shared" ca="1" si="73"/>
        <v>45287</v>
      </c>
      <c r="C1171" t="s">
        <v>8</v>
      </c>
      <c r="D1171" t="str">
        <f t="shared" ca="1" si="74"/>
        <v>Electronics</v>
      </c>
      <c r="E1171" t="s">
        <v>74</v>
      </c>
      <c r="F1171" s="11">
        <v>13469</v>
      </c>
      <c r="G1171">
        <f t="shared" ca="1" si="75"/>
        <v>4</v>
      </c>
      <c r="H1171" s="11">
        <f ca="1">IF(Table1[[#This Row],[Category]]="Electronics",Table1[[#This Row],[Sales]]*0.6,
IF(Table1[[#This Row],[Category]]="Furniture",Table1[[#This Row],[Sales]]*0.75,
IF(Table1[[#This Row],[Category]]="Clothing",Table1[[#This Row],[Sales]]*0.65,
Table1[[#This Row],[Sales]]*0.7)))</f>
        <v>8081.4</v>
      </c>
      <c r="I1171" s="11">
        <f ca="1">Table1[[#This Row],[Sales]]-H1171</f>
        <v>5387.6</v>
      </c>
      <c r="J1171" s="2">
        <f ca="1">Table1[[#This Row],[Profit]]/Table1[[#This Row],[Sales]]</f>
        <v>0.4</v>
      </c>
      <c r="K1171" t="str">
        <f ca="1">TEXT(Table1[[#This Row],[Order_Date]],"mmm")</f>
        <v>Dec</v>
      </c>
      <c r="L1171">
        <f ca="1">YEAR(Table1[[#This Row],[Order_Date]])</f>
        <v>2023</v>
      </c>
    </row>
    <row r="1172" spans="1:12" x14ac:dyDescent="0.3">
      <c r="A1172">
        <f t="shared" si="72"/>
        <v>1171</v>
      </c>
      <c r="B1172" s="1">
        <f t="shared" ca="1" si="73"/>
        <v>44984</v>
      </c>
      <c r="C1172" t="s">
        <v>9</v>
      </c>
      <c r="D1172" t="str">
        <f t="shared" ca="1" si="74"/>
        <v>Furniture</v>
      </c>
      <c r="E1172" t="s">
        <v>37</v>
      </c>
      <c r="F1172" s="11">
        <v>13369</v>
      </c>
      <c r="G1172">
        <f t="shared" ca="1" si="75"/>
        <v>1</v>
      </c>
      <c r="H1172" s="11">
        <f ca="1">IF(Table1[[#This Row],[Category]]="Electronics",Table1[[#This Row],[Sales]]*0.6,
IF(Table1[[#This Row],[Category]]="Furniture",Table1[[#This Row],[Sales]]*0.75,
IF(Table1[[#This Row],[Category]]="Clothing",Table1[[#This Row],[Sales]]*0.65,
Table1[[#This Row],[Sales]]*0.7)))</f>
        <v>10026.75</v>
      </c>
      <c r="I1172" s="11">
        <f ca="1">Table1[[#This Row],[Sales]]-H1172</f>
        <v>3342.25</v>
      </c>
      <c r="J1172" s="2">
        <f ca="1">Table1[[#This Row],[Profit]]/Table1[[#This Row],[Sales]]</f>
        <v>0.25</v>
      </c>
      <c r="K1172" t="str">
        <f ca="1">TEXT(Table1[[#This Row],[Order_Date]],"mmm")</f>
        <v>Feb</v>
      </c>
      <c r="L1172">
        <f ca="1">YEAR(Table1[[#This Row],[Order_Date]])</f>
        <v>2023</v>
      </c>
    </row>
    <row r="1173" spans="1:12" x14ac:dyDescent="0.3">
      <c r="A1173">
        <f t="shared" si="72"/>
        <v>1172</v>
      </c>
      <c r="B1173" s="1">
        <f t="shared" ca="1" si="73"/>
        <v>44968</v>
      </c>
      <c r="C1173" t="s">
        <v>10</v>
      </c>
      <c r="D1173" t="str">
        <f t="shared" ca="1" si="74"/>
        <v>Furniture</v>
      </c>
      <c r="E1173" t="s">
        <v>46</v>
      </c>
      <c r="F1173" s="11">
        <v>16295</v>
      </c>
      <c r="G1173">
        <f t="shared" ca="1" si="75"/>
        <v>7</v>
      </c>
      <c r="H1173" s="11">
        <f ca="1">IF(Table1[[#This Row],[Category]]="Electronics",Table1[[#This Row],[Sales]]*0.6,
IF(Table1[[#This Row],[Category]]="Furniture",Table1[[#This Row],[Sales]]*0.75,
IF(Table1[[#This Row],[Category]]="Clothing",Table1[[#This Row],[Sales]]*0.65,
Table1[[#This Row],[Sales]]*0.7)))</f>
        <v>12221.25</v>
      </c>
      <c r="I1173" s="11">
        <f ca="1">Table1[[#This Row],[Sales]]-H1173</f>
        <v>4073.75</v>
      </c>
      <c r="J1173" s="2">
        <f ca="1">Table1[[#This Row],[Profit]]/Table1[[#This Row],[Sales]]</f>
        <v>0.25</v>
      </c>
      <c r="K1173" t="str">
        <f ca="1">TEXT(Table1[[#This Row],[Order_Date]],"mmm")</f>
        <v>Feb</v>
      </c>
      <c r="L1173">
        <f ca="1">YEAR(Table1[[#This Row],[Order_Date]])</f>
        <v>2023</v>
      </c>
    </row>
    <row r="1174" spans="1:12" x14ac:dyDescent="0.3">
      <c r="A1174">
        <f t="shared" si="72"/>
        <v>1173</v>
      </c>
      <c r="B1174" s="1">
        <f t="shared" ca="1" si="73"/>
        <v>44966</v>
      </c>
      <c r="C1174" t="s">
        <v>7</v>
      </c>
      <c r="D1174" t="str">
        <f t="shared" ca="1" si="74"/>
        <v>Electronics</v>
      </c>
      <c r="E1174" t="s">
        <v>49</v>
      </c>
      <c r="F1174" s="11">
        <v>18689</v>
      </c>
      <c r="G1174">
        <f t="shared" ca="1" si="75"/>
        <v>4</v>
      </c>
      <c r="H1174" s="11">
        <f ca="1">IF(Table1[[#This Row],[Category]]="Electronics",Table1[[#This Row],[Sales]]*0.6,
IF(Table1[[#This Row],[Category]]="Furniture",Table1[[#This Row],[Sales]]*0.75,
IF(Table1[[#This Row],[Category]]="Clothing",Table1[[#This Row],[Sales]]*0.65,
Table1[[#This Row],[Sales]]*0.7)))</f>
        <v>11213.4</v>
      </c>
      <c r="I1174" s="11">
        <f ca="1">Table1[[#This Row],[Sales]]-H1174</f>
        <v>7475.6</v>
      </c>
      <c r="J1174" s="2">
        <f ca="1">Table1[[#This Row],[Profit]]/Table1[[#This Row],[Sales]]</f>
        <v>0.4</v>
      </c>
      <c r="K1174" t="str">
        <f ca="1">TEXT(Table1[[#This Row],[Order_Date]],"mmm")</f>
        <v>Feb</v>
      </c>
      <c r="L1174">
        <f ca="1">YEAR(Table1[[#This Row],[Order_Date]])</f>
        <v>2023</v>
      </c>
    </row>
    <row r="1175" spans="1:12" x14ac:dyDescent="0.3">
      <c r="A1175">
        <f t="shared" si="72"/>
        <v>1174</v>
      </c>
      <c r="B1175" s="1">
        <f t="shared" ca="1" si="73"/>
        <v>45218</v>
      </c>
      <c r="C1175" t="s">
        <v>8</v>
      </c>
      <c r="D1175" t="str">
        <f t="shared" ca="1" si="74"/>
        <v>Furniture</v>
      </c>
      <c r="E1175" t="s">
        <v>56</v>
      </c>
      <c r="F1175" s="11">
        <v>5985</v>
      </c>
      <c r="G1175">
        <f t="shared" ca="1" si="75"/>
        <v>4</v>
      </c>
      <c r="H1175" s="11">
        <f ca="1">IF(Table1[[#This Row],[Category]]="Electronics",Table1[[#This Row],[Sales]]*0.6,
IF(Table1[[#This Row],[Category]]="Furniture",Table1[[#This Row],[Sales]]*0.75,
IF(Table1[[#This Row],[Category]]="Clothing",Table1[[#This Row],[Sales]]*0.65,
Table1[[#This Row],[Sales]]*0.7)))</f>
        <v>4488.75</v>
      </c>
      <c r="I1175" s="11">
        <f ca="1">Table1[[#This Row],[Sales]]-H1175</f>
        <v>1496.25</v>
      </c>
      <c r="J1175" s="2">
        <f ca="1">Table1[[#This Row],[Profit]]/Table1[[#This Row],[Sales]]</f>
        <v>0.25</v>
      </c>
      <c r="K1175" t="str">
        <f ca="1">TEXT(Table1[[#This Row],[Order_Date]],"mmm")</f>
        <v>Oct</v>
      </c>
      <c r="L1175">
        <f ca="1">YEAR(Table1[[#This Row],[Order_Date]])</f>
        <v>2023</v>
      </c>
    </row>
    <row r="1176" spans="1:12" x14ac:dyDescent="0.3">
      <c r="A1176">
        <f t="shared" si="72"/>
        <v>1175</v>
      </c>
      <c r="B1176" s="1">
        <f t="shared" ca="1" si="73"/>
        <v>45175</v>
      </c>
      <c r="C1176" t="s">
        <v>9</v>
      </c>
      <c r="D1176" t="str">
        <f t="shared" ca="1" si="74"/>
        <v>Office Supplies</v>
      </c>
      <c r="E1176" t="s">
        <v>37</v>
      </c>
      <c r="F1176" s="11">
        <v>15316</v>
      </c>
      <c r="G1176">
        <f t="shared" ca="1" si="75"/>
        <v>10</v>
      </c>
      <c r="H1176" s="11">
        <f ca="1">IF(Table1[[#This Row],[Category]]="Electronics",Table1[[#This Row],[Sales]]*0.6,
IF(Table1[[#This Row],[Category]]="Furniture",Table1[[#This Row],[Sales]]*0.75,
IF(Table1[[#This Row],[Category]]="Clothing",Table1[[#This Row],[Sales]]*0.65,
Table1[[#This Row],[Sales]]*0.7)))</f>
        <v>10721.199999999999</v>
      </c>
      <c r="I1176" s="11">
        <f ca="1">Table1[[#This Row],[Sales]]-H1176</f>
        <v>4594.8000000000011</v>
      </c>
      <c r="J1176" s="2">
        <f ca="1">Table1[[#This Row],[Profit]]/Table1[[#This Row],[Sales]]</f>
        <v>0.30000000000000004</v>
      </c>
      <c r="K1176" t="str">
        <f ca="1">TEXT(Table1[[#This Row],[Order_Date]],"mmm")</f>
        <v>Sep</v>
      </c>
      <c r="L1176">
        <f ca="1">YEAR(Table1[[#This Row],[Order_Date]])</f>
        <v>2023</v>
      </c>
    </row>
    <row r="1177" spans="1:12" x14ac:dyDescent="0.3">
      <c r="A1177">
        <f t="shared" si="72"/>
        <v>1176</v>
      </c>
      <c r="B1177" s="1">
        <f t="shared" ca="1" si="73"/>
        <v>45001</v>
      </c>
      <c r="C1177" t="s">
        <v>10</v>
      </c>
      <c r="D1177" t="str">
        <f t="shared" ca="1" si="74"/>
        <v>Clothing</v>
      </c>
      <c r="E1177" t="s">
        <v>74</v>
      </c>
      <c r="F1177" s="11">
        <v>18346</v>
      </c>
      <c r="G1177">
        <f t="shared" ca="1" si="75"/>
        <v>9</v>
      </c>
      <c r="H1177" s="11">
        <f ca="1">IF(Table1[[#This Row],[Category]]="Electronics",Table1[[#This Row],[Sales]]*0.6,
IF(Table1[[#This Row],[Category]]="Furniture",Table1[[#This Row],[Sales]]*0.75,
IF(Table1[[#This Row],[Category]]="Clothing",Table1[[#This Row],[Sales]]*0.65,
Table1[[#This Row],[Sales]]*0.7)))</f>
        <v>11924.9</v>
      </c>
      <c r="I1177" s="11">
        <f ca="1">Table1[[#This Row],[Sales]]-H1177</f>
        <v>6421.1</v>
      </c>
      <c r="J1177" s="2">
        <f ca="1">Table1[[#This Row],[Profit]]/Table1[[#This Row],[Sales]]</f>
        <v>0.35000000000000003</v>
      </c>
      <c r="K1177" t="str">
        <f ca="1">TEXT(Table1[[#This Row],[Order_Date]],"mmm")</f>
        <v>Mar</v>
      </c>
      <c r="L1177">
        <f ca="1">YEAR(Table1[[#This Row],[Order_Date]])</f>
        <v>2023</v>
      </c>
    </row>
    <row r="1178" spans="1:12" x14ac:dyDescent="0.3">
      <c r="A1178">
        <f t="shared" si="72"/>
        <v>1177</v>
      </c>
      <c r="B1178" s="1">
        <f t="shared" ca="1" si="73"/>
        <v>45146</v>
      </c>
      <c r="C1178" t="s">
        <v>7</v>
      </c>
      <c r="D1178" t="str">
        <f t="shared" ca="1" si="74"/>
        <v>Office Supplies</v>
      </c>
      <c r="E1178" t="s">
        <v>47</v>
      </c>
      <c r="F1178" s="11">
        <v>7488</v>
      </c>
      <c r="G1178">
        <f t="shared" ca="1" si="75"/>
        <v>2</v>
      </c>
      <c r="H1178" s="11">
        <f ca="1">IF(Table1[[#This Row],[Category]]="Electronics",Table1[[#This Row],[Sales]]*0.6,
IF(Table1[[#This Row],[Category]]="Furniture",Table1[[#This Row],[Sales]]*0.75,
IF(Table1[[#This Row],[Category]]="Clothing",Table1[[#This Row],[Sales]]*0.65,
Table1[[#This Row],[Sales]]*0.7)))</f>
        <v>5241.5999999999995</v>
      </c>
      <c r="I1178" s="11">
        <f ca="1">Table1[[#This Row],[Sales]]-H1178</f>
        <v>2246.4000000000005</v>
      </c>
      <c r="J1178" s="2">
        <f ca="1">Table1[[#This Row],[Profit]]/Table1[[#This Row],[Sales]]</f>
        <v>0.3000000000000001</v>
      </c>
      <c r="K1178" t="str">
        <f ca="1">TEXT(Table1[[#This Row],[Order_Date]],"mmm")</f>
        <v>Aug</v>
      </c>
      <c r="L1178">
        <f ca="1">YEAR(Table1[[#This Row],[Order_Date]])</f>
        <v>2023</v>
      </c>
    </row>
    <row r="1179" spans="1:12" x14ac:dyDescent="0.3">
      <c r="A1179">
        <f t="shared" si="72"/>
        <v>1178</v>
      </c>
      <c r="B1179" s="1">
        <f t="shared" ca="1" si="73"/>
        <v>45256</v>
      </c>
      <c r="C1179" t="s">
        <v>8</v>
      </c>
      <c r="D1179" t="str">
        <f t="shared" ca="1" si="74"/>
        <v>Clothing</v>
      </c>
      <c r="E1179" t="s">
        <v>79</v>
      </c>
      <c r="F1179" s="11">
        <v>9059</v>
      </c>
      <c r="G1179">
        <f t="shared" ca="1" si="75"/>
        <v>6</v>
      </c>
      <c r="H1179" s="11">
        <f ca="1">IF(Table1[[#This Row],[Category]]="Electronics",Table1[[#This Row],[Sales]]*0.6,
IF(Table1[[#This Row],[Category]]="Furniture",Table1[[#This Row],[Sales]]*0.75,
IF(Table1[[#This Row],[Category]]="Clothing",Table1[[#This Row],[Sales]]*0.65,
Table1[[#This Row],[Sales]]*0.7)))</f>
        <v>5888.35</v>
      </c>
      <c r="I1179" s="11">
        <f ca="1">Table1[[#This Row],[Sales]]-H1179</f>
        <v>3170.6499999999996</v>
      </c>
      <c r="J1179" s="2">
        <f ca="1">Table1[[#This Row],[Profit]]/Table1[[#This Row],[Sales]]</f>
        <v>0.35</v>
      </c>
      <c r="K1179" t="str">
        <f ca="1">TEXT(Table1[[#This Row],[Order_Date]],"mmm")</f>
        <v>Nov</v>
      </c>
      <c r="L1179">
        <f ca="1">YEAR(Table1[[#This Row],[Order_Date]])</f>
        <v>2023</v>
      </c>
    </row>
    <row r="1180" spans="1:12" x14ac:dyDescent="0.3">
      <c r="A1180">
        <f t="shared" si="72"/>
        <v>1179</v>
      </c>
      <c r="B1180" s="1">
        <f t="shared" ca="1" si="73"/>
        <v>44940</v>
      </c>
      <c r="C1180" t="s">
        <v>9</v>
      </c>
      <c r="D1180" t="str">
        <f t="shared" ca="1" si="74"/>
        <v>Clothing</v>
      </c>
      <c r="E1180" t="s">
        <v>52</v>
      </c>
      <c r="F1180" s="11">
        <v>7613</v>
      </c>
      <c r="G1180">
        <f t="shared" ca="1" si="75"/>
        <v>6</v>
      </c>
      <c r="H1180" s="11">
        <f ca="1">IF(Table1[[#This Row],[Category]]="Electronics",Table1[[#This Row],[Sales]]*0.6,
IF(Table1[[#This Row],[Category]]="Furniture",Table1[[#This Row],[Sales]]*0.75,
IF(Table1[[#This Row],[Category]]="Clothing",Table1[[#This Row],[Sales]]*0.65,
Table1[[#This Row],[Sales]]*0.7)))</f>
        <v>4948.45</v>
      </c>
      <c r="I1180" s="11">
        <f ca="1">Table1[[#This Row],[Sales]]-H1180</f>
        <v>2664.55</v>
      </c>
      <c r="J1180" s="2">
        <f ca="1">Table1[[#This Row],[Profit]]/Table1[[#This Row],[Sales]]</f>
        <v>0.35000000000000003</v>
      </c>
      <c r="K1180" t="str">
        <f ca="1">TEXT(Table1[[#This Row],[Order_Date]],"mmm")</f>
        <v>Jan</v>
      </c>
      <c r="L1180">
        <f ca="1">YEAR(Table1[[#This Row],[Order_Date]])</f>
        <v>2023</v>
      </c>
    </row>
    <row r="1181" spans="1:12" x14ac:dyDescent="0.3">
      <c r="A1181">
        <f t="shared" si="72"/>
        <v>1180</v>
      </c>
      <c r="B1181" s="1">
        <f t="shared" ca="1" si="73"/>
        <v>45102</v>
      </c>
      <c r="C1181" t="s">
        <v>10</v>
      </c>
      <c r="D1181" t="str">
        <f t="shared" ca="1" si="74"/>
        <v>Clothing</v>
      </c>
      <c r="E1181" t="s">
        <v>74</v>
      </c>
      <c r="F1181" s="11">
        <v>7766</v>
      </c>
      <c r="G1181">
        <f t="shared" ca="1" si="75"/>
        <v>6</v>
      </c>
      <c r="H1181" s="11">
        <f ca="1">IF(Table1[[#This Row],[Category]]="Electronics",Table1[[#This Row],[Sales]]*0.6,
IF(Table1[[#This Row],[Category]]="Furniture",Table1[[#This Row],[Sales]]*0.75,
IF(Table1[[#This Row],[Category]]="Clothing",Table1[[#This Row],[Sales]]*0.65,
Table1[[#This Row],[Sales]]*0.7)))</f>
        <v>5047.9000000000005</v>
      </c>
      <c r="I1181" s="11">
        <f ca="1">Table1[[#This Row],[Sales]]-H1181</f>
        <v>2718.0999999999995</v>
      </c>
      <c r="J1181" s="2">
        <f ca="1">Table1[[#This Row],[Profit]]/Table1[[#This Row],[Sales]]</f>
        <v>0.34999999999999992</v>
      </c>
      <c r="K1181" t="str">
        <f ca="1">TEXT(Table1[[#This Row],[Order_Date]],"mmm")</f>
        <v>Jun</v>
      </c>
      <c r="L1181">
        <f ca="1">YEAR(Table1[[#This Row],[Order_Date]])</f>
        <v>2023</v>
      </c>
    </row>
    <row r="1182" spans="1:12" x14ac:dyDescent="0.3">
      <c r="A1182">
        <f t="shared" si="72"/>
        <v>1181</v>
      </c>
      <c r="B1182" s="1">
        <f t="shared" ca="1" si="73"/>
        <v>45102</v>
      </c>
      <c r="C1182" t="s">
        <v>7</v>
      </c>
      <c r="D1182" t="str">
        <f t="shared" ca="1" si="74"/>
        <v>Electronics</v>
      </c>
      <c r="E1182" t="s">
        <v>69</v>
      </c>
      <c r="F1182" s="11">
        <v>507</v>
      </c>
      <c r="G1182">
        <f t="shared" ca="1" si="75"/>
        <v>10</v>
      </c>
      <c r="H1182" s="11">
        <f ca="1">IF(Table1[[#This Row],[Category]]="Electronics",Table1[[#This Row],[Sales]]*0.6,
IF(Table1[[#This Row],[Category]]="Furniture",Table1[[#This Row],[Sales]]*0.75,
IF(Table1[[#This Row],[Category]]="Clothing",Table1[[#This Row],[Sales]]*0.65,
Table1[[#This Row],[Sales]]*0.7)))</f>
        <v>304.2</v>
      </c>
      <c r="I1182" s="11">
        <f ca="1">Table1[[#This Row],[Sales]]-H1182</f>
        <v>202.8</v>
      </c>
      <c r="J1182" s="2">
        <f ca="1">Table1[[#This Row],[Profit]]/Table1[[#This Row],[Sales]]</f>
        <v>0.4</v>
      </c>
      <c r="K1182" t="str">
        <f ca="1">TEXT(Table1[[#This Row],[Order_Date]],"mmm")</f>
        <v>Jun</v>
      </c>
      <c r="L1182">
        <f ca="1">YEAR(Table1[[#This Row],[Order_Date]])</f>
        <v>2023</v>
      </c>
    </row>
    <row r="1183" spans="1:12" x14ac:dyDescent="0.3">
      <c r="A1183">
        <f t="shared" si="72"/>
        <v>1182</v>
      </c>
      <c r="B1183" s="1">
        <f t="shared" ca="1" si="73"/>
        <v>44958</v>
      </c>
      <c r="C1183" t="s">
        <v>8</v>
      </c>
      <c r="D1183" t="str">
        <f t="shared" ca="1" si="74"/>
        <v>Office Supplies</v>
      </c>
      <c r="E1183" t="s">
        <v>50</v>
      </c>
      <c r="F1183" s="11">
        <v>12655</v>
      </c>
      <c r="G1183">
        <f t="shared" ca="1" si="75"/>
        <v>5</v>
      </c>
      <c r="H1183" s="11">
        <f ca="1">IF(Table1[[#This Row],[Category]]="Electronics",Table1[[#This Row],[Sales]]*0.6,
IF(Table1[[#This Row],[Category]]="Furniture",Table1[[#This Row],[Sales]]*0.75,
IF(Table1[[#This Row],[Category]]="Clothing",Table1[[#This Row],[Sales]]*0.65,
Table1[[#This Row],[Sales]]*0.7)))</f>
        <v>8858.5</v>
      </c>
      <c r="I1183" s="11">
        <f ca="1">Table1[[#This Row],[Sales]]-H1183</f>
        <v>3796.5</v>
      </c>
      <c r="J1183" s="2">
        <f ca="1">Table1[[#This Row],[Profit]]/Table1[[#This Row],[Sales]]</f>
        <v>0.3</v>
      </c>
      <c r="K1183" t="str">
        <f ca="1">TEXT(Table1[[#This Row],[Order_Date]],"mmm")</f>
        <v>Feb</v>
      </c>
      <c r="L1183">
        <f ca="1">YEAR(Table1[[#This Row],[Order_Date]])</f>
        <v>2023</v>
      </c>
    </row>
    <row r="1184" spans="1:12" x14ac:dyDescent="0.3">
      <c r="A1184">
        <f t="shared" si="72"/>
        <v>1183</v>
      </c>
      <c r="B1184" s="1">
        <f t="shared" ca="1" si="73"/>
        <v>45145</v>
      </c>
      <c r="C1184" t="s">
        <v>9</v>
      </c>
      <c r="D1184" t="str">
        <f t="shared" ca="1" si="74"/>
        <v>Office Supplies</v>
      </c>
      <c r="E1184" t="s">
        <v>40</v>
      </c>
      <c r="F1184" s="11">
        <v>17671</v>
      </c>
      <c r="G1184">
        <f t="shared" ca="1" si="75"/>
        <v>4</v>
      </c>
      <c r="H1184" s="11">
        <f ca="1">IF(Table1[[#This Row],[Category]]="Electronics",Table1[[#This Row],[Sales]]*0.6,
IF(Table1[[#This Row],[Category]]="Furniture",Table1[[#This Row],[Sales]]*0.75,
IF(Table1[[#This Row],[Category]]="Clothing",Table1[[#This Row],[Sales]]*0.65,
Table1[[#This Row],[Sales]]*0.7)))</f>
        <v>12369.699999999999</v>
      </c>
      <c r="I1184" s="11">
        <f ca="1">Table1[[#This Row],[Sales]]-H1184</f>
        <v>5301.3000000000011</v>
      </c>
      <c r="J1184" s="2">
        <f ca="1">Table1[[#This Row],[Profit]]/Table1[[#This Row],[Sales]]</f>
        <v>0.30000000000000004</v>
      </c>
      <c r="K1184" t="str">
        <f ca="1">TEXT(Table1[[#This Row],[Order_Date]],"mmm")</f>
        <v>Aug</v>
      </c>
      <c r="L1184">
        <f ca="1">YEAR(Table1[[#This Row],[Order_Date]])</f>
        <v>2023</v>
      </c>
    </row>
    <row r="1185" spans="1:12" x14ac:dyDescent="0.3">
      <c r="A1185">
        <f t="shared" si="72"/>
        <v>1184</v>
      </c>
      <c r="B1185" s="1">
        <f t="shared" ca="1" si="73"/>
        <v>44943</v>
      </c>
      <c r="C1185" t="s">
        <v>10</v>
      </c>
      <c r="D1185" t="str">
        <f t="shared" ca="1" si="74"/>
        <v>Furniture</v>
      </c>
      <c r="E1185" t="s">
        <v>48</v>
      </c>
      <c r="F1185" s="11">
        <v>19817</v>
      </c>
      <c r="G1185">
        <f t="shared" ca="1" si="75"/>
        <v>9</v>
      </c>
      <c r="H1185" s="11">
        <f ca="1">IF(Table1[[#This Row],[Category]]="Electronics",Table1[[#This Row],[Sales]]*0.6,
IF(Table1[[#This Row],[Category]]="Furniture",Table1[[#This Row],[Sales]]*0.75,
IF(Table1[[#This Row],[Category]]="Clothing",Table1[[#This Row],[Sales]]*0.65,
Table1[[#This Row],[Sales]]*0.7)))</f>
        <v>14862.75</v>
      </c>
      <c r="I1185" s="11">
        <f ca="1">Table1[[#This Row],[Sales]]-H1185</f>
        <v>4954.25</v>
      </c>
      <c r="J1185" s="2">
        <f ca="1">Table1[[#This Row],[Profit]]/Table1[[#This Row],[Sales]]</f>
        <v>0.25</v>
      </c>
      <c r="K1185" t="str">
        <f ca="1">TEXT(Table1[[#This Row],[Order_Date]],"mmm")</f>
        <v>Jan</v>
      </c>
      <c r="L1185">
        <f ca="1">YEAR(Table1[[#This Row],[Order_Date]])</f>
        <v>2023</v>
      </c>
    </row>
    <row r="1186" spans="1:12" x14ac:dyDescent="0.3">
      <c r="A1186">
        <f t="shared" si="72"/>
        <v>1185</v>
      </c>
      <c r="B1186" s="1">
        <f t="shared" ca="1" si="73"/>
        <v>45177</v>
      </c>
      <c r="C1186" t="s">
        <v>7</v>
      </c>
      <c r="D1186" t="str">
        <f t="shared" ca="1" si="74"/>
        <v>Furniture</v>
      </c>
      <c r="E1186" t="s">
        <v>74</v>
      </c>
      <c r="F1186" s="11">
        <v>11802</v>
      </c>
      <c r="G1186">
        <f t="shared" ca="1" si="75"/>
        <v>4</v>
      </c>
      <c r="H1186" s="11">
        <f ca="1">IF(Table1[[#This Row],[Category]]="Electronics",Table1[[#This Row],[Sales]]*0.6,
IF(Table1[[#This Row],[Category]]="Furniture",Table1[[#This Row],[Sales]]*0.75,
IF(Table1[[#This Row],[Category]]="Clothing",Table1[[#This Row],[Sales]]*0.65,
Table1[[#This Row],[Sales]]*0.7)))</f>
        <v>8851.5</v>
      </c>
      <c r="I1186" s="11">
        <f ca="1">Table1[[#This Row],[Sales]]-H1186</f>
        <v>2950.5</v>
      </c>
      <c r="J1186" s="2">
        <f ca="1">Table1[[#This Row],[Profit]]/Table1[[#This Row],[Sales]]</f>
        <v>0.25</v>
      </c>
      <c r="K1186" t="str">
        <f ca="1">TEXT(Table1[[#This Row],[Order_Date]],"mmm")</f>
        <v>Sep</v>
      </c>
      <c r="L1186">
        <f ca="1">YEAR(Table1[[#This Row],[Order_Date]])</f>
        <v>2023</v>
      </c>
    </row>
    <row r="1187" spans="1:12" x14ac:dyDescent="0.3">
      <c r="A1187">
        <f t="shared" si="72"/>
        <v>1186</v>
      </c>
      <c r="B1187" s="1">
        <f t="shared" ca="1" si="73"/>
        <v>45049</v>
      </c>
      <c r="C1187" t="s">
        <v>8</v>
      </c>
      <c r="D1187" t="str">
        <f t="shared" ca="1" si="74"/>
        <v>Furniture</v>
      </c>
      <c r="E1187" t="s">
        <v>46</v>
      </c>
      <c r="F1187" s="11">
        <v>2671</v>
      </c>
      <c r="G1187">
        <f t="shared" ca="1" si="75"/>
        <v>4</v>
      </c>
      <c r="H1187" s="11">
        <f ca="1">IF(Table1[[#This Row],[Category]]="Electronics",Table1[[#This Row],[Sales]]*0.6,
IF(Table1[[#This Row],[Category]]="Furniture",Table1[[#This Row],[Sales]]*0.75,
IF(Table1[[#This Row],[Category]]="Clothing",Table1[[#This Row],[Sales]]*0.65,
Table1[[#This Row],[Sales]]*0.7)))</f>
        <v>2003.25</v>
      </c>
      <c r="I1187" s="11">
        <f ca="1">Table1[[#This Row],[Sales]]-H1187</f>
        <v>667.75</v>
      </c>
      <c r="J1187" s="2">
        <f ca="1">Table1[[#This Row],[Profit]]/Table1[[#This Row],[Sales]]</f>
        <v>0.25</v>
      </c>
      <c r="K1187" t="str">
        <f ca="1">TEXT(Table1[[#This Row],[Order_Date]],"mmm")</f>
        <v>May</v>
      </c>
      <c r="L1187">
        <f ca="1">YEAR(Table1[[#This Row],[Order_Date]])</f>
        <v>2023</v>
      </c>
    </row>
    <row r="1188" spans="1:12" x14ac:dyDescent="0.3">
      <c r="A1188">
        <f t="shared" si="72"/>
        <v>1187</v>
      </c>
      <c r="B1188" s="1">
        <f t="shared" ca="1" si="73"/>
        <v>45161</v>
      </c>
      <c r="C1188" t="s">
        <v>9</v>
      </c>
      <c r="D1188" t="str">
        <f t="shared" ca="1" si="74"/>
        <v>Electronics</v>
      </c>
      <c r="E1188" t="s">
        <v>55</v>
      </c>
      <c r="F1188" s="11">
        <v>9345</v>
      </c>
      <c r="G1188">
        <f t="shared" ca="1" si="75"/>
        <v>2</v>
      </c>
      <c r="H1188" s="11">
        <f ca="1">IF(Table1[[#This Row],[Category]]="Electronics",Table1[[#This Row],[Sales]]*0.6,
IF(Table1[[#This Row],[Category]]="Furniture",Table1[[#This Row],[Sales]]*0.75,
IF(Table1[[#This Row],[Category]]="Clothing",Table1[[#This Row],[Sales]]*0.65,
Table1[[#This Row],[Sales]]*0.7)))</f>
        <v>5607</v>
      </c>
      <c r="I1188" s="11">
        <f ca="1">Table1[[#This Row],[Sales]]-H1188</f>
        <v>3738</v>
      </c>
      <c r="J1188" s="2">
        <f ca="1">Table1[[#This Row],[Profit]]/Table1[[#This Row],[Sales]]</f>
        <v>0.4</v>
      </c>
      <c r="K1188" t="str">
        <f ca="1">TEXT(Table1[[#This Row],[Order_Date]],"mmm")</f>
        <v>Aug</v>
      </c>
      <c r="L1188">
        <f ca="1">YEAR(Table1[[#This Row],[Order_Date]])</f>
        <v>2023</v>
      </c>
    </row>
    <row r="1189" spans="1:12" x14ac:dyDescent="0.3">
      <c r="A1189">
        <f t="shared" si="72"/>
        <v>1188</v>
      </c>
      <c r="B1189" s="1">
        <f t="shared" ca="1" si="73"/>
        <v>45134</v>
      </c>
      <c r="C1189" t="s">
        <v>10</v>
      </c>
      <c r="D1189" t="str">
        <f t="shared" ca="1" si="74"/>
        <v>Office Supplies</v>
      </c>
      <c r="E1189" t="s">
        <v>58</v>
      </c>
      <c r="F1189" s="11">
        <v>7299</v>
      </c>
      <c r="G1189">
        <f t="shared" ca="1" si="75"/>
        <v>8</v>
      </c>
      <c r="H1189" s="11">
        <f ca="1">IF(Table1[[#This Row],[Category]]="Electronics",Table1[[#This Row],[Sales]]*0.6,
IF(Table1[[#This Row],[Category]]="Furniture",Table1[[#This Row],[Sales]]*0.75,
IF(Table1[[#This Row],[Category]]="Clothing",Table1[[#This Row],[Sales]]*0.65,
Table1[[#This Row],[Sales]]*0.7)))</f>
        <v>5109.2999999999993</v>
      </c>
      <c r="I1189" s="11">
        <f ca="1">Table1[[#This Row],[Sales]]-H1189</f>
        <v>2189.7000000000007</v>
      </c>
      <c r="J1189" s="2">
        <f ca="1">Table1[[#This Row],[Profit]]/Table1[[#This Row],[Sales]]</f>
        <v>0.3000000000000001</v>
      </c>
      <c r="K1189" t="str">
        <f ca="1">TEXT(Table1[[#This Row],[Order_Date]],"mmm")</f>
        <v>Jul</v>
      </c>
      <c r="L1189">
        <f ca="1">YEAR(Table1[[#This Row],[Order_Date]])</f>
        <v>2023</v>
      </c>
    </row>
    <row r="1190" spans="1:12" x14ac:dyDescent="0.3">
      <c r="A1190">
        <f t="shared" si="72"/>
        <v>1189</v>
      </c>
      <c r="B1190" s="1">
        <f t="shared" ca="1" si="73"/>
        <v>45287</v>
      </c>
      <c r="C1190" t="s">
        <v>7</v>
      </c>
      <c r="D1190" t="str">
        <f t="shared" ca="1" si="74"/>
        <v>Electronics</v>
      </c>
      <c r="E1190" t="s">
        <v>83</v>
      </c>
      <c r="F1190" s="11">
        <v>6151</v>
      </c>
      <c r="G1190">
        <f t="shared" ca="1" si="75"/>
        <v>2</v>
      </c>
      <c r="H1190" s="11">
        <f ca="1">IF(Table1[[#This Row],[Category]]="Electronics",Table1[[#This Row],[Sales]]*0.6,
IF(Table1[[#This Row],[Category]]="Furniture",Table1[[#This Row],[Sales]]*0.75,
IF(Table1[[#This Row],[Category]]="Clothing",Table1[[#This Row],[Sales]]*0.65,
Table1[[#This Row],[Sales]]*0.7)))</f>
        <v>3690.6</v>
      </c>
      <c r="I1190" s="11">
        <f ca="1">Table1[[#This Row],[Sales]]-H1190</f>
        <v>2460.4</v>
      </c>
      <c r="J1190" s="2">
        <f ca="1">Table1[[#This Row],[Profit]]/Table1[[#This Row],[Sales]]</f>
        <v>0.4</v>
      </c>
      <c r="K1190" t="str">
        <f ca="1">TEXT(Table1[[#This Row],[Order_Date]],"mmm")</f>
        <v>Dec</v>
      </c>
      <c r="L1190">
        <f ca="1">YEAR(Table1[[#This Row],[Order_Date]])</f>
        <v>2023</v>
      </c>
    </row>
    <row r="1191" spans="1:12" x14ac:dyDescent="0.3">
      <c r="A1191">
        <f t="shared" si="72"/>
        <v>1190</v>
      </c>
      <c r="B1191" s="1">
        <f t="shared" ca="1" si="73"/>
        <v>45022</v>
      </c>
      <c r="C1191" t="s">
        <v>8</v>
      </c>
      <c r="D1191" t="str">
        <f t="shared" ca="1" si="74"/>
        <v>Electronics</v>
      </c>
      <c r="E1191" t="s">
        <v>74</v>
      </c>
      <c r="F1191" s="11">
        <v>18571</v>
      </c>
      <c r="G1191">
        <f t="shared" ca="1" si="75"/>
        <v>10</v>
      </c>
      <c r="H1191" s="11">
        <f ca="1">IF(Table1[[#This Row],[Category]]="Electronics",Table1[[#This Row],[Sales]]*0.6,
IF(Table1[[#This Row],[Category]]="Furniture",Table1[[#This Row],[Sales]]*0.75,
IF(Table1[[#This Row],[Category]]="Clothing",Table1[[#This Row],[Sales]]*0.65,
Table1[[#This Row],[Sales]]*0.7)))</f>
        <v>11142.6</v>
      </c>
      <c r="I1191" s="11">
        <f ca="1">Table1[[#This Row],[Sales]]-H1191</f>
        <v>7428.4</v>
      </c>
      <c r="J1191" s="2">
        <f ca="1">Table1[[#This Row],[Profit]]/Table1[[#This Row],[Sales]]</f>
        <v>0.39999999999999997</v>
      </c>
      <c r="K1191" t="str">
        <f ca="1">TEXT(Table1[[#This Row],[Order_Date]],"mmm")</f>
        <v>Apr</v>
      </c>
      <c r="L1191">
        <f ca="1">YEAR(Table1[[#This Row],[Order_Date]])</f>
        <v>2023</v>
      </c>
    </row>
    <row r="1192" spans="1:12" x14ac:dyDescent="0.3">
      <c r="A1192">
        <f t="shared" si="72"/>
        <v>1191</v>
      </c>
      <c r="B1192" s="1">
        <f t="shared" ca="1" si="73"/>
        <v>45124</v>
      </c>
      <c r="C1192" t="s">
        <v>9</v>
      </c>
      <c r="D1192" t="str">
        <f t="shared" ca="1" si="74"/>
        <v>Clothing</v>
      </c>
      <c r="E1192" t="s">
        <v>39</v>
      </c>
      <c r="F1192" s="11">
        <v>3752</v>
      </c>
      <c r="G1192">
        <f t="shared" ca="1" si="75"/>
        <v>5</v>
      </c>
      <c r="H1192" s="11">
        <f ca="1">IF(Table1[[#This Row],[Category]]="Electronics",Table1[[#This Row],[Sales]]*0.6,
IF(Table1[[#This Row],[Category]]="Furniture",Table1[[#This Row],[Sales]]*0.75,
IF(Table1[[#This Row],[Category]]="Clothing",Table1[[#This Row],[Sales]]*0.65,
Table1[[#This Row],[Sales]]*0.7)))</f>
        <v>2438.8000000000002</v>
      </c>
      <c r="I1192" s="11">
        <f ca="1">Table1[[#This Row],[Sales]]-H1192</f>
        <v>1313.1999999999998</v>
      </c>
      <c r="J1192" s="2">
        <f ca="1">Table1[[#This Row],[Profit]]/Table1[[#This Row],[Sales]]</f>
        <v>0.35</v>
      </c>
      <c r="K1192" t="str">
        <f ca="1">TEXT(Table1[[#This Row],[Order_Date]],"mmm")</f>
        <v>Jul</v>
      </c>
      <c r="L1192">
        <f ca="1">YEAR(Table1[[#This Row],[Order_Date]])</f>
        <v>2023</v>
      </c>
    </row>
    <row r="1193" spans="1:12" x14ac:dyDescent="0.3">
      <c r="A1193">
        <f t="shared" si="72"/>
        <v>1192</v>
      </c>
      <c r="B1193" s="1">
        <f t="shared" ca="1" si="73"/>
        <v>45159</v>
      </c>
      <c r="C1193" t="s">
        <v>10</v>
      </c>
      <c r="D1193" t="str">
        <f t="shared" ca="1" si="74"/>
        <v>Clothing</v>
      </c>
      <c r="E1193" t="s">
        <v>39</v>
      </c>
      <c r="F1193" s="11">
        <v>5537</v>
      </c>
      <c r="G1193">
        <f t="shared" ca="1" si="75"/>
        <v>3</v>
      </c>
      <c r="H1193" s="11">
        <f ca="1">IF(Table1[[#This Row],[Category]]="Electronics",Table1[[#This Row],[Sales]]*0.6,
IF(Table1[[#This Row],[Category]]="Furniture",Table1[[#This Row],[Sales]]*0.75,
IF(Table1[[#This Row],[Category]]="Clothing",Table1[[#This Row],[Sales]]*0.65,
Table1[[#This Row],[Sales]]*0.7)))</f>
        <v>3599.05</v>
      </c>
      <c r="I1193" s="11">
        <f ca="1">Table1[[#This Row],[Sales]]-H1193</f>
        <v>1937.9499999999998</v>
      </c>
      <c r="J1193" s="2">
        <f ca="1">Table1[[#This Row],[Profit]]/Table1[[#This Row],[Sales]]</f>
        <v>0.35</v>
      </c>
      <c r="K1193" t="str">
        <f ca="1">TEXT(Table1[[#This Row],[Order_Date]],"mmm")</f>
        <v>Aug</v>
      </c>
      <c r="L1193">
        <f ca="1">YEAR(Table1[[#This Row],[Order_Date]])</f>
        <v>2023</v>
      </c>
    </row>
    <row r="1194" spans="1:12" x14ac:dyDescent="0.3">
      <c r="A1194">
        <f t="shared" si="72"/>
        <v>1193</v>
      </c>
      <c r="B1194" s="1">
        <f t="shared" ca="1" si="73"/>
        <v>44945</v>
      </c>
      <c r="C1194" t="s">
        <v>7</v>
      </c>
      <c r="D1194" t="str">
        <f t="shared" ca="1" si="74"/>
        <v>Office Supplies</v>
      </c>
      <c r="E1194" t="s">
        <v>68</v>
      </c>
      <c r="F1194" s="11">
        <v>19402</v>
      </c>
      <c r="G1194">
        <f t="shared" ca="1" si="75"/>
        <v>9</v>
      </c>
      <c r="H1194" s="11">
        <f ca="1">IF(Table1[[#This Row],[Category]]="Electronics",Table1[[#This Row],[Sales]]*0.6,
IF(Table1[[#This Row],[Category]]="Furniture",Table1[[#This Row],[Sales]]*0.75,
IF(Table1[[#This Row],[Category]]="Clothing",Table1[[#This Row],[Sales]]*0.65,
Table1[[#This Row],[Sales]]*0.7)))</f>
        <v>13581.4</v>
      </c>
      <c r="I1194" s="11">
        <f ca="1">Table1[[#This Row],[Sales]]-H1194</f>
        <v>5820.6</v>
      </c>
      <c r="J1194" s="2">
        <f ca="1">Table1[[#This Row],[Profit]]/Table1[[#This Row],[Sales]]</f>
        <v>0.30000000000000004</v>
      </c>
      <c r="K1194" t="str">
        <f ca="1">TEXT(Table1[[#This Row],[Order_Date]],"mmm")</f>
        <v>Jan</v>
      </c>
      <c r="L1194">
        <f ca="1">YEAR(Table1[[#This Row],[Order_Date]])</f>
        <v>2023</v>
      </c>
    </row>
    <row r="1195" spans="1:12" x14ac:dyDescent="0.3">
      <c r="A1195">
        <f t="shared" si="72"/>
        <v>1194</v>
      </c>
      <c r="B1195" s="1">
        <f t="shared" ca="1" si="73"/>
        <v>45262</v>
      </c>
      <c r="C1195" t="s">
        <v>8</v>
      </c>
      <c r="D1195" t="str">
        <f t="shared" ca="1" si="74"/>
        <v>Clothing</v>
      </c>
      <c r="E1195" t="s">
        <v>36</v>
      </c>
      <c r="F1195" s="11">
        <v>9513</v>
      </c>
      <c r="G1195">
        <f t="shared" ca="1" si="75"/>
        <v>3</v>
      </c>
      <c r="H1195" s="11">
        <f ca="1">IF(Table1[[#This Row],[Category]]="Electronics",Table1[[#This Row],[Sales]]*0.6,
IF(Table1[[#This Row],[Category]]="Furniture",Table1[[#This Row],[Sales]]*0.75,
IF(Table1[[#This Row],[Category]]="Clothing",Table1[[#This Row],[Sales]]*0.65,
Table1[[#This Row],[Sales]]*0.7)))</f>
        <v>6183.45</v>
      </c>
      <c r="I1195" s="11">
        <f ca="1">Table1[[#This Row],[Sales]]-H1195</f>
        <v>3329.55</v>
      </c>
      <c r="J1195" s="2">
        <f ca="1">Table1[[#This Row],[Profit]]/Table1[[#This Row],[Sales]]</f>
        <v>0.35000000000000003</v>
      </c>
      <c r="K1195" t="str">
        <f ca="1">TEXT(Table1[[#This Row],[Order_Date]],"mmm")</f>
        <v>Dec</v>
      </c>
      <c r="L1195">
        <f ca="1">YEAR(Table1[[#This Row],[Order_Date]])</f>
        <v>2023</v>
      </c>
    </row>
    <row r="1196" spans="1:12" x14ac:dyDescent="0.3">
      <c r="A1196">
        <f t="shared" si="72"/>
        <v>1195</v>
      </c>
      <c r="B1196" s="1">
        <f t="shared" ca="1" si="73"/>
        <v>44969</v>
      </c>
      <c r="C1196" t="s">
        <v>9</v>
      </c>
      <c r="D1196" t="str">
        <f t="shared" ca="1" si="74"/>
        <v>Clothing</v>
      </c>
      <c r="E1196" t="s">
        <v>59</v>
      </c>
      <c r="F1196" s="11">
        <v>2103</v>
      </c>
      <c r="G1196">
        <f t="shared" ca="1" si="75"/>
        <v>8</v>
      </c>
      <c r="H1196" s="11">
        <f ca="1">IF(Table1[[#This Row],[Category]]="Electronics",Table1[[#This Row],[Sales]]*0.6,
IF(Table1[[#This Row],[Category]]="Furniture",Table1[[#This Row],[Sales]]*0.75,
IF(Table1[[#This Row],[Category]]="Clothing",Table1[[#This Row],[Sales]]*0.65,
Table1[[#This Row],[Sales]]*0.7)))</f>
        <v>1366.95</v>
      </c>
      <c r="I1196" s="11">
        <f ca="1">Table1[[#This Row],[Sales]]-H1196</f>
        <v>736.05</v>
      </c>
      <c r="J1196" s="2">
        <f ca="1">Table1[[#This Row],[Profit]]/Table1[[#This Row],[Sales]]</f>
        <v>0.35</v>
      </c>
      <c r="K1196" t="str">
        <f ca="1">TEXT(Table1[[#This Row],[Order_Date]],"mmm")</f>
        <v>Feb</v>
      </c>
      <c r="L1196">
        <f ca="1">YEAR(Table1[[#This Row],[Order_Date]])</f>
        <v>2023</v>
      </c>
    </row>
    <row r="1197" spans="1:12" x14ac:dyDescent="0.3">
      <c r="A1197">
        <f t="shared" si="72"/>
        <v>1196</v>
      </c>
      <c r="B1197" s="1">
        <f t="shared" ca="1" si="73"/>
        <v>45037</v>
      </c>
      <c r="C1197" t="s">
        <v>10</v>
      </c>
      <c r="D1197" t="str">
        <f t="shared" ca="1" si="74"/>
        <v>Office Supplies</v>
      </c>
      <c r="E1197" t="s">
        <v>51</v>
      </c>
      <c r="F1197" s="11">
        <v>12773</v>
      </c>
      <c r="G1197">
        <f t="shared" ca="1" si="75"/>
        <v>6</v>
      </c>
      <c r="H1197" s="11">
        <f ca="1">IF(Table1[[#This Row],[Category]]="Electronics",Table1[[#This Row],[Sales]]*0.6,
IF(Table1[[#This Row],[Category]]="Furniture",Table1[[#This Row],[Sales]]*0.75,
IF(Table1[[#This Row],[Category]]="Clothing",Table1[[#This Row],[Sales]]*0.65,
Table1[[#This Row],[Sales]]*0.7)))</f>
        <v>8941.0999999999985</v>
      </c>
      <c r="I1197" s="11">
        <f ca="1">Table1[[#This Row],[Sales]]-H1197</f>
        <v>3831.9000000000015</v>
      </c>
      <c r="J1197" s="2">
        <f ca="1">Table1[[#This Row],[Profit]]/Table1[[#This Row],[Sales]]</f>
        <v>0.3000000000000001</v>
      </c>
      <c r="K1197" t="str">
        <f ca="1">TEXT(Table1[[#This Row],[Order_Date]],"mmm")</f>
        <v>Apr</v>
      </c>
      <c r="L1197">
        <f ca="1">YEAR(Table1[[#This Row],[Order_Date]])</f>
        <v>2023</v>
      </c>
    </row>
    <row r="1198" spans="1:12" x14ac:dyDescent="0.3">
      <c r="A1198">
        <f t="shared" si="72"/>
        <v>1197</v>
      </c>
      <c r="B1198" s="1">
        <f t="shared" ca="1" si="73"/>
        <v>45178</v>
      </c>
      <c r="C1198" t="s">
        <v>7</v>
      </c>
      <c r="D1198" t="str">
        <f t="shared" ca="1" si="74"/>
        <v>Office Supplies</v>
      </c>
      <c r="E1198" t="s">
        <v>47</v>
      </c>
      <c r="F1198" s="11">
        <v>12481</v>
      </c>
      <c r="G1198">
        <f t="shared" ca="1" si="75"/>
        <v>4</v>
      </c>
      <c r="H1198" s="11">
        <f ca="1">IF(Table1[[#This Row],[Category]]="Electronics",Table1[[#This Row],[Sales]]*0.6,
IF(Table1[[#This Row],[Category]]="Furniture",Table1[[#This Row],[Sales]]*0.75,
IF(Table1[[#This Row],[Category]]="Clothing",Table1[[#This Row],[Sales]]*0.65,
Table1[[#This Row],[Sales]]*0.7)))</f>
        <v>8736.6999999999989</v>
      </c>
      <c r="I1198" s="11">
        <f ca="1">Table1[[#This Row],[Sales]]-H1198</f>
        <v>3744.3000000000011</v>
      </c>
      <c r="J1198" s="2">
        <f ca="1">Table1[[#This Row],[Profit]]/Table1[[#This Row],[Sales]]</f>
        <v>0.3000000000000001</v>
      </c>
      <c r="K1198" t="str">
        <f ca="1">TEXT(Table1[[#This Row],[Order_Date]],"mmm")</f>
        <v>Sep</v>
      </c>
      <c r="L1198">
        <f ca="1">YEAR(Table1[[#This Row],[Order_Date]])</f>
        <v>2023</v>
      </c>
    </row>
    <row r="1199" spans="1:12" x14ac:dyDescent="0.3">
      <c r="A1199">
        <f t="shared" si="72"/>
        <v>1198</v>
      </c>
      <c r="B1199" s="1">
        <f t="shared" ca="1" si="73"/>
        <v>45061</v>
      </c>
      <c r="C1199" t="s">
        <v>8</v>
      </c>
      <c r="D1199" t="str">
        <f t="shared" ca="1" si="74"/>
        <v>Office Supplies</v>
      </c>
      <c r="E1199" t="s">
        <v>50</v>
      </c>
      <c r="F1199" s="11">
        <v>3710</v>
      </c>
      <c r="G1199">
        <f t="shared" ca="1" si="75"/>
        <v>6</v>
      </c>
      <c r="H1199" s="11">
        <f ca="1">IF(Table1[[#This Row],[Category]]="Electronics",Table1[[#This Row],[Sales]]*0.6,
IF(Table1[[#This Row],[Category]]="Furniture",Table1[[#This Row],[Sales]]*0.75,
IF(Table1[[#This Row],[Category]]="Clothing",Table1[[#This Row],[Sales]]*0.65,
Table1[[#This Row],[Sales]]*0.7)))</f>
        <v>2597</v>
      </c>
      <c r="I1199" s="11">
        <f ca="1">Table1[[#This Row],[Sales]]-H1199</f>
        <v>1113</v>
      </c>
      <c r="J1199" s="2">
        <f ca="1">Table1[[#This Row],[Profit]]/Table1[[#This Row],[Sales]]</f>
        <v>0.3</v>
      </c>
      <c r="K1199" t="str">
        <f ca="1">TEXT(Table1[[#This Row],[Order_Date]],"mmm")</f>
        <v>May</v>
      </c>
      <c r="L1199">
        <f ca="1">YEAR(Table1[[#This Row],[Order_Date]])</f>
        <v>2023</v>
      </c>
    </row>
    <row r="1200" spans="1:12" x14ac:dyDescent="0.3">
      <c r="A1200">
        <f t="shared" si="72"/>
        <v>1199</v>
      </c>
      <c r="B1200" s="1">
        <f t="shared" ca="1" si="73"/>
        <v>45247</v>
      </c>
      <c r="C1200" t="s">
        <v>9</v>
      </c>
      <c r="D1200" t="str">
        <f t="shared" ca="1" si="74"/>
        <v>Office Supplies</v>
      </c>
      <c r="E1200" t="s">
        <v>75</v>
      </c>
      <c r="F1200" s="11">
        <v>1862</v>
      </c>
      <c r="G1200">
        <f t="shared" ca="1" si="75"/>
        <v>2</v>
      </c>
      <c r="H1200" s="11">
        <f ca="1">IF(Table1[[#This Row],[Category]]="Electronics",Table1[[#This Row],[Sales]]*0.6,
IF(Table1[[#This Row],[Category]]="Furniture",Table1[[#This Row],[Sales]]*0.75,
IF(Table1[[#This Row],[Category]]="Clothing",Table1[[#This Row],[Sales]]*0.65,
Table1[[#This Row],[Sales]]*0.7)))</f>
        <v>1303.3999999999999</v>
      </c>
      <c r="I1200" s="11">
        <f ca="1">Table1[[#This Row],[Sales]]-H1200</f>
        <v>558.60000000000014</v>
      </c>
      <c r="J1200" s="2">
        <f ca="1">Table1[[#This Row],[Profit]]/Table1[[#This Row],[Sales]]</f>
        <v>0.3000000000000001</v>
      </c>
      <c r="K1200" t="str">
        <f ca="1">TEXT(Table1[[#This Row],[Order_Date]],"mmm")</f>
        <v>Nov</v>
      </c>
      <c r="L1200">
        <f ca="1">YEAR(Table1[[#This Row],[Order_Date]])</f>
        <v>2023</v>
      </c>
    </row>
    <row r="1201" spans="1:12" x14ac:dyDescent="0.3">
      <c r="A1201">
        <f t="shared" si="72"/>
        <v>1200</v>
      </c>
      <c r="B1201" s="1">
        <f t="shared" ca="1" si="73"/>
        <v>45166</v>
      </c>
      <c r="C1201" t="s">
        <v>10</v>
      </c>
      <c r="D1201" t="str">
        <f t="shared" ca="1" si="74"/>
        <v>Electronics</v>
      </c>
      <c r="E1201" t="s">
        <v>65</v>
      </c>
      <c r="F1201" s="11">
        <v>9598</v>
      </c>
      <c r="G1201">
        <f t="shared" ca="1" si="75"/>
        <v>1</v>
      </c>
      <c r="H1201" s="11">
        <f ca="1">IF(Table1[[#This Row],[Category]]="Electronics",Table1[[#This Row],[Sales]]*0.6,
IF(Table1[[#This Row],[Category]]="Furniture",Table1[[#This Row],[Sales]]*0.75,
IF(Table1[[#This Row],[Category]]="Clothing",Table1[[#This Row],[Sales]]*0.65,
Table1[[#This Row],[Sales]]*0.7)))</f>
        <v>5758.8</v>
      </c>
      <c r="I1201" s="11">
        <f ca="1">Table1[[#This Row],[Sales]]-H1201</f>
        <v>3839.2</v>
      </c>
      <c r="J1201" s="2">
        <f ca="1">Table1[[#This Row],[Profit]]/Table1[[#This Row],[Sales]]</f>
        <v>0.39999999999999997</v>
      </c>
      <c r="K1201" t="str">
        <f ca="1">TEXT(Table1[[#This Row],[Order_Date]],"mmm")</f>
        <v>Aug</v>
      </c>
      <c r="L1201">
        <f ca="1">YEAR(Table1[[#This Row],[Order_Date]])</f>
        <v>2023</v>
      </c>
    </row>
    <row r="1202" spans="1:12" x14ac:dyDescent="0.3">
      <c r="A1202">
        <f t="shared" si="72"/>
        <v>1201</v>
      </c>
      <c r="B1202" s="1">
        <f t="shared" ca="1" si="73"/>
        <v>45037</v>
      </c>
      <c r="C1202" t="s">
        <v>7</v>
      </c>
      <c r="D1202" t="str">
        <f t="shared" ca="1" si="74"/>
        <v>Clothing</v>
      </c>
      <c r="E1202" t="s">
        <v>60</v>
      </c>
      <c r="F1202" s="11">
        <v>3773</v>
      </c>
      <c r="G1202">
        <f t="shared" ca="1" si="75"/>
        <v>4</v>
      </c>
      <c r="H1202" s="11">
        <f ca="1">IF(Table1[[#This Row],[Category]]="Electronics",Table1[[#This Row],[Sales]]*0.6,
IF(Table1[[#This Row],[Category]]="Furniture",Table1[[#This Row],[Sales]]*0.75,
IF(Table1[[#This Row],[Category]]="Clothing",Table1[[#This Row],[Sales]]*0.65,
Table1[[#This Row],[Sales]]*0.7)))</f>
        <v>2452.4500000000003</v>
      </c>
      <c r="I1202" s="11">
        <f ca="1">Table1[[#This Row],[Sales]]-H1202</f>
        <v>1320.5499999999997</v>
      </c>
      <c r="J1202" s="2">
        <f ca="1">Table1[[#This Row],[Profit]]/Table1[[#This Row],[Sales]]</f>
        <v>0.34999999999999992</v>
      </c>
      <c r="K1202" t="str">
        <f ca="1">TEXT(Table1[[#This Row],[Order_Date]],"mmm")</f>
        <v>Apr</v>
      </c>
      <c r="L1202">
        <f ca="1">YEAR(Table1[[#This Row],[Order_Date]])</f>
        <v>2023</v>
      </c>
    </row>
    <row r="1203" spans="1:12" x14ac:dyDescent="0.3">
      <c r="A1203">
        <f t="shared" si="72"/>
        <v>1202</v>
      </c>
      <c r="B1203" s="1">
        <f t="shared" ca="1" si="73"/>
        <v>45271</v>
      </c>
      <c r="C1203" t="s">
        <v>8</v>
      </c>
      <c r="D1203" t="str">
        <f t="shared" ca="1" si="74"/>
        <v>Electronics</v>
      </c>
      <c r="E1203" t="s">
        <v>82</v>
      </c>
      <c r="F1203" s="11">
        <v>5513</v>
      </c>
      <c r="G1203">
        <f t="shared" ca="1" si="75"/>
        <v>5</v>
      </c>
      <c r="H1203" s="11">
        <f ca="1">IF(Table1[[#This Row],[Category]]="Electronics",Table1[[#This Row],[Sales]]*0.6,
IF(Table1[[#This Row],[Category]]="Furniture",Table1[[#This Row],[Sales]]*0.75,
IF(Table1[[#This Row],[Category]]="Clothing",Table1[[#This Row],[Sales]]*0.65,
Table1[[#This Row],[Sales]]*0.7)))</f>
        <v>3307.7999999999997</v>
      </c>
      <c r="I1203" s="11">
        <f ca="1">Table1[[#This Row],[Sales]]-H1203</f>
        <v>2205.2000000000003</v>
      </c>
      <c r="J1203" s="2">
        <f ca="1">Table1[[#This Row],[Profit]]/Table1[[#This Row],[Sales]]</f>
        <v>0.4</v>
      </c>
      <c r="K1203" t="str">
        <f ca="1">TEXT(Table1[[#This Row],[Order_Date]],"mmm")</f>
        <v>Dec</v>
      </c>
      <c r="L1203">
        <f ca="1">YEAR(Table1[[#This Row],[Order_Date]])</f>
        <v>2023</v>
      </c>
    </row>
    <row r="1204" spans="1:12" x14ac:dyDescent="0.3">
      <c r="A1204">
        <f t="shared" si="72"/>
        <v>1203</v>
      </c>
      <c r="B1204" s="1">
        <f t="shared" ca="1" si="73"/>
        <v>44974</v>
      </c>
      <c r="C1204" t="s">
        <v>9</v>
      </c>
      <c r="D1204" t="str">
        <f t="shared" ca="1" si="74"/>
        <v>Office Supplies</v>
      </c>
      <c r="E1204" t="s">
        <v>67</v>
      </c>
      <c r="F1204" s="11">
        <v>14876</v>
      </c>
      <c r="G1204">
        <f t="shared" ca="1" si="75"/>
        <v>2</v>
      </c>
      <c r="H1204" s="11">
        <f ca="1">IF(Table1[[#This Row],[Category]]="Electronics",Table1[[#This Row],[Sales]]*0.6,
IF(Table1[[#This Row],[Category]]="Furniture",Table1[[#This Row],[Sales]]*0.75,
IF(Table1[[#This Row],[Category]]="Clothing",Table1[[#This Row],[Sales]]*0.65,
Table1[[#This Row],[Sales]]*0.7)))</f>
        <v>10413.199999999999</v>
      </c>
      <c r="I1204" s="11">
        <f ca="1">Table1[[#This Row],[Sales]]-H1204</f>
        <v>4462.8000000000011</v>
      </c>
      <c r="J1204" s="2">
        <f ca="1">Table1[[#This Row],[Profit]]/Table1[[#This Row],[Sales]]</f>
        <v>0.3000000000000001</v>
      </c>
      <c r="K1204" t="str">
        <f ca="1">TEXT(Table1[[#This Row],[Order_Date]],"mmm")</f>
        <v>Feb</v>
      </c>
      <c r="L1204">
        <f ca="1">YEAR(Table1[[#This Row],[Order_Date]])</f>
        <v>2023</v>
      </c>
    </row>
    <row r="1205" spans="1:12" x14ac:dyDescent="0.3">
      <c r="A1205">
        <f t="shared" si="72"/>
        <v>1204</v>
      </c>
      <c r="B1205" s="1">
        <f t="shared" ca="1" si="73"/>
        <v>45185</v>
      </c>
      <c r="C1205" t="s">
        <v>10</v>
      </c>
      <c r="D1205" t="str">
        <f t="shared" ca="1" si="74"/>
        <v>Clothing</v>
      </c>
      <c r="E1205" t="s">
        <v>64</v>
      </c>
      <c r="F1205" s="11">
        <v>14295</v>
      </c>
      <c r="G1205">
        <f t="shared" ca="1" si="75"/>
        <v>1</v>
      </c>
      <c r="H1205" s="11">
        <f ca="1">IF(Table1[[#This Row],[Category]]="Electronics",Table1[[#This Row],[Sales]]*0.6,
IF(Table1[[#This Row],[Category]]="Furniture",Table1[[#This Row],[Sales]]*0.75,
IF(Table1[[#This Row],[Category]]="Clothing",Table1[[#This Row],[Sales]]*0.65,
Table1[[#This Row],[Sales]]*0.7)))</f>
        <v>9291.75</v>
      </c>
      <c r="I1205" s="11">
        <f ca="1">Table1[[#This Row],[Sales]]-H1205</f>
        <v>5003.25</v>
      </c>
      <c r="J1205" s="2">
        <f ca="1">Table1[[#This Row],[Profit]]/Table1[[#This Row],[Sales]]</f>
        <v>0.35</v>
      </c>
      <c r="K1205" t="str">
        <f ca="1">TEXT(Table1[[#This Row],[Order_Date]],"mmm")</f>
        <v>Sep</v>
      </c>
      <c r="L1205">
        <f ca="1">YEAR(Table1[[#This Row],[Order_Date]])</f>
        <v>2023</v>
      </c>
    </row>
    <row r="1206" spans="1:12" x14ac:dyDescent="0.3">
      <c r="A1206">
        <f t="shared" si="72"/>
        <v>1205</v>
      </c>
      <c r="B1206" s="1">
        <f t="shared" ca="1" si="73"/>
        <v>45278</v>
      </c>
      <c r="C1206" t="s">
        <v>7</v>
      </c>
      <c r="D1206" t="str">
        <f t="shared" ca="1" si="74"/>
        <v>Clothing</v>
      </c>
      <c r="E1206" t="s">
        <v>69</v>
      </c>
      <c r="F1206" s="11">
        <v>14331</v>
      </c>
      <c r="G1206">
        <f t="shared" ca="1" si="75"/>
        <v>8</v>
      </c>
      <c r="H1206" s="11">
        <f ca="1">IF(Table1[[#This Row],[Category]]="Electronics",Table1[[#This Row],[Sales]]*0.6,
IF(Table1[[#This Row],[Category]]="Furniture",Table1[[#This Row],[Sales]]*0.75,
IF(Table1[[#This Row],[Category]]="Clothing",Table1[[#This Row],[Sales]]*0.65,
Table1[[#This Row],[Sales]]*0.7)))</f>
        <v>9315.15</v>
      </c>
      <c r="I1206" s="11">
        <f ca="1">Table1[[#This Row],[Sales]]-H1206</f>
        <v>5015.8500000000004</v>
      </c>
      <c r="J1206" s="2">
        <f ca="1">Table1[[#This Row],[Profit]]/Table1[[#This Row],[Sales]]</f>
        <v>0.35000000000000003</v>
      </c>
      <c r="K1206" t="str">
        <f ca="1">TEXT(Table1[[#This Row],[Order_Date]],"mmm")</f>
        <v>Dec</v>
      </c>
      <c r="L1206">
        <f ca="1">YEAR(Table1[[#This Row],[Order_Date]])</f>
        <v>2023</v>
      </c>
    </row>
    <row r="1207" spans="1:12" x14ac:dyDescent="0.3">
      <c r="A1207">
        <f t="shared" si="72"/>
        <v>1206</v>
      </c>
      <c r="B1207" s="1">
        <f t="shared" ca="1" si="73"/>
        <v>45207</v>
      </c>
      <c r="C1207" t="s">
        <v>8</v>
      </c>
      <c r="D1207" t="str">
        <f t="shared" ca="1" si="74"/>
        <v>Office Supplies</v>
      </c>
      <c r="E1207" t="s">
        <v>50</v>
      </c>
      <c r="F1207" s="11">
        <v>4812</v>
      </c>
      <c r="G1207">
        <f t="shared" ca="1" si="75"/>
        <v>5</v>
      </c>
      <c r="H1207" s="11">
        <f ca="1">IF(Table1[[#This Row],[Category]]="Electronics",Table1[[#This Row],[Sales]]*0.6,
IF(Table1[[#This Row],[Category]]="Furniture",Table1[[#This Row],[Sales]]*0.75,
IF(Table1[[#This Row],[Category]]="Clothing",Table1[[#This Row],[Sales]]*0.65,
Table1[[#This Row],[Sales]]*0.7)))</f>
        <v>3368.3999999999996</v>
      </c>
      <c r="I1207" s="11">
        <f ca="1">Table1[[#This Row],[Sales]]-H1207</f>
        <v>1443.6000000000004</v>
      </c>
      <c r="J1207" s="2">
        <f ca="1">Table1[[#This Row],[Profit]]/Table1[[#This Row],[Sales]]</f>
        <v>0.3000000000000001</v>
      </c>
      <c r="K1207" t="str">
        <f ca="1">TEXT(Table1[[#This Row],[Order_Date]],"mmm")</f>
        <v>Oct</v>
      </c>
      <c r="L1207">
        <f ca="1">YEAR(Table1[[#This Row],[Order_Date]])</f>
        <v>2023</v>
      </c>
    </row>
    <row r="1208" spans="1:12" x14ac:dyDescent="0.3">
      <c r="A1208">
        <f t="shared" si="72"/>
        <v>1207</v>
      </c>
      <c r="B1208" s="1">
        <f t="shared" ca="1" si="73"/>
        <v>45135</v>
      </c>
      <c r="C1208" t="s">
        <v>9</v>
      </c>
      <c r="D1208" t="str">
        <f t="shared" ca="1" si="74"/>
        <v>Electronics</v>
      </c>
      <c r="E1208" t="s">
        <v>69</v>
      </c>
      <c r="F1208" s="11">
        <v>19434</v>
      </c>
      <c r="G1208">
        <f t="shared" ca="1" si="75"/>
        <v>5</v>
      </c>
      <c r="H1208" s="11">
        <f ca="1">IF(Table1[[#This Row],[Category]]="Electronics",Table1[[#This Row],[Sales]]*0.6,
IF(Table1[[#This Row],[Category]]="Furniture",Table1[[#This Row],[Sales]]*0.75,
IF(Table1[[#This Row],[Category]]="Clothing",Table1[[#This Row],[Sales]]*0.65,
Table1[[#This Row],[Sales]]*0.7)))</f>
        <v>11660.4</v>
      </c>
      <c r="I1208" s="11">
        <f ca="1">Table1[[#This Row],[Sales]]-H1208</f>
        <v>7773.6</v>
      </c>
      <c r="J1208" s="2">
        <f ca="1">Table1[[#This Row],[Profit]]/Table1[[#This Row],[Sales]]</f>
        <v>0.4</v>
      </c>
      <c r="K1208" t="str">
        <f ca="1">TEXT(Table1[[#This Row],[Order_Date]],"mmm")</f>
        <v>Jul</v>
      </c>
      <c r="L1208">
        <f ca="1">YEAR(Table1[[#This Row],[Order_Date]])</f>
        <v>2023</v>
      </c>
    </row>
    <row r="1209" spans="1:12" x14ac:dyDescent="0.3">
      <c r="A1209">
        <f t="shared" si="72"/>
        <v>1208</v>
      </c>
      <c r="B1209" s="1">
        <f t="shared" ca="1" si="73"/>
        <v>45133</v>
      </c>
      <c r="C1209" t="s">
        <v>10</v>
      </c>
      <c r="D1209" t="str">
        <f t="shared" ca="1" si="74"/>
        <v>Furniture</v>
      </c>
      <c r="E1209" t="s">
        <v>62</v>
      </c>
      <c r="F1209" s="11">
        <v>19523</v>
      </c>
      <c r="G1209">
        <f t="shared" ca="1" si="75"/>
        <v>9</v>
      </c>
      <c r="H1209" s="11">
        <f ca="1">IF(Table1[[#This Row],[Category]]="Electronics",Table1[[#This Row],[Sales]]*0.6,
IF(Table1[[#This Row],[Category]]="Furniture",Table1[[#This Row],[Sales]]*0.75,
IF(Table1[[#This Row],[Category]]="Clothing",Table1[[#This Row],[Sales]]*0.65,
Table1[[#This Row],[Sales]]*0.7)))</f>
        <v>14642.25</v>
      </c>
      <c r="I1209" s="11">
        <f ca="1">Table1[[#This Row],[Sales]]-H1209</f>
        <v>4880.75</v>
      </c>
      <c r="J1209" s="2">
        <f ca="1">Table1[[#This Row],[Profit]]/Table1[[#This Row],[Sales]]</f>
        <v>0.25</v>
      </c>
      <c r="K1209" t="str">
        <f ca="1">TEXT(Table1[[#This Row],[Order_Date]],"mmm")</f>
        <v>Jul</v>
      </c>
      <c r="L1209">
        <f ca="1">YEAR(Table1[[#This Row],[Order_Date]])</f>
        <v>2023</v>
      </c>
    </row>
    <row r="1210" spans="1:12" x14ac:dyDescent="0.3">
      <c r="A1210">
        <f t="shared" si="72"/>
        <v>1209</v>
      </c>
      <c r="B1210" s="1">
        <f t="shared" ca="1" si="73"/>
        <v>44940</v>
      </c>
      <c r="C1210" t="s">
        <v>7</v>
      </c>
      <c r="D1210" t="str">
        <f t="shared" ca="1" si="74"/>
        <v>Electronics</v>
      </c>
      <c r="E1210" t="s">
        <v>76</v>
      </c>
      <c r="F1210" s="11">
        <v>18510</v>
      </c>
      <c r="G1210">
        <f t="shared" ca="1" si="75"/>
        <v>7</v>
      </c>
      <c r="H1210" s="11">
        <f ca="1">IF(Table1[[#This Row],[Category]]="Electronics",Table1[[#This Row],[Sales]]*0.6,
IF(Table1[[#This Row],[Category]]="Furniture",Table1[[#This Row],[Sales]]*0.75,
IF(Table1[[#This Row],[Category]]="Clothing",Table1[[#This Row],[Sales]]*0.65,
Table1[[#This Row],[Sales]]*0.7)))</f>
        <v>11106</v>
      </c>
      <c r="I1210" s="11">
        <f ca="1">Table1[[#This Row],[Sales]]-H1210</f>
        <v>7404</v>
      </c>
      <c r="J1210" s="2">
        <f ca="1">Table1[[#This Row],[Profit]]/Table1[[#This Row],[Sales]]</f>
        <v>0.4</v>
      </c>
      <c r="K1210" t="str">
        <f ca="1">TEXT(Table1[[#This Row],[Order_Date]],"mmm")</f>
        <v>Jan</v>
      </c>
      <c r="L1210">
        <f ca="1">YEAR(Table1[[#This Row],[Order_Date]])</f>
        <v>2023</v>
      </c>
    </row>
    <row r="1211" spans="1:12" x14ac:dyDescent="0.3">
      <c r="A1211">
        <f t="shared" si="72"/>
        <v>1210</v>
      </c>
      <c r="B1211" s="1">
        <f t="shared" ca="1" si="73"/>
        <v>45249</v>
      </c>
      <c r="C1211" t="s">
        <v>8</v>
      </c>
      <c r="D1211" t="str">
        <f t="shared" ca="1" si="74"/>
        <v>Clothing</v>
      </c>
      <c r="E1211" t="s">
        <v>80</v>
      </c>
      <c r="F1211" s="11">
        <v>17687</v>
      </c>
      <c r="G1211">
        <f t="shared" ca="1" si="75"/>
        <v>7</v>
      </c>
      <c r="H1211" s="11">
        <f ca="1">IF(Table1[[#This Row],[Category]]="Electronics",Table1[[#This Row],[Sales]]*0.6,
IF(Table1[[#This Row],[Category]]="Furniture",Table1[[#This Row],[Sales]]*0.75,
IF(Table1[[#This Row],[Category]]="Clothing",Table1[[#This Row],[Sales]]*0.65,
Table1[[#This Row],[Sales]]*0.7)))</f>
        <v>11496.550000000001</v>
      </c>
      <c r="I1211" s="11">
        <f ca="1">Table1[[#This Row],[Sales]]-H1211</f>
        <v>6190.4499999999989</v>
      </c>
      <c r="J1211" s="2">
        <f ca="1">Table1[[#This Row],[Profit]]/Table1[[#This Row],[Sales]]</f>
        <v>0.34999999999999992</v>
      </c>
      <c r="K1211" t="str">
        <f ca="1">TEXT(Table1[[#This Row],[Order_Date]],"mmm")</f>
        <v>Nov</v>
      </c>
      <c r="L1211">
        <f ca="1">YEAR(Table1[[#This Row],[Order_Date]])</f>
        <v>2023</v>
      </c>
    </row>
    <row r="1212" spans="1:12" x14ac:dyDescent="0.3">
      <c r="A1212">
        <f t="shared" si="72"/>
        <v>1211</v>
      </c>
      <c r="B1212" s="1">
        <f t="shared" ca="1" si="73"/>
        <v>45093</v>
      </c>
      <c r="C1212" t="s">
        <v>9</v>
      </c>
      <c r="D1212" t="str">
        <f t="shared" ca="1" si="74"/>
        <v>Electronics</v>
      </c>
      <c r="E1212" t="s">
        <v>84</v>
      </c>
      <c r="F1212" s="11">
        <v>18801</v>
      </c>
      <c r="G1212">
        <f t="shared" ca="1" si="75"/>
        <v>6</v>
      </c>
      <c r="H1212" s="11">
        <f ca="1">IF(Table1[[#This Row],[Category]]="Electronics",Table1[[#This Row],[Sales]]*0.6,
IF(Table1[[#This Row],[Category]]="Furniture",Table1[[#This Row],[Sales]]*0.75,
IF(Table1[[#This Row],[Category]]="Clothing",Table1[[#This Row],[Sales]]*0.65,
Table1[[#This Row],[Sales]]*0.7)))</f>
        <v>11280.6</v>
      </c>
      <c r="I1212" s="11">
        <f ca="1">Table1[[#This Row],[Sales]]-H1212</f>
        <v>7520.4</v>
      </c>
      <c r="J1212" s="2">
        <f ca="1">Table1[[#This Row],[Profit]]/Table1[[#This Row],[Sales]]</f>
        <v>0.39999999999999997</v>
      </c>
      <c r="K1212" t="str">
        <f ca="1">TEXT(Table1[[#This Row],[Order_Date]],"mmm")</f>
        <v>Jun</v>
      </c>
      <c r="L1212">
        <f ca="1">YEAR(Table1[[#This Row],[Order_Date]])</f>
        <v>2023</v>
      </c>
    </row>
    <row r="1213" spans="1:12" x14ac:dyDescent="0.3">
      <c r="A1213">
        <f t="shared" si="72"/>
        <v>1212</v>
      </c>
      <c r="B1213" s="1">
        <f t="shared" ca="1" si="73"/>
        <v>45246</v>
      </c>
      <c r="C1213" t="s">
        <v>10</v>
      </c>
      <c r="D1213" t="str">
        <f t="shared" ca="1" si="74"/>
        <v>Furniture</v>
      </c>
      <c r="E1213" t="s">
        <v>56</v>
      </c>
      <c r="F1213" s="11">
        <v>14196</v>
      </c>
      <c r="G1213">
        <f t="shared" ca="1" si="75"/>
        <v>1</v>
      </c>
      <c r="H1213" s="11">
        <f ca="1">IF(Table1[[#This Row],[Category]]="Electronics",Table1[[#This Row],[Sales]]*0.6,
IF(Table1[[#This Row],[Category]]="Furniture",Table1[[#This Row],[Sales]]*0.75,
IF(Table1[[#This Row],[Category]]="Clothing",Table1[[#This Row],[Sales]]*0.65,
Table1[[#This Row],[Sales]]*0.7)))</f>
        <v>10647</v>
      </c>
      <c r="I1213" s="11">
        <f ca="1">Table1[[#This Row],[Sales]]-H1213</f>
        <v>3549</v>
      </c>
      <c r="J1213" s="2">
        <f ca="1">Table1[[#This Row],[Profit]]/Table1[[#This Row],[Sales]]</f>
        <v>0.25</v>
      </c>
      <c r="K1213" t="str">
        <f ca="1">TEXT(Table1[[#This Row],[Order_Date]],"mmm")</f>
        <v>Nov</v>
      </c>
      <c r="L1213">
        <f ca="1">YEAR(Table1[[#This Row],[Order_Date]])</f>
        <v>2023</v>
      </c>
    </row>
    <row r="1214" spans="1:12" x14ac:dyDescent="0.3">
      <c r="A1214">
        <f t="shared" si="72"/>
        <v>1213</v>
      </c>
      <c r="B1214" s="1">
        <f t="shared" ca="1" si="73"/>
        <v>45066</v>
      </c>
      <c r="C1214" t="s">
        <v>7</v>
      </c>
      <c r="D1214" t="str">
        <f t="shared" ca="1" si="74"/>
        <v>Office Supplies</v>
      </c>
      <c r="E1214" t="s">
        <v>75</v>
      </c>
      <c r="F1214" s="11">
        <v>14289</v>
      </c>
      <c r="G1214">
        <f t="shared" ca="1" si="75"/>
        <v>1</v>
      </c>
      <c r="H1214" s="11">
        <f ca="1">IF(Table1[[#This Row],[Category]]="Electronics",Table1[[#This Row],[Sales]]*0.6,
IF(Table1[[#This Row],[Category]]="Furniture",Table1[[#This Row],[Sales]]*0.75,
IF(Table1[[#This Row],[Category]]="Clothing",Table1[[#This Row],[Sales]]*0.65,
Table1[[#This Row],[Sales]]*0.7)))</f>
        <v>10002.299999999999</v>
      </c>
      <c r="I1214" s="11">
        <f ca="1">Table1[[#This Row],[Sales]]-H1214</f>
        <v>4286.7000000000007</v>
      </c>
      <c r="J1214" s="2">
        <f ca="1">Table1[[#This Row],[Profit]]/Table1[[#This Row],[Sales]]</f>
        <v>0.30000000000000004</v>
      </c>
      <c r="K1214" t="str">
        <f ca="1">TEXT(Table1[[#This Row],[Order_Date]],"mmm")</f>
        <v>May</v>
      </c>
      <c r="L1214">
        <f ca="1">YEAR(Table1[[#This Row],[Order_Date]])</f>
        <v>2023</v>
      </c>
    </row>
    <row r="1215" spans="1:12" x14ac:dyDescent="0.3">
      <c r="A1215">
        <f t="shared" si="72"/>
        <v>1214</v>
      </c>
      <c r="B1215" s="1">
        <f t="shared" ca="1" si="73"/>
        <v>45086</v>
      </c>
      <c r="C1215" t="s">
        <v>8</v>
      </c>
      <c r="D1215" t="str">
        <f t="shared" ca="1" si="74"/>
        <v>Office Supplies</v>
      </c>
      <c r="E1215" t="s">
        <v>64</v>
      </c>
      <c r="F1215" s="11">
        <v>6377</v>
      </c>
      <c r="G1215">
        <f t="shared" ca="1" si="75"/>
        <v>1</v>
      </c>
      <c r="H1215" s="11">
        <f ca="1">IF(Table1[[#This Row],[Category]]="Electronics",Table1[[#This Row],[Sales]]*0.6,
IF(Table1[[#This Row],[Category]]="Furniture",Table1[[#This Row],[Sales]]*0.75,
IF(Table1[[#This Row],[Category]]="Clothing",Table1[[#This Row],[Sales]]*0.65,
Table1[[#This Row],[Sales]]*0.7)))</f>
        <v>4463.8999999999996</v>
      </c>
      <c r="I1215" s="11">
        <f ca="1">Table1[[#This Row],[Sales]]-H1215</f>
        <v>1913.1000000000004</v>
      </c>
      <c r="J1215" s="2">
        <f ca="1">Table1[[#This Row],[Profit]]/Table1[[#This Row],[Sales]]</f>
        <v>0.30000000000000004</v>
      </c>
      <c r="K1215" t="str">
        <f ca="1">TEXT(Table1[[#This Row],[Order_Date]],"mmm")</f>
        <v>Jun</v>
      </c>
      <c r="L1215">
        <f ca="1">YEAR(Table1[[#This Row],[Order_Date]])</f>
        <v>2023</v>
      </c>
    </row>
    <row r="1216" spans="1:12" x14ac:dyDescent="0.3">
      <c r="A1216">
        <f t="shared" si="72"/>
        <v>1215</v>
      </c>
      <c r="B1216" s="1">
        <f t="shared" ca="1" si="73"/>
        <v>45129</v>
      </c>
      <c r="C1216" t="s">
        <v>9</v>
      </c>
      <c r="D1216" t="str">
        <f t="shared" ca="1" si="74"/>
        <v>Electronics</v>
      </c>
      <c r="E1216" t="s">
        <v>57</v>
      </c>
      <c r="F1216" s="11">
        <v>18420</v>
      </c>
      <c r="G1216">
        <f t="shared" ca="1" si="75"/>
        <v>9</v>
      </c>
      <c r="H1216" s="11">
        <f ca="1">IF(Table1[[#This Row],[Category]]="Electronics",Table1[[#This Row],[Sales]]*0.6,
IF(Table1[[#This Row],[Category]]="Furniture",Table1[[#This Row],[Sales]]*0.75,
IF(Table1[[#This Row],[Category]]="Clothing",Table1[[#This Row],[Sales]]*0.65,
Table1[[#This Row],[Sales]]*0.7)))</f>
        <v>11052</v>
      </c>
      <c r="I1216" s="11">
        <f ca="1">Table1[[#This Row],[Sales]]-H1216</f>
        <v>7368</v>
      </c>
      <c r="J1216" s="2">
        <f ca="1">Table1[[#This Row],[Profit]]/Table1[[#This Row],[Sales]]</f>
        <v>0.4</v>
      </c>
      <c r="K1216" t="str">
        <f ca="1">TEXT(Table1[[#This Row],[Order_Date]],"mmm")</f>
        <v>Jul</v>
      </c>
      <c r="L1216">
        <f ca="1">YEAR(Table1[[#This Row],[Order_Date]])</f>
        <v>2023</v>
      </c>
    </row>
    <row r="1217" spans="1:12" x14ac:dyDescent="0.3">
      <c r="A1217">
        <f t="shared" si="72"/>
        <v>1216</v>
      </c>
      <c r="B1217" s="1">
        <f t="shared" ca="1" si="73"/>
        <v>45079</v>
      </c>
      <c r="C1217" t="s">
        <v>10</v>
      </c>
      <c r="D1217" t="str">
        <f t="shared" ca="1" si="74"/>
        <v>Office Supplies</v>
      </c>
      <c r="E1217" t="s">
        <v>54</v>
      </c>
      <c r="F1217" s="11">
        <v>7144</v>
      </c>
      <c r="G1217">
        <f t="shared" ca="1" si="75"/>
        <v>4</v>
      </c>
      <c r="H1217" s="11">
        <f ca="1">IF(Table1[[#This Row],[Category]]="Electronics",Table1[[#This Row],[Sales]]*0.6,
IF(Table1[[#This Row],[Category]]="Furniture",Table1[[#This Row],[Sales]]*0.75,
IF(Table1[[#This Row],[Category]]="Clothing",Table1[[#This Row],[Sales]]*0.65,
Table1[[#This Row],[Sales]]*0.7)))</f>
        <v>5000.7999999999993</v>
      </c>
      <c r="I1217" s="11">
        <f ca="1">Table1[[#This Row],[Sales]]-H1217</f>
        <v>2143.2000000000007</v>
      </c>
      <c r="J1217" s="2">
        <f ca="1">Table1[[#This Row],[Profit]]/Table1[[#This Row],[Sales]]</f>
        <v>0.3000000000000001</v>
      </c>
      <c r="K1217" t="str">
        <f ca="1">TEXT(Table1[[#This Row],[Order_Date]],"mmm")</f>
        <v>Jun</v>
      </c>
      <c r="L1217">
        <f ca="1">YEAR(Table1[[#This Row],[Order_Date]])</f>
        <v>2023</v>
      </c>
    </row>
    <row r="1218" spans="1:12" x14ac:dyDescent="0.3">
      <c r="A1218">
        <f t="shared" si="72"/>
        <v>1217</v>
      </c>
      <c r="B1218" s="1">
        <f t="shared" ca="1" si="73"/>
        <v>44951</v>
      </c>
      <c r="C1218" t="s">
        <v>7</v>
      </c>
      <c r="D1218" t="str">
        <f t="shared" ca="1" si="74"/>
        <v>Clothing</v>
      </c>
      <c r="E1218" t="s">
        <v>60</v>
      </c>
      <c r="F1218" s="11">
        <v>19234</v>
      </c>
      <c r="G1218">
        <f t="shared" ca="1" si="75"/>
        <v>8</v>
      </c>
      <c r="H1218" s="11">
        <f ca="1">IF(Table1[[#This Row],[Category]]="Electronics",Table1[[#This Row],[Sales]]*0.6,
IF(Table1[[#This Row],[Category]]="Furniture",Table1[[#This Row],[Sales]]*0.75,
IF(Table1[[#This Row],[Category]]="Clothing",Table1[[#This Row],[Sales]]*0.65,
Table1[[#This Row],[Sales]]*0.7)))</f>
        <v>12502.1</v>
      </c>
      <c r="I1218" s="11">
        <f ca="1">Table1[[#This Row],[Sales]]-H1218</f>
        <v>6731.9</v>
      </c>
      <c r="J1218" s="2">
        <f ca="1">Table1[[#This Row],[Profit]]/Table1[[#This Row],[Sales]]</f>
        <v>0.35</v>
      </c>
      <c r="K1218" t="str">
        <f ca="1">TEXT(Table1[[#This Row],[Order_Date]],"mmm")</f>
        <v>Jan</v>
      </c>
      <c r="L1218">
        <f ca="1">YEAR(Table1[[#This Row],[Order_Date]])</f>
        <v>2023</v>
      </c>
    </row>
    <row r="1219" spans="1:12" x14ac:dyDescent="0.3">
      <c r="A1219">
        <f t="shared" ref="A1219:A1282" si="76">ROW()-1</f>
        <v>1218</v>
      </c>
      <c r="B1219" s="1">
        <f t="shared" ref="B1219:B1282" ca="1" si="77">DATE(2023, RANDBETWEEN(1,12), RANDBETWEEN(1,28))</f>
        <v>45034</v>
      </c>
      <c r="C1219" t="s">
        <v>8</v>
      </c>
      <c r="D1219" t="str">
        <f t="shared" ref="D1219:D1282" ca="1" si="78">CHOOSE(RANDBETWEEN(1,4),"Electronics","Furniture","Clothing","Office Supplies")</f>
        <v>Office Supplies</v>
      </c>
      <c r="E1219" t="s">
        <v>39</v>
      </c>
      <c r="F1219" s="11">
        <v>9458</v>
      </c>
      <c r="G1219">
        <f t="shared" ref="G1219:G1282" ca="1" si="79">RANDBETWEEN(1,10)</f>
        <v>1</v>
      </c>
      <c r="H1219" s="11">
        <f ca="1">IF(Table1[[#This Row],[Category]]="Electronics",Table1[[#This Row],[Sales]]*0.6,
IF(Table1[[#This Row],[Category]]="Furniture",Table1[[#This Row],[Sales]]*0.75,
IF(Table1[[#This Row],[Category]]="Clothing",Table1[[#This Row],[Sales]]*0.65,
Table1[[#This Row],[Sales]]*0.7)))</f>
        <v>6620.5999999999995</v>
      </c>
      <c r="I1219" s="11">
        <f ca="1">Table1[[#This Row],[Sales]]-H1219</f>
        <v>2837.4000000000005</v>
      </c>
      <c r="J1219" s="2">
        <f ca="1">Table1[[#This Row],[Profit]]/Table1[[#This Row],[Sales]]</f>
        <v>0.30000000000000004</v>
      </c>
      <c r="K1219" t="str">
        <f ca="1">TEXT(Table1[[#This Row],[Order_Date]],"mmm")</f>
        <v>Apr</v>
      </c>
      <c r="L1219">
        <f ca="1">YEAR(Table1[[#This Row],[Order_Date]])</f>
        <v>2023</v>
      </c>
    </row>
    <row r="1220" spans="1:12" x14ac:dyDescent="0.3">
      <c r="A1220">
        <f t="shared" si="76"/>
        <v>1219</v>
      </c>
      <c r="B1220" s="1">
        <f t="shared" ca="1" si="77"/>
        <v>45182</v>
      </c>
      <c r="C1220" t="s">
        <v>9</v>
      </c>
      <c r="D1220" t="str">
        <f t="shared" ca="1" si="78"/>
        <v>Clothing</v>
      </c>
      <c r="E1220" t="s">
        <v>47</v>
      </c>
      <c r="F1220" s="11">
        <v>4498</v>
      </c>
      <c r="G1220">
        <f t="shared" ca="1" si="79"/>
        <v>2</v>
      </c>
      <c r="H1220" s="11">
        <f ca="1">IF(Table1[[#This Row],[Category]]="Electronics",Table1[[#This Row],[Sales]]*0.6,
IF(Table1[[#This Row],[Category]]="Furniture",Table1[[#This Row],[Sales]]*0.75,
IF(Table1[[#This Row],[Category]]="Clothing",Table1[[#This Row],[Sales]]*0.65,
Table1[[#This Row],[Sales]]*0.7)))</f>
        <v>2923.7000000000003</v>
      </c>
      <c r="I1220" s="11">
        <f ca="1">Table1[[#This Row],[Sales]]-H1220</f>
        <v>1574.2999999999997</v>
      </c>
      <c r="J1220" s="2">
        <f ca="1">Table1[[#This Row],[Profit]]/Table1[[#This Row],[Sales]]</f>
        <v>0.34999999999999992</v>
      </c>
      <c r="K1220" t="str">
        <f ca="1">TEXT(Table1[[#This Row],[Order_Date]],"mmm")</f>
        <v>Sep</v>
      </c>
      <c r="L1220">
        <f ca="1">YEAR(Table1[[#This Row],[Order_Date]])</f>
        <v>2023</v>
      </c>
    </row>
    <row r="1221" spans="1:12" x14ac:dyDescent="0.3">
      <c r="A1221">
        <f t="shared" si="76"/>
        <v>1220</v>
      </c>
      <c r="B1221" s="1">
        <f t="shared" ca="1" si="77"/>
        <v>45104</v>
      </c>
      <c r="C1221" t="s">
        <v>10</v>
      </c>
      <c r="D1221" t="str">
        <f t="shared" ca="1" si="78"/>
        <v>Electronics</v>
      </c>
      <c r="E1221" t="s">
        <v>55</v>
      </c>
      <c r="F1221" s="11">
        <v>14973</v>
      </c>
      <c r="G1221">
        <f t="shared" ca="1" si="79"/>
        <v>6</v>
      </c>
      <c r="H1221" s="11">
        <f ca="1">IF(Table1[[#This Row],[Category]]="Electronics",Table1[[#This Row],[Sales]]*0.6,
IF(Table1[[#This Row],[Category]]="Furniture",Table1[[#This Row],[Sales]]*0.75,
IF(Table1[[#This Row],[Category]]="Clothing",Table1[[#This Row],[Sales]]*0.65,
Table1[[#This Row],[Sales]]*0.7)))</f>
        <v>8983.7999999999993</v>
      </c>
      <c r="I1221" s="11">
        <f ca="1">Table1[[#This Row],[Sales]]-H1221</f>
        <v>5989.2000000000007</v>
      </c>
      <c r="J1221" s="2">
        <f ca="1">Table1[[#This Row],[Profit]]/Table1[[#This Row],[Sales]]</f>
        <v>0.4</v>
      </c>
      <c r="K1221" t="str">
        <f ca="1">TEXT(Table1[[#This Row],[Order_Date]],"mmm")</f>
        <v>Jun</v>
      </c>
      <c r="L1221">
        <f ca="1">YEAR(Table1[[#This Row],[Order_Date]])</f>
        <v>2023</v>
      </c>
    </row>
    <row r="1222" spans="1:12" x14ac:dyDescent="0.3">
      <c r="A1222">
        <f t="shared" si="76"/>
        <v>1221</v>
      </c>
      <c r="B1222" s="1">
        <f t="shared" ca="1" si="77"/>
        <v>45141</v>
      </c>
      <c r="C1222" t="s">
        <v>7</v>
      </c>
      <c r="D1222" t="str">
        <f t="shared" ca="1" si="78"/>
        <v>Furniture</v>
      </c>
      <c r="E1222" t="s">
        <v>69</v>
      </c>
      <c r="F1222" s="11">
        <v>1769</v>
      </c>
      <c r="G1222">
        <f t="shared" ca="1" si="79"/>
        <v>10</v>
      </c>
      <c r="H1222" s="11">
        <f ca="1">IF(Table1[[#This Row],[Category]]="Electronics",Table1[[#This Row],[Sales]]*0.6,
IF(Table1[[#This Row],[Category]]="Furniture",Table1[[#This Row],[Sales]]*0.75,
IF(Table1[[#This Row],[Category]]="Clothing",Table1[[#This Row],[Sales]]*0.65,
Table1[[#This Row],[Sales]]*0.7)))</f>
        <v>1326.75</v>
      </c>
      <c r="I1222" s="11">
        <f ca="1">Table1[[#This Row],[Sales]]-H1222</f>
        <v>442.25</v>
      </c>
      <c r="J1222" s="2">
        <f ca="1">Table1[[#This Row],[Profit]]/Table1[[#This Row],[Sales]]</f>
        <v>0.25</v>
      </c>
      <c r="K1222" t="str">
        <f ca="1">TEXT(Table1[[#This Row],[Order_Date]],"mmm")</f>
        <v>Aug</v>
      </c>
      <c r="L1222">
        <f ca="1">YEAR(Table1[[#This Row],[Order_Date]])</f>
        <v>2023</v>
      </c>
    </row>
    <row r="1223" spans="1:12" x14ac:dyDescent="0.3">
      <c r="A1223">
        <f t="shared" si="76"/>
        <v>1222</v>
      </c>
      <c r="B1223" s="1">
        <f t="shared" ca="1" si="77"/>
        <v>45032</v>
      </c>
      <c r="C1223" t="s">
        <v>8</v>
      </c>
      <c r="D1223" t="str">
        <f t="shared" ca="1" si="78"/>
        <v>Office Supplies</v>
      </c>
      <c r="E1223" t="s">
        <v>69</v>
      </c>
      <c r="F1223" s="11">
        <v>1354</v>
      </c>
      <c r="G1223">
        <f t="shared" ca="1" si="79"/>
        <v>1</v>
      </c>
      <c r="H1223" s="11">
        <f ca="1">IF(Table1[[#This Row],[Category]]="Electronics",Table1[[#This Row],[Sales]]*0.6,
IF(Table1[[#This Row],[Category]]="Furniture",Table1[[#This Row],[Sales]]*0.75,
IF(Table1[[#This Row],[Category]]="Clothing",Table1[[#This Row],[Sales]]*0.65,
Table1[[#This Row],[Sales]]*0.7)))</f>
        <v>947.8</v>
      </c>
      <c r="I1223" s="11">
        <f ca="1">Table1[[#This Row],[Sales]]-H1223</f>
        <v>406.20000000000005</v>
      </c>
      <c r="J1223" s="2">
        <f ca="1">Table1[[#This Row],[Profit]]/Table1[[#This Row],[Sales]]</f>
        <v>0.30000000000000004</v>
      </c>
      <c r="K1223" t="str">
        <f ca="1">TEXT(Table1[[#This Row],[Order_Date]],"mmm")</f>
        <v>Apr</v>
      </c>
      <c r="L1223">
        <f ca="1">YEAR(Table1[[#This Row],[Order_Date]])</f>
        <v>2023</v>
      </c>
    </row>
    <row r="1224" spans="1:12" x14ac:dyDescent="0.3">
      <c r="A1224">
        <f t="shared" si="76"/>
        <v>1223</v>
      </c>
      <c r="B1224" s="1">
        <f t="shared" ca="1" si="77"/>
        <v>45009</v>
      </c>
      <c r="C1224" t="s">
        <v>9</v>
      </c>
      <c r="D1224" t="str">
        <f t="shared" ca="1" si="78"/>
        <v>Furniture</v>
      </c>
      <c r="E1224" t="s">
        <v>72</v>
      </c>
      <c r="F1224" s="11">
        <v>18762</v>
      </c>
      <c r="G1224">
        <f t="shared" ca="1" si="79"/>
        <v>4</v>
      </c>
      <c r="H1224" s="11">
        <f ca="1">IF(Table1[[#This Row],[Category]]="Electronics",Table1[[#This Row],[Sales]]*0.6,
IF(Table1[[#This Row],[Category]]="Furniture",Table1[[#This Row],[Sales]]*0.75,
IF(Table1[[#This Row],[Category]]="Clothing",Table1[[#This Row],[Sales]]*0.65,
Table1[[#This Row],[Sales]]*0.7)))</f>
        <v>14071.5</v>
      </c>
      <c r="I1224" s="11">
        <f ca="1">Table1[[#This Row],[Sales]]-H1224</f>
        <v>4690.5</v>
      </c>
      <c r="J1224" s="2">
        <f ca="1">Table1[[#This Row],[Profit]]/Table1[[#This Row],[Sales]]</f>
        <v>0.25</v>
      </c>
      <c r="K1224" t="str">
        <f ca="1">TEXT(Table1[[#This Row],[Order_Date]],"mmm")</f>
        <v>Mar</v>
      </c>
      <c r="L1224">
        <f ca="1">YEAR(Table1[[#This Row],[Order_Date]])</f>
        <v>2023</v>
      </c>
    </row>
    <row r="1225" spans="1:12" x14ac:dyDescent="0.3">
      <c r="A1225">
        <f t="shared" si="76"/>
        <v>1224</v>
      </c>
      <c r="B1225" s="1">
        <f t="shared" ca="1" si="77"/>
        <v>45253</v>
      </c>
      <c r="C1225" t="s">
        <v>10</v>
      </c>
      <c r="D1225" t="str">
        <f t="shared" ca="1" si="78"/>
        <v>Clothing</v>
      </c>
      <c r="E1225" t="s">
        <v>42</v>
      </c>
      <c r="F1225" s="11">
        <v>8631</v>
      </c>
      <c r="G1225">
        <f t="shared" ca="1" si="79"/>
        <v>6</v>
      </c>
      <c r="H1225" s="11">
        <f ca="1">IF(Table1[[#This Row],[Category]]="Electronics",Table1[[#This Row],[Sales]]*0.6,
IF(Table1[[#This Row],[Category]]="Furniture",Table1[[#This Row],[Sales]]*0.75,
IF(Table1[[#This Row],[Category]]="Clothing",Table1[[#This Row],[Sales]]*0.65,
Table1[[#This Row],[Sales]]*0.7)))</f>
        <v>5610.1500000000005</v>
      </c>
      <c r="I1225" s="11">
        <f ca="1">Table1[[#This Row],[Sales]]-H1225</f>
        <v>3020.8499999999995</v>
      </c>
      <c r="J1225" s="2">
        <f ca="1">Table1[[#This Row],[Profit]]/Table1[[#This Row],[Sales]]</f>
        <v>0.34999999999999992</v>
      </c>
      <c r="K1225" t="str">
        <f ca="1">TEXT(Table1[[#This Row],[Order_Date]],"mmm")</f>
        <v>Nov</v>
      </c>
      <c r="L1225">
        <f ca="1">YEAR(Table1[[#This Row],[Order_Date]])</f>
        <v>2023</v>
      </c>
    </row>
    <row r="1226" spans="1:12" x14ac:dyDescent="0.3">
      <c r="A1226">
        <f t="shared" si="76"/>
        <v>1225</v>
      </c>
      <c r="B1226" s="1">
        <f t="shared" ca="1" si="77"/>
        <v>44970</v>
      </c>
      <c r="C1226" t="s">
        <v>7</v>
      </c>
      <c r="D1226" t="str">
        <f t="shared" ca="1" si="78"/>
        <v>Electronics</v>
      </c>
      <c r="E1226" t="s">
        <v>70</v>
      </c>
      <c r="F1226" s="11">
        <v>7277</v>
      </c>
      <c r="G1226">
        <f t="shared" ca="1" si="79"/>
        <v>2</v>
      </c>
      <c r="H1226" s="11">
        <f ca="1">IF(Table1[[#This Row],[Category]]="Electronics",Table1[[#This Row],[Sales]]*0.6,
IF(Table1[[#This Row],[Category]]="Furniture",Table1[[#This Row],[Sales]]*0.75,
IF(Table1[[#This Row],[Category]]="Clothing",Table1[[#This Row],[Sales]]*0.65,
Table1[[#This Row],[Sales]]*0.7)))</f>
        <v>4366.2</v>
      </c>
      <c r="I1226" s="11">
        <f ca="1">Table1[[#This Row],[Sales]]-H1226</f>
        <v>2910.8</v>
      </c>
      <c r="J1226" s="2">
        <f ca="1">Table1[[#This Row],[Profit]]/Table1[[#This Row],[Sales]]</f>
        <v>0.4</v>
      </c>
      <c r="K1226" t="str">
        <f ca="1">TEXT(Table1[[#This Row],[Order_Date]],"mmm")</f>
        <v>Feb</v>
      </c>
      <c r="L1226">
        <f ca="1">YEAR(Table1[[#This Row],[Order_Date]])</f>
        <v>2023</v>
      </c>
    </row>
    <row r="1227" spans="1:12" x14ac:dyDescent="0.3">
      <c r="A1227">
        <f t="shared" si="76"/>
        <v>1226</v>
      </c>
      <c r="B1227" s="1">
        <f t="shared" ca="1" si="77"/>
        <v>45003</v>
      </c>
      <c r="C1227" t="s">
        <v>8</v>
      </c>
      <c r="D1227" t="str">
        <f t="shared" ca="1" si="78"/>
        <v>Electronics</v>
      </c>
      <c r="E1227" t="s">
        <v>76</v>
      </c>
      <c r="F1227" s="11">
        <v>7682</v>
      </c>
      <c r="G1227">
        <f t="shared" ca="1" si="79"/>
        <v>9</v>
      </c>
      <c r="H1227" s="11">
        <f ca="1">IF(Table1[[#This Row],[Category]]="Electronics",Table1[[#This Row],[Sales]]*0.6,
IF(Table1[[#This Row],[Category]]="Furniture",Table1[[#This Row],[Sales]]*0.75,
IF(Table1[[#This Row],[Category]]="Clothing",Table1[[#This Row],[Sales]]*0.65,
Table1[[#This Row],[Sales]]*0.7)))</f>
        <v>4609.2</v>
      </c>
      <c r="I1227" s="11">
        <f ca="1">Table1[[#This Row],[Sales]]-H1227</f>
        <v>3072.8</v>
      </c>
      <c r="J1227" s="2">
        <f ca="1">Table1[[#This Row],[Profit]]/Table1[[#This Row],[Sales]]</f>
        <v>0.4</v>
      </c>
      <c r="K1227" t="str">
        <f ca="1">TEXT(Table1[[#This Row],[Order_Date]],"mmm")</f>
        <v>Mar</v>
      </c>
      <c r="L1227">
        <f ca="1">YEAR(Table1[[#This Row],[Order_Date]])</f>
        <v>2023</v>
      </c>
    </row>
    <row r="1228" spans="1:12" x14ac:dyDescent="0.3">
      <c r="A1228">
        <f t="shared" si="76"/>
        <v>1227</v>
      </c>
      <c r="B1228" s="1">
        <f t="shared" ca="1" si="77"/>
        <v>45041</v>
      </c>
      <c r="C1228" t="s">
        <v>9</v>
      </c>
      <c r="D1228" t="str">
        <f t="shared" ca="1" si="78"/>
        <v>Clothing</v>
      </c>
      <c r="E1228" t="s">
        <v>67</v>
      </c>
      <c r="F1228" s="11">
        <v>19942</v>
      </c>
      <c r="G1228">
        <f t="shared" ca="1" si="79"/>
        <v>1</v>
      </c>
      <c r="H1228" s="11">
        <f ca="1">IF(Table1[[#This Row],[Category]]="Electronics",Table1[[#This Row],[Sales]]*0.6,
IF(Table1[[#This Row],[Category]]="Furniture",Table1[[#This Row],[Sales]]*0.75,
IF(Table1[[#This Row],[Category]]="Clothing",Table1[[#This Row],[Sales]]*0.65,
Table1[[#This Row],[Sales]]*0.7)))</f>
        <v>12962.300000000001</v>
      </c>
      <c r="I1228" s="11">
        <f ca="1">Table1[[#This Row],[Sales]]-H1228</f>
        <v>6979.6999999999989</v>
      </c>
      <c r="J1228" s="2">
        <f ca="1">Table1[[#This Row],[Profit]]/Table1[[#This Row],[Sales]]</f>
        <v>0.34999999999999992</v>
      </c>
      <c r="K1228" t="str">
        <f ca="1">TEXT(Table1[[#This Row],[Order_Date]],"mmm")</f>
        <v>Apr</v>
      </c>
      <c r="L1228">
        <f ca="1">YEAR(Table1[[#This Row],[Order_Date]])</f>
        <v>2023</v>
      </c>
    </row>
    <row r="1229" spans="1:12" x14ac:dyDescent="0.3">
      <c r="A1229">
        <f t="shared" si="76"/>
        <v>1228</v>
      </c>
      <c r="B1229" s="1">
        <f t="shared" ca="1" si="77"/>
        <v>44972</v>
      </c>
      <c r="C1229" t="s">
        <v>10</v>
      </c>
      <c r="D1229" t="str">
        <f t="shared" ca="1" si="78"/>
        <v>Office Supplies</v>
      </c>
      <c r="E1229" t="s">
        <v>74</v>
      </c>
      <c r="F1229" s="11">
        <v>5235</v>
      </c>
      <c r="G1229">
        <f t="shared" ca="1" si="79"/>
        <v>5</v>
      </c>
      <c r="H1229" s="11">
        <f ca="1">IF(Table1[[#This Row],[Category]]="Electronics",Table1[[#This Row],[Sales]]*0.6,
IF(Table1[[#This Row],[Category]]="Furniture",Table1[[#This Row],[Sales]]*0.75,
IF(Table1[[#This Row],[Category]]="Clothing",Table1[[#This Row],[Sales]]*0.65,
Table1[[#This Row],[Sales]]*0.7)))</f>
        <v>3664.4999999999995</v>
      </c>
      <c r="I1229" s="11">
        <f ca="1">Table1[[#This Row],[Sales]]-H1229</f>
        <v>1570.5000000000005</v>
      </c>
      <c r="J1229" s="2">
        <f ca="1">Table1[[#This Row],[Profit]]/Table1[[#This Row],[Sales]]</f>
        <v>0.3000000000000001</v>
      </c>
      <c r="K1229" t="str">
        <f ca="1">TEXT(Table1[[#This Row],[Order_Date]],"mmm")</f>
        <v>Feb</v>
      </c>
      <c r="L1229">
        <f ca="1">YEAR(Table1[[#This Row],[Order_Date]])</f>
        <v>2023</v>
      </c>
    </row>
    <row r="1230" spans="1:12" x14ac:dyDescent="0.3">
      <c r="A1230">
        <f t="shared" si="76"/>
        <v>1229</v>
      </c>
      <c r="B1230" s="1">
        <f t="shared" ca="1" si="77"/>
        <v>45205</v>
      </c>
      <c r="C1230" t="s">
        <v>7</v>
      </c>
      <c r="D1230" t="str">
        <f t="shared" ca="1" si="78"/>
        <v>Furniture</v>
      </c>
      <c r="E1230" t="s">
        <v>54</v>
      </c>
      <c r="F1230" s="11">
        <v>4663</v>
      </c>
      <c r="G1230">
        <f t="shared" ca="1" si="79"/>
        <v>9</v>
      </c>
      <c r="H1230" s="11">
        <f ca="1">IF(Table1[[#This Row],[Category]]="Electronics",Table1[[#This Row],[Sales]]*0.6,
IF(Table1[[#This Row],[Category]]="Furniture",Table1[[#This Row],[Sales]]*0.75,
IF(Table1[[#This Row],[Category]]="Clothing",Table1[[#This Row],[Sales]]*0.65,
Table1[[#This Row],[Sales]]*0.7)))</f>
        <v>3497.25</v>
      </c>
      <c r="I1230" s="11">
        <f ca="1">Table1[[#This Row],[Sales]]-H1230</f>
        <v>1165.75</v>
      </c>
      <c r="J1230" s="2">
        <f ca="1">Table1[[#This Row],[Profit]]/Table1[[#This Row],[Sales]]</f>
        <v>0.25</v>
      </c>
      <c r="K1230" t="str">
        <f ca="1">TEXT(Table1[[#This Row],[Order_Date]],"mmm")</f>
        <v>Oct</v>
      </c>
      <c r="L1230">
        <f ca="1">YEAR(Table1[[#This Row],[Order_Date]])</f>
        <v>2023</v>
      </c>
    </row>
    <row r="1231" spans="1:12" x14ac:dyDescent="0.3">
      <c r="A1231">
        <f t="shared" si="76"/>
        <v>1230</v>
      </c>
      <c r="B1231" s="1">
        <f t="shared" ca="1" si="77"/>
        <v>45003</v>
      </c>
      <c r="C1231" t="s">
        <v>8</v>
      </c>
      <c r="D1231" t="str">
        <f t="shared" ca="1" si="78"/>
        <v>Clothing</v>
      </c>
      <c r="E1231" t="s">
        <v>54</v>
      </c>
      <c r="F1231" s="11">
        <v>16259</v>
      </c>
      <c r="G1231">
        <f t="shared" ca="1" si="79"/>
        <v>3</v>
      </c>
      <c r="H1231" s="11">
        <f ca="1">IF(Table1[[#This Row],[Category]]="Electronics",Table1[[#This Row],[Sales]]*0.6,
IF(Table1[[#This Row],[Category]]="Furniture",Table1[[#This Row],[Sales]]*0.75,
IF(Table1[[#This Row],[Category]]="Clothing",Table1[[#This Row],[Sales]]*0.65,
Table1[[#This Row],[Sales]]*0.7)))</f>
        <v>10568.35</v>
      </c>
      <c r="I1231" s="11">
        <f ca="1">Table1[[#This Row],[Sales]]-H1231</f>
        <v>5690.65</v>
      </c>
      <c r="J1231" s="2">
        <f ca="1">Table1[[#This Row],[Profit]]/Table1[[#This Row],[Sales]]</f>
        <v>0.35</v>
      </c>
      <c r="K1231" t="str">
        <f ca="1">TEXT(Table1[[#This Row],[Order_Date]],"mmm")</f>
        <v>Mar</v>
      </c>
      <c r="L1231">
        <f ca="1">YEAR(Table1[[#This Row],[Order_Date]])</f>
        <v>2023</v>
      </c>
    </row>
    <row r="1232" spans="1:12" x14ac:dyDescent="0.3">
      <c r="A1232">
        <f t="shared" si="76"/>
        <v>1231</v>
      </c>
      <c r="B1232" s="1">
        <f t="shared" ca="1" si="77"/>
        <v>45253</v>
      </c>
      <c r="C1232" t="s">
        <v>9</v>
      </c>
      <c r="D1232" t="str">
        <f t="shared" ca="1" si="78"/>
        <v>Clothing</v>
      </c>
      <c r="E1232" t="s">
        <v>63</v>
      </c>
      <c r="F1232" s="11">
        <v>3115</v>
      </c>
      <c r="G1232">
        <f t="shared" ca="1" si="79"/>
        <v>5</v>
      </c>
      <c r="H1232" s="11">
        <f ca="1">IF(Table1[[#This Row],[Category]]="Electronics",Table1[[#This Row],[Sales]]*0.6,
IF(Table1[[#This Row],[Category]]="Furniture",Table1[[#This Row],[Sales]]*0.75,
IF(Table1[[#This Row],[Category]]="Clothing",Table1[[#This Row],[Sales]]*0.65,
Table1[[#This Row],[Sales]]*0.7)))</f>
        <v>2024.75</v>
      </c>
      <c r="I1232" s="11">
        <f ca="1">Table1[[#This Row],[Sales]]-H1232</f>
        <v>1090.25</v>
      </c>
      <c r="J1232" s="2">
        <f ca="1">Table1[[#This Row],[Profit]]/Table1[[#This Row],[Sales]]</f>
        <v>0.35</v>
      </c>
      <c r="K1232" t="str">
        <f ca="1">TEXT(Table1[[#This Row],[Order_Date]],"mmm")</f>
        <v>Nov</v>
      </c>
      <c r="L1232">
        <f ca="1">YEAR(Table1[[#This Row],[Order_Date]])</f>
        <v>2023</v>
      </c>
    </row>
    <row r="1233" spans="1:12" x14ac:dyDescent="0.3">
      <c r="A1233">
        <f t="shared" si="76"/>
        <v>1232</v>
      </c>
      <c r="B1233" s="1">
        <f t="shared" ca="1" si="77"/>
        <v>45287</v>
      </c>
      <c r="C1233" t="s">
        <v>10</v>
      </c>
      <c r="D1233" t="str">
        <f t="shared" ca="1" si="78"/>
        <v>Furniture</v>
      </c>
      <c r="E1233" t="s">
        <v>66</v>
      </c>
      <c r="F1233" s="11">
        <v>11723</v>
      </c>
      <c r="G1233">
        <f t="shared" ca="1" si="79"/>
        <v>9</v>
      </c>
      <c r="H1233" s="11">
        <f ca="1">IF(Table1[[#This Row],[Category]]="Electronics",Table1[[#This Row],[Sales]]*0.6,
IF(Table1[[#This Row],[Category]]="Furniture",Table1[[#This Row],[Sales]]*0.75,
IF(Table1[[#This Row],[Category]]="Clothing",Table1[[#This Row],[Sales]]*0.65,
Table1[[#This Row],[Sales]]*0.7)))</f>
        <v>8792.25</v>
      </c>
      <c r="I1233" s="11">
        <f ca="1">Table1[[#This Row],[Sales]]-H1233</f>
        <v>2930.75</v>
      </c>
      <c r="J1233" s="2">
        <f ca="1">Table1[[#This Row],[Profit]]/Table1[[#This Row],[Sales]]</f>
        <v>0.25</v>
      </c>
      <c r="K1233" t="str">
        <f ca="1">TEXT(Table1[[#This Row],[Order_Date]],"mmm")</f>
        <v>Dec</v>
      </c>
      <c r="L1233">
        <f ca="1">YEAR(Table1[[#This Row],[Order_Date]])</f>
        <v>2023</v>
      </c>
    </row>
    <row r="1234" spans="1:12" x14ac:dyDescent="0.3">
      <c r="A1234">
        <f t="shared" si="76"/>
        <v>1233</v>
      </c>
      <c r="B1234" s="1">
        <f t="shared" ca="1" si="77"/>
        <v>45225</v>
      </c>
      <c r="C1234" t="s">
        <v>7</v>
      </c>
      <c r="D1234" t="str">
        <f t="shared" ca="1" si="78"/>
        <v>Clothing</v>
      </c>
      <c r="E1234" t="s">
        <v>45</v>
      </c>
      <c r="F1234" s="11">
        <v>5130</v>
      </c>
      <c r="G1234">
        <f t="shared" ca="1" si="79"/>
        <v>3</v>
      </c>
      <c r="H1234" s="11">
        <f ca="1">IF(Table1[[#This Row],[Category]]="Electronics",Table1[[#This Row],[Sales]]*0.6,
IF(Table1[[#This Row],[Category]]="Furniture",Table1[[#This Row],[Sales]]*0.75,
IF(Table1[[#This Row],[Category]]="Clothing",Table1[[#This Row],[Sales]]*0.65,
Table1[[#This Row],[Sales]]*0.7)))</f>
        <v>3334.5</v>
      </c>
      <c r="I1234" s="11">
        <f ca="1">Table1[[#This Row],[Sales]]-H1234</f>
        <v>1795.5</v>
      </c>
      <c r="J1234" s="2">
        <f ca="1">Table1[[#This Row],[Profit]]/Table1[[#This Row],[Sales]]</f>
        <v>0.35</v>
      </c>
      <c r="K1234" t="str">
        <f ca="1">TEXT(Table1[[#This Row],[Order_Date]],"mmm")</f>
        <v>Oct</v>
      </c>
      <c r="L1234">
        <f ca="1">YEAR(Table1[[#This Row],[Order_Date]])</f>
        <v>2023</v>
      </c>
    </row>
    <row r="1235" spans="1:12" x14ac:dyDescent="0.3">
      <c r="A1235">
        <f t="shared" si="76"/>
        <v>1234</v>
      </c>
      <c r="B1235" s="1">
        <f t="shared" ca="1" si="77"/>
        <v>45241</v>
      </c>
      <c r="C1235" t="s">
        <v>8</v>
      </c>
      <c r="D1235" t="str">
        <f t="shared" ca="1" si="78"/>
        <v>Electronics</v>
      </c>
      <c r="E1235" t="s">
        <v>46</v>
      </c>
      <c r="F1235" s="11">
        <v>19612</v>
      </c>
      <c r="G1235">
        <f t="shared" ca="1" si="79"/>
        <v>8</v>
      </c>
      <c r="H1235" s="11">
        <f ca="1">IF(Table1[[#This Row],[Category]]="Electronics",Table1[[#This Row],[Sales]]*0.6,
IF(Table1[[#This Row],[Category]]="Furniture",Table1[[#This Row],[Sales]]*0.75,
IF(Table1[[#This Row],[Category]]="Clothing",Table1[[#This Row],[Sales]]*0.65,
Table1[[#This Row],[Sales]]*0.7)))</f>
        <v>11767.199999999999</v>
      </c>
      <c r="I1235" s="11">
        <f ca="1">Table1[[#This Row],[Sales]]-H1235</f>
        <v>7844.8000000000011</v>
      </c>
      <c r="J1235" s="2">
        <f ca="1">Table1[[#This Row],[Profit]]/Table1[[#This Row],[Sales]]</f>
        <v>0.40000000000000008</v>
      </c>
      <c r="K1235" t="str">
        <f ca="1">TEXT(Table1[[#This Row],[Order_Date]],"mmm")</f>
        <v>Nov</v>
      </c>
      <c r="L1235">
        <f ca="1">YEAR(Table1[[#This Row],[Order_Date]])</f>
        <v>2023</v>
      </c>
    </row>
    <row r="1236" spans="1:12" x14ac:dyDescent="0.3">
      <c r="A1236">
        <f t="shared" si="76"/>
        <v>1235</v>
      </c>
      <c r="B1236" s="1">
        <f t="shared" ca="1" si="77"/>
        <v>45050</v>
      </c>
      <c r="C1236" t="s">
        <v>9</v>
      </c>
      <c r="D1236" t="str">
        <f t="shared" ca="1" si="78"/>
        <v>Office Supplies</v>
      </c>
      <c r="E1236" t="s">
        <v>38</v>
      </c>
      <c r="F1236" s="11">
        <v>13391</v>
      </c>
      <c r="G1236">
        <f t="shared" ca="1" si="79"/>
        <v>1</v>
      </c>
      <c r="H1236" s="11">
        <f ca="1">IF(Table1[[#This Row],[Category]]="Electronics",Table1[[#This Row],[Sales]]*0.6,
IF(Table1[[#This Row],[Category]]="Furniture",Table1[[#This Row],[Sales]]*0.75,
IF(Table1[[#This Row],[Category]]="Clothing",Table1[[#This Row],[Sales]]*0.65,
Table1[[#This Row],[Sales]]*0.7)))</f>
        <v>9373.6999999999989</v>
      </c>
      <c r="I1236" s="11">
        <f ca="1">Table1[[#This Row],[Sales]]-H1236</f>
        <v>4017.3000000000011</v>
      </c>
      <c r="J1236" s="2">
        <f ca="1">Table1[[#This Row],[Profit]]/Table1[[#This Row],[Sales]]</f>
        <v>0.3000000000000001</v>
      </c>
      <c r="K1236" t="str">
        <f ca="1">TEXT(Table1[[#This Row],[Order_Date]],"mmm")</f>
        <v>May</v>
      </c>
      <c r="L1236">
        <f ca="1">YEAR(Table1[[#This Row],[Order_Date]])</f>
        <v>2023</v>
      </c>
    </row>
    <row r="1237" spans="1:12" x14ac:dyDescent="0.3">
      <c r="A1237">
        <f t="shared" si="76"/>
        <v>1236</v>
      </c>
      <c r="B1237" s="1">
        <f t="shared" ca="1" si="77"/>
        <v>44994</v>
      </c>
      <c r="C1237" t="s">
        <v>10</v>
      </c>
      <c r="D1237" t="str">
        <f t="shared" ca="1" si="78"/>
        <v>Furniture</v>
      </c>
      <c r="E1237" t="s">
        <v>40</v>
      </c>
      <c r="F1237" s="11">
        <v>2158</v>
      </c>
      <c r="G1237">
        <f t="shared" ca="1" si="79"/>
        <v>5</v>
      </c>
      <c r="H1237" s="11">
        <f ca="1">IF(Table1[[#This Row],[Category]]="Electronics",Table1[[#This Row],[Sales]]*0.6,
IF(Table1[[#This Row],[Category]]="Furniture",Table1[[#This Row],[Sales]]*0.75,
IF(Table1[[#This Row],[Category]]="Clothing",Table1[[#This Row],[Sales]]*0.65,
Table1[[#This Row],[Sales]]*0.7)))</f>
        <v>1618.5</v>
      </c>
      <c r="I1237" s="11">
        <f ca="1">Table1[[#This Row],[Sales]]-H1237</f>
        <v>539.5</v>
      </c>
      <c r="J1237" s="2">
        <f ca="1">Table1[[#This Row],[Profit]]/Table1[[#This Row],[Sales]]</f>
        <v>0.25</v>
      </c>
      <c r="K1237" t="str">
        <f ca="1">TEXT(Table1[[#This Row],[Order_Date]],"mmm")</f>
        <v>Mar</v>
      </c>
      <c r="L1237">
        <f ca="1">YEAR(Table1[[#This Row],[Order_Date]])</f>
        <v>2023</v>
      </c>
    </row>
    <row r="1238" spans="1:12" x14ac:dyDescent="0.3">
      <c r="A1238">
        <f t="shared" si="76"/>
        <v>1237</v>
      </c>
      <c r="B1238" s="1">
        <f t="shared" ca="1" si="77"/>
        <v>44928</v>
      </c>
      <c r="C1238" t="s">
        <v>7</v>
      </c>
      <c r="D1238" t="str">
        <f t="shared" ca="1" si="78"/>
        <v>Electronics</v>
      </c>
      <c r="E1238" t="s">
        <v>58</v>
      </c>
      <c r="F1238" s="11">
        <v>4315</v>
      </c>
      <c r="G1238">
        <f t="shared" ca="1" si="79"/>
        <v>10</v>
      </c>
      <c r="H1238" s="11">
        <f ca="1">IF(Table1[[#This Row],[Category]]="Electronics",Table1[[#This Row],[Sales]]*0.6,
IF(Table1[[#This Row],[Category]]="Furniture",Table1[[#This Row],[Sales]]*0.75,
IF(Table1[[#This Row],[Category]]="Clothing",Table1[[#This Row],[Sales]]*0.65,
Table1[[#This Row],[Sales]]*0.7)))</f>
        <v>2589</v>
      </c>
      <c r="I1238" s="11">
        <f ca="1">Table1[[#This Row],[Sales]]-H1238</f>
        <v>1726</v>
      </c>
      <c r="J1238" s="2">
        <f ca="1">Table1[[#This Row],[Profit]]/Table1[[#This Row],[Sales]]</f>
        <v>0.4</v>
      </c>
      <c r="K1238" t="str">
        <f ca="1">TEXT(Table1[[#This Row],[Order_Date]],"mmm")</f>
        <v>Jan</v>
      </c>
      <c r="L1238">
        <f ca="1">YEAR(Table1[[#This Row],[Order_Date]])</f>
        <v>2023</v>
      </c>
    </row>
    <row r="1239" spans="1:12" x14ac:dyDescent="0.3">
      <c r="A1239">
        <f t="shared" si="76"/>
        <v>1238</v>
      </c>
      <c r="B1239" s="1">
        <f t="shared" ca="1" si="77"/>
        <v>45089</v>
      </c>
      <c r="C1239" t="s">
        <v>8</v>
      </c>
      <c r="D1239" t="str">
        <f t="shared" ca="1" si="78"/>
        <v>Clothing</v>
      </c>
      <c r="E1239" t="s">
        <v>57</v>
      </c>
      <c r="F1239" s="11">
        <v>11654</v>
      </c>
      <c r="G1239">
        <f t="shared" ca="1" si="79"/>
        <v>4</v>
      </c>
      <c r="H1239" s="11">
        <f ca="1">IF(Table1[[#This Row],[Category]]="Electronics",Table1[[#This Row],[Sales]]*0.6,
IF(Table1[[#This Row],[Category]]="Furniture",Table1[[#This Row],[Sales]]*0.75,
IF(Table1[[#This Row],[Category]]="Clothing",Table1[[#This Row],[Sales]]*0.65,
Table1[[#This Row],[Sales]]*0.7)))</f>
        <v>7575.1</v>
      </c>
      <c r="I1239" s="11">
        <f ca="1">Table1[[#This Row],[Sales]]-H1239</f>
        <v>4078.8999999999996</v>
      </c>
      <c r="J1239" s="2">
        <f ca="1">Table1[[#This Row],[Profit]]/Table1[[#This Row],[Sales]]</f>
        <v>0.35</v>
      </c>
      <c r="K1239" t="str">
        <f ca="1">TEXT(Table1[[#This Row],[Order_Date]],"mmm")</f>
        <v>Jun</v>
      </c>
      <c r="L1239">
        <f ca="1">YEAR(Table1[[#This Row],[Order_Date]])</f>
        <v>2023</v>
      </c>
    </row>
    <row r="1240" spans="1:12" x14ac:dyDescent="0.3">
      <c r="A1240">
        <f t="shared" si="76"/>
        <v>1239</v>
      </c>
      <c r="B1240" s="1">
        <f t="shared" ca="1" si="77"/>
        <v>45172</v>
      </c>
      <c r="C1240" t="s">
        <v>9</v>
      </c>
      <c r="D1240" t="str">
        <f t="shared" ca="1" si="78"/>
        <v>Electronics</v>
      </c>
      <c r="E1240" t="s">
        <v>60</v>
      </c>
      <c r="F1240" s="11">
        <v>16213</v>
      </c>
      <c r="G1240">
        <f t="shared" ca="1" si="79"/>
        <v>2</v>
      </c>
      <c r="H1240" s="11">
        <f ca="1">IF(Table1[[#This Row],[Category]]="Electronics",Table1[[#This Row],[Sales]]*0.6,
IF(Table1[[#This Row],[Category]]="Furniture",Table1[[#This Row],[Sales]]*0.75,
IF(Table1[[#This Row],[Category]]="Clothing",Table1[[#This Row],[Sales]]*0.65,
Table1[[#This Row],[Sales]]*0.7)))</f>
        <v>9727.7999999999993</v>
      </c>
      <c r="I1240" s="11">
        <f ca="1">Table1[[#This Row],[Sales]]-H1240</f>
        <v>6485.2000000000007</v>
      </c>
      <c r="J1240" s="2">
        <f ca="1">Table1[[#This Row],[Profit]]/Table1[[#This Row],[Sales]]</f>
        <v>0.4</v>
      </c>
      <c r="K1240" t="str">
        <f ca="1">TEXT(Table1[[#This Row],[Order_Date]],"mmm")</f>
        <v>Sep</v>
      </c>
      <c r="L1240">
        <f ca="1">YEAR(Table1[[#This Row],[Order_Date]])</f>
        <v>2023</v>
      </c>
    </row>
    <row r="1241" spans="1:12" x14ac:dyDescent="0.3">
      <c r="A1241">
        <f t="shared" si="76"/>
        <v>1240</v>
      </c>
      <c r="B1241" s="1">
        <f t="shared" ca="1" si="77"/>
        <v>45133</v>
      </c>
      <c r="C1241" t="s">
        <v>10</v>
      </c>
      <c r="D1241" t="str">
        <f t="shared" ca="1" si="78"/>
        <v>Electronics</v>
      </c>
      <c r="E1241" t="s">
        <v>54</v>
      </c>
      <c r="F1241" s="11">
        <v>7973</v>
      </c>
      <c r="G1241">
        <f t="shared" ca="1" si="79"/>
        <v>9</v>
      </c>
      <c r="H1241" s="11">
        <f ca="1">IF(Table1[[#This Row],[Category]]="Electronics",Table1[[#This Row],[Sales]]*0.6,
IF(Table1[[#This Row],[Category]]="Furniture",Table1[[#This Row],[Sales]]*0.75,
IF(Table1[[#This Row],[Category]]="Clothing",Table1[[#This Row],[Sales]]*0.65,
Table1[[#This Row],[Sales]]*0.7)))</f>
        <v>4783.8</v>
      </c>
      <c r="I1241" s="11">
        <f ca="1">Table1[[#This Row],[Sales]]-H1241</f>
        <v>3189.2</v>
      </c>
      <c r="J1241" s="2">
        <f ca="1">Table1[[#This Row],[Profit]]/Table1[[#This Row],[Sales]]</f>
        <v>0.39999999999999997</v>
      </c>
      <c r="K1241" t="str">
        <f ca="1">TEXT(Table1[[#This Row],[Order_Date]],"mmm")</f>
        <v>Jul</v>
      </c>
      <c r="L1241">
        <f ca="1">YEAR(Table1[[#This Row],[Order_Date]])</f>
        <v>2023</v>
      </c>
    </row>
    <row r="1242" spans="1:12" x14ac:dyDescent="0.3">
      <c r="A1242">
        <f t="shared" si="76"/>
        <v>1241</v>
      </c>
      <c r="B1242" s="1">
        <f t="shared" ca="1" si="77"/>
        <v>45248</v>
      </c>
      <c r="C1242" t="s">
        <v>7</v>
      </c>
      <c r="D1242" t="str">
        <f t="shared" ca="1" si="78"/>
        <v>Electronics</v>
      </c>
      <c r="E1242" t="s">
        <v>82</v>
      </c>
      <c r="F1242" s="11">
        <v>15237</v>
      </c>
      <c r="G1242">
        <f t="shared" ca="1" si="79"/>
        <v>2</v>
      </c>
      <c r="H1242" s="11">
        <f ca="1">IF(Table1[[#This Row],[Category]]="Electronics",Table1[[#This Row],[Sales]]*0.6,
IF(Table1[[#This Row],[Category]]="Furniture",Table1[[#This Row],[Sales]]*0.75,
IF(Table1[[#This Row],[Category]]="Clothing",Table1[[#This Row],[Sales]]*0.65,
Table1[[#This Row],[Sales]]*0.7)))</f>
        <v>9142.1999999999989</v>
      </c>
      <c r="I1242" s="11">
        <f ca="1">Table1[[#This Row],[Sales]]-H1242</f>
        <v>6094.8000000000011</v>
      </c>
      <c r="J1242" s="2">
        <f ca="1">Table1[[#This Row],[Profit]]/Table1[[#This Row],[Sales]]</f>
        <v>0.40000000000000008</v>
      </c>
      <c r="K1242" t="str">
        <f ca="1">TEXT(Table1[[#This Row],[Order_Date]],"mmm")</f>
        <v>Nov</v>
      </c>
      <c r="L1242">
        <f ca="1">YEAR(Table1[[#This Row],[Order_Date]])</f>
        <v>2023</v>
      </c>
    </row>
    <row r="1243" spans="1:12" x14ac:dyDescent="0.3">
      <c r="A1243">
        <f t="shared" si="76"/>
        <v>1242</v>
      </c>
      <c r="B1243" s="1">
        <f t="shared" ca="1" si="77"/>
        <v>45043</v>
      </c>
      <c r="C1243" t="s">
        <v>8</v>
      </c>
      <c r="D1243" t="str">
        <f t="shared" ca="1" si="78"/>
        <v>Electronics</v>
      </c>
      <c r="E1243" t="s">
        <v>65</v>
      </c>
      <c r="F1243" s="11">
        <v>525</v>
      </c>
      <c r="G1243">
        <f t="shared" ca="1" si="79"/>
        <v>9</v>
      </c>
      <c r="H1243" s="11">
        <f ca="1">IF(Table1[[#This Row],[Category]]="Electronics",Table1[[#This Row],[Sales]]*0.6,
IF(Table1[[#This Row],[Category]]="Furniture",Table1[[#This Row],[Sales]]*0.75,
IF(Table1[[#This Row],[Category]]="Clothing",Table1[[#This Row],[Sales]]*0.65,
Table1[[#This Row],[Sales]]*0.7)))</f>
        <v>315</v>
      </c>
      <c r="I1243" s="11">
        <f ca="1">Table1[[#This Row],[Sales]]-H1243</f>
        <v>210</v>
      </c>
      <c r="J1243" s="2">
        <f ca="1">Table1[[#This Row],[Profit]]/Table1[[#This Row],[Sales]]</f>
        <v>0.4</v>
      </c>
      <c r="K1243" t="str">
        <f ca="1">TEXT(Table1[[#This Row],[Order_Date]],"mmm")</f>
        <v>Apr</v>
      </c>
      <c r="L1243">
        <f ca="1">YEAR(Table1[[#This Row],[Order_Date]])</f>
        <v>2023</v>
      </c>
    </row>
    <row r="1244" spans="1:12" x14ac:dyDescent="0.3">
      <c r="A1244">
        <f t="shared" si="76"/>
        <v>1243</v>
      </c>
      <c r="B1244" s="1">
        <f t="shared" ca="1" si="77"/>
        <v>45287</v>
      </c>
      <c r="C1244" t="s">
        <v>9</v>
      </c>
      <c r="D1244" t="str">
        <f t="shared" ca="1" si="78"/>
        <v>Electronics</v>
      </c>
      <c r="E1244" t="s">
        <v>71</v>
      </c>
      <c r="F1244" s="11">
        <v>2420</v>
      </c>
      <c r="G1244">
        <f t="shared" ca="1" si="79"/>
        <v>8</v>
      </c>
      <c r="H1244" s="11">
        <f ca="1">IF(Table1[[#This Row],[Category]]="Electronics",Table1[[#This Row],[Sales]]*0.6,
IF(Table1[[#This Row],[Category]]="Furniture",Table1[[#This Row],[Sales]]*0.75,
IF(Table1[[#This Row],[Category]]="Clothing",Table1[[#This Row],[Sales]]*0.65,
Table1[[#This Row],[Sales]]*0.7)))</f>
        <v>1452</v>
      </c>
      <c r="I1244" s="11">
        <f ca="1">Table1[[#This Row],[Sales]]-H1244</f>
        <v>968</v>
      </c>
      <c r="J1244" s="2">
        <f ca="1">Table1[[#This Row],[Profit]]/Table1[[#This Row],[Sales]]</f>
        <v>0.4</v>
      </c>
      <c r="K1244" t="str">
        <f ca="1">TEXT(Table1[[#This Row],[Order_Date]],"mmm")</f>
        <v>Dec</v>
      </c>
      <c r="L1244">
        <f ca="1">YEAR(Table1[[#This Row],[Order_Date]])</f>
        <v>2023</v>
      </c>
    </row>
    <row r="1245" spans="1:12" x14ac:dyDescent="0.3">
      <c r="A1245">
        <f t="shared" si="76"/>
        <v>1244</v>
      </c>
      <c r="B1245" s="1">
        <f t="shared" ca="1" si="77"/>
        <v>45050</v>
      </c>
      <c r="C1245" t="s">
        <v>10</v>
      </c>
      <c r="D1245" t="str">
        <f t="shared" ca="1" si="78"/>
        <v>Clothing</v>
      </c>
      <c r="E1245" t="s">
        <v>50</v>
      </c>
      <c r="F1245" s="11">
        <v>7136</v>
      </c>
      <c r="G1245">
        <f t="shared" ca="1" si="79"/>
        <v>1</v>
      </c>
      <c r="H1245" s="11">
        <f ca="1">IF(Table1[[#This Row],[Category]]="Electronics",Table1[[#This Row],[Sales]]*0.6,
IF(Table1[[#This Row],[Category]]="Furniture",Table1[[#This Row],[Sales]]*0.75,
IF(Table1[[#This Row],[Category]]="Clothing",Table1[[#This Row],[Sales]]*0.65,
Table1[[#This Row],[Sales]]*0.7)))</f>
        <v>4638.4000000000005</v>
      </c>
      <c r="I1245" s="11">
        <f ca="1">Table1[[#This Row],[Sales]]-H1245</f>
        <v>2497.5999999999995</v>
      </c>
      <c r="J1245" s="2">
        <f ca="1">Table1[[#This Row],[Profit]]/Table1[[#This Row],[Sales]]</f>
        <v>0.34999999999999992</v>
      </c>
      <c r="K1245" t="str">
        <f ca="1">TEXT(Table1[[#This Row],[Order_Date]],"mmm")</f>
        <v>May</v>
      </c>
      <c r="L1245">
        <f ca="1">YEAR(Table1[[#This Row],[Order_Date]])</f>
        <v>2023</v>
      </c>
    </row>
    <row r="1246" spans="1:12" x14ac:dyDescent="0.3">
      <c r="A1246">
        <f t="shared" si="76"/>
        <v>1245</v>
      </c>
      <c r="B1246" s="1">
        <f t="shared" ca="1" si="77"/>
        <v>45022</v>
      </c>
      <c r="C1246" t="s">
        <v>7</v>
      </c>
      <c r="D1246" t="str">
        <f t="shared" ca="1" si="78"/>
        <v>Clothing</v>
      </c>
      <c r="E1246" t="s">
        <v>54</v>
      </c>
      <c r="F1246" s="11">
        <v>9738</v>
      </c>
      <c r="G1246">
        <f t="shared" ca="1" si="79"/>
        <v>1</v>
      </c>
      <c r="H1246" s="11">
        <f ca="1">IF(Table1[[#This Row],[Category]]="Electronics",Table1[[#This Row],[Sales]]*0.6,
IF(Table1[[#This Row],[Category]]="Furniture",Table1[[#This Row],[Sales]]*0.75,
IF(Table1[[#This Row],[Category]]="Clothing",Table1[[#This Row],[Sales]]*0.65,
Table1[[#This Row],[Sales]]*0.7)))</f>
        <v>6329.7</v>
      </c>
      <c r="I1246" s="11">
        <f ca="1">Table1[[#This Row],[Sales]]-H1246</f>
        <v>3408.3</v>
      </c>
      <c r="J1246" s="2">
        <f ca="1">Table1[[#This Row],[Profit]]/Table1[[#This Row],[Sales]]</f>
        <v>0.35000000000000003</v>
      </c>
      <c r="K1246" t="str">
        <f ca="1">TEXT(Table1[[#This Row],[Order_Date]],"mmm")</f>
        <v>Apr</v>
      </c>
      <c r="L1246">
        <f ca="1">YEAR(Table1[[#This Row],[Order_Date]])</f>
        <v>2023</v>
      </c>
    </row>
    <row r="1247" spans="1:12" x14ac:dyDescent="0.3">
      <c r="A1247">
        <f t="shared" si="76"/>
        <v>1246</v>
      </c>
      <c r="B1247" s="1">
        <f t="shared" ca="1" si="77"/>
        <v>44936</v>
      </c>
      <c r="C1247" t="s">
        <v>8</v>
      </c>
      <c r="D1247" t="str">
        <f t="shared" ca="1" si="78"/>
        <v>Office Supplies</v>
      </c>
      <c r="E1247" t="s">
        <v>45</v>
      </c>
      <c r="F1247" s="11">
        <v>13979</v>
      </c>
      <c r="G1247">
        <f t="shared" ca="1" si="79"/>
        <v>1</v>
      </c>
      <c r="H1247" s="11">
        <f ca="1">IF(Table1[[#This Row],[Category]]="Electronics",Table1[[#This Row],[Sales]]*0.6,
IF(Table1[[#This Row],[Category]]="Furniture",Table1[[#This Row],[Sales]]*0.75,
IF(Table1[[#This Row],[Category]]="Clothing",Table1[[#This Row],[Sales]]*0.65,
Table1[[#This Row],[Sales]]*0.7)))</f>
        <v>9785.2999999999993</v>
      </c>
      <c r="I1247" s="11">
        <f ca="1">Table1[[#This Row],[Sales]]-H1247</f>
        <v>4193.7000000000007</v>
      </c>
      <c r="J1247" s="2">
        <f ca="1">Table1[[#This Row],[Profit]]/Table1[[#This Row],[Sales]]</f>
        <v>0.30000000000000004</v>
      </c>
      <c r="K1247" t="str">
        <f ca="1">TEXT(Table1[[#This Row],[Order_Date]],"mmm")</f>
        <v>Jan</v>
      </c>
      <c r="L1247">
        <f ca="1">YEAR(Table1[[#This Row],[Order_Date]])</f>
        <v>2023</v>
      </c>
    </row>
    <row r="1248" spans="1:12" x14ac:dyDescent="0.3">
      <c r="A1248">
        <f t="shared" si="76"/>
        <v>1247</v>
      </c>
      <c r="B1248" s="1">
        <f t="shared" ca="1" si="77"/>
        <v>45109</v>
      </c>
      <c r="C1248" t="s">
        <v>9</v>
      </c>
      <c r="D1248" t="str">
        <f t="shared" ca="1" si="78"/>
        <v>Electronics</v>
      </c>
      <c r="E1248" t="s">
        <v>75</v>
      </c>
      <c r="F1248" s="11">
        <v>1352</v>
      </c>
      <c r="G1248">
        <f t="shared" ca="1" si="79"/>
        <v>2</v>
      </c>
      <c r="H1248" s="11">
        <f ca="1">IF(Table1[[#This Row],[Category]]="Electronics",Table1[[#This Row],[Sales]]*0.6,
IF(Table1[[#This Row],[Category]]="Furniture",Table1[[#This Row],[Sales]]*0.75,
IF(Table1[[#This Row],[Category]]="Clothing",Table1[[#This Row],[Sales]]*0.65,
Table1[[#This Row],[Sales]]*0.7)))</f>
        <v>811.19999999999993</v>
      </c>
      <c r="I1248" s="11">
        <f ca="1">Table1[[#This Row],[Sales]]-H1248</f>
        <v>540.80000000000007</v>
      </c>
      <c r="J1248" s="2">
        <f ca="1">Table1[[#This Row],[Profit]]/Table1[[#This Row],[Sales]]</f>
        <v>0.40000000000000008</v>
      </c>
      <c r="K1248" t="str">
        <f ca="1">TEXT(Table1[[#This Row],[Order_Date]],"mmm")</f>
        <v>Jul</v>
      </c>
      <c r="L1248">
        <f ca="1">YEAR(Table1[[#This Row],[Order_Date]])</f>
        <v>2023</v>
      </c>
    </row>
    <row r="1249" spans="1:12" x14ac:dyDescent="0.3">
      <c r="A1249">
        <f t="shared" si="76"/>
        <v>1248</v>
      </c>
      <c r="B1249" s="1">
        <f t="shared" ca="1" si="77"/>
        <v>45023</v>
      </c>
      <c r="C1249" t="s">
        <v>10</v>
      </c>
      <c r="D1249" t="str">
        <f t="shared" ca="1" si="78"/>
        <v>Clothing</v>
      </c>
      <c r="E1249" t="s">
        <v>52</v>
      </c>
      <c r="F1249" s="11">
        <v>16407</v>
      </c>
      <c r="G1249">
        <f t="shared" ca="1" si="79"/>
        <v>3</v>
      </c>
      <c r="H1249" s="11">
        <f ca="1">IF(Table1[[#This Row],[Category]]="Electronics",Table1[[#This Row],[Sales]]*0.6,
IF(Table1[[#This Row],[Category]]="Furniture",Table1[[#This Row],[Sales]]*0.75,
IF(Table1[[#This Row],[Category]]="Clothing",Table1[[#This Row],[Sales]]*0.65,
Table1[[#This Row],[Sales]]*0.7)))</f>
        <v>10664.550000000001</v>
      </c>
      <c r="I1249" s="11">
        <f ca="1">Table1[[#This Row],[Sales]]-H1249</f>
        <v>5742.4499999999989</v>
      </c>
      <c r="J1249" s="2">
        <f ca="1">Table1[[#This Row],[Profit]]/Table1[[#This Row],[Sales]]</f>
        <v>0.34999999999999992</v>
      </c>
      <c r="K1249" t="str">
        <f ca="1">TEXT(Table1[[#This Row],[Order_Date]],"mmm")</f>
        <v>Apr</v>
      </c>
      <c r="L1249">
        <f ca="1">YEAR(Table1[[#This Row],[Order_Date]])</f>
        <v>2023</v>
      </c>
    </row>
    <row r="1250" spans="1:12" x14ac:dyDescent="0.3">
      <c r="A1250">
        <f t="shared" si="76"/>
        <v>1249</v>
      </c>
      <c r="B1250" s="1">
        <f t="shared" ca="1" si="77"/>
        <v>44968</v>
      </c>
      <c r="C1250" t="s">
        <v>7</v>
      </c>
      <c r="D1250" t="str">
        <f t="shared" ca="1" si="78"/>
        <v>Electronics</v>
      </c>
      <c r="E1250" t="s">
        <v>66</v>
      </c>
      <c r="F1250" s="11">
        <v>1123</v>
      </c>
      <c r="G1250">
        <f t="shared" ca="1" si="79"/>
        <v>8</v>
      </c>
      <c r="H1250" s="11">
        <f ca="1">IF(Table1[[#This Row],[Category]]="Electronics",Table1[[#This Row],[Sales]]*0.6,
IF(Table1[[#This Row],[Category]]="Furniture",Table1[[#This Row],[Sales]]*0.75,
IF(Table1[[#This Row],[Category]]="Clothing",Table1[[#This Row],[Sales]]*0.65,
Table1[[#This Row],[Sales]]*0.7)))</f>
        <v>673.8</v>
      </c>
      <c r="I1250" s="11">
        <f ca="1">Table1[[#This Row],[Sales]]-H1250</f>
        <v>449.20000000000005</v>
      </c>
      <c r="J1250" s="2">
        <f ca="1">Table1[[#This Row],[Profit]]/Table1[[#This Row],[Sales]]</f>
        <v>0.4</v>
      </c>
      <c r="K1250" t="str">
        <f ca="1">TEXT(Table1[[#This Row],[Order_Date]],"mmm")</f>
        <v>Feb</v>
      </c>
      <c r="L1250">
        <f ca="1">YEAR(Table1[[#This Row],[Order_Date]])</f>
        <v>2023</v>
      </c>
    </row>
    <row r="1251" spans="1:12" x14ac:dyDescent="0.3">
      <c r="A1251">
        <f t="shared" si="76"/>
        <v>1250</v>
      </c>
      <c r="B1251" s="1">
        <f t="shared" ca="1" si="77"/>
        <v>44997</v>
      </c>
      <c r="C1251" t="s">
        <v>8</v>
      </c>
      <c r="D1251" t="str">
        <f t="shared" ca="1" si="78"/>
        <v>Electronics</v>
      </c>
      <c r="E1251" t="s">
        <v>60</v>
      </c>
      <c r="F1251" s="11">
        <v>17440</v>
      </c>
      <c r="G1251">
        <f t="shared" ca="1" si="79"/>
        <v>7</v>
      </c>
      <c r="H1251" s="11">
        <f ca="1">IF(Table1[[#This Row],[Category]]="Electronics",Table1[[#This Row],[Sales]]*0.6,
IF(Table1[[#This Row],[Category]]="Furniture",Table1[[#This Row],[Sales]]*0.75,
IF(Table1[[#This Row],[Category]]="Clothing",Table1[[#This Row],[Sales]]*0.65,
Table1[[#This Row],[Sales]]*0.7)))</f>
        <v>10464</v>
      </c>
      <c r="I1251" s="11">
        <f ca="1">Table1[[#This Row],[Sales]]-H1251</f>
        <v>6976</v>
      </c>
      <c r="J1251" s="2">
        <f ca="1">Table1[[#This Row],[Profit]]/Table1[[#This Row],[Sales]]</f>
        <v>0.4</v>
      </c>
      <c r="K1251" t="str">
        <f ca="1">TEXT(Table1[[#This Row],[Order_Date]],"mmm")</f>
        <v>Mar</v>
      </c>
      <c r="L1251">
        <f ca="1">YEAR(Table1[[#This Row],[Order_Date]])</f>
        <v>2023</v>
      </c>
    </row>
    <row r="1252" spans="1:12" x14ac:dyDescent="0.3">
      <c r="A1252">
        <f t="shared" si="76"/>
        <v>1251</v>
      </c>
      <c r="B1252" s="1">
        <f t="shared" ca="1" si="77"/>
        <v>45197</v>
      </c>
      <c r="C1252" t="s">
        <v>9</v>
      </c>
      <c r="D1252" t="str">
        <f t="shared" ca="1" si="78"/>
        <v>Electronics</v>
      </c>
      <c r="E1252" t="s">
        <v>83</v>
      </c>
      <c r="F1252" s="11">
        <v>7041</v>
      </c>
      <c r="G1252">
        <f t="shared" ca="1" si="79"/>
        <v>5</v>
      </c>
      <c r="H1252" s="11">
        <f ca="1">IF(Table1[[#This Row],[Category]]="Electronics",Table1[[#This Row],[Sales]]*0.6,
IF(Table1[[#This Row],[Category]]="Furniture",Table1[[#This Row],[Sales]]*0.75,
IF(Table1[[#This Row],[Category]]="Clothing",Table1[[#This Row],[Sales]]*0.65,
Table1[[#This Row],[Sales]]*0.7)))</f>
        <v>4224.5999999999995</v>
      </c>
      <c r="I1252" s="11">
        <f ca="1">Table1[[#This Row],[Sales]]-H1252</f>
        <v>2816.4000000000005</v>
      </c>
      <c r="J1252" s="2">
        <f ca="1">Table1[[#This Row],[Profit]]/Table1[[#This Row],[Sales]]</f>
        <v>0.40000000000000008</v>
      </c>
      <c r="K1252" t="str">
        <f ca="1">TEXT(Table1[[#This Row],[Order_Date]],"mmm")</f>
        <v>Sep</v>
      </c>
      <c r="L1252">
        <f ca="1">YEAR(Table1[[#This Row],[Order_Date]])</f>
        <v>2023</v>
      </c>
    </row>
    <row r="1253" spans="1:12" x14ac:dyDescent="0.3">
      <c r="A1253">
        <f t="shared" si="76"/>
        <v>1252</v>
      </c>
      <c r="B1253" s="1">
        <f t="shared" ca="1" si="77"/>
        <v>45117</v>
      </c>
      <c r="C1253" t="s">
        <v>10</v>
      </c>
      <c r="D1253" t="str">
        <f t="shared" ca="1" si="78"/>
        <v>Office Supplies</v>
      </c>
      <c r="E1253" t="s">
        <v>57</v>
      </c>
      <c r="F1253" s="11">
        <v>8448</v>
      </c>
      <c r="G1253">
        <f t="shared" ca="1" si="79"/>
        <v>6</v>
      </c>
      <c r="H1253" s="11">
        <f ca="1">IF(Table1[[#This Row],[Category]]="Electronics",Table1[[#This Row],[Sales]]*0.6,
IF(Table1[[#This Row],[Category]]="Furniture",Table1[[#This Row],[Sales]]*0.75,
IF(Table1[[#This Row],[Category]]="Clothing",Table1[[#This Row],[Sales]]*0.65,
Table1[[#This Row],[Sales]]*0.7)))</f>
        <v>5913.5999999999995</v>
      </c>
      <c r="I1253" s="11">
        <f ca="1">Table1[[#This Row],[Sales]]-H1253</f>
        <v>2534.4000000000005</v>
      </c>
      <c r="J1253" s="2">
        <f ca="1">Table1[[#This Row],[Profit]]/Table1[[#This Row],[Sales]]</f>
        <v>0.30000000000000004</v>
      </c>
      <c r="K1253" t="str">
        <f ca="1">TEXT(Table1[[#This Row],[Order_Date]],"mmm")</f>
        <v>Jul</v>
      </c>
      <c r="L1253">
        <f ca="1">YEAR(Table1[[#This Row],[Order_Date]])</f>
        <v>2023</v>
      </c>
    </row>
    <row r="1254" spans="1:12" x14ac:dyDescent="0.3">
      <c r="A1254">
        <f t="shared" si="76"/>
        <v>1253</v>
      </c>
      <c r="B1254" s="1">
        <f t="shared" ca="1" si="77"/>
        <v>45232</v>
      </c>
      <c r="C1254" t="s">
        <v>7</v>
      </c>
      <c r="D1254" t="str">
        <f t="shared" ca="1" si="78"/>
        <v>Clothing</v>
      </c>
      <c r="E1254" t="s">
        <v>58</v>
      </c>
      <c r="F1254" s="11">
        <v>10968</v>
      </c>
      <c r="G1254">
        <f t="shared" ca="1" si="79"/>
        <v>7</v>
      </c>
      <c r="H1254" s="11">
        <f ca="1">IF(Table1[[#This Row],[Category]]="Electronics",Table1[[#This Row],[Sales]]*0.6,
IF(Table1[[#This Row],[Category]]="Furniture",Table1[[#This Row],[Sales]]*0.75,
IF(Table1[[#This Row],[Category]]="Clothing",Table1[[#This Row],[Sales]]*0.65,
Table1[[#This Row],[Sales]]*0.7)))</f>
        <v>7129.2</v>
      </c>
      <c r="I1254" s="11">
        <f ca="1">Table1[[#This Row],[Sales]]-H1254</f>
        <v>3838.8</v>
      </c>
      <c r="J1254" s="2">
        <f ca="1">Table1[[#This Row],[Profit]]/Table1[[#This Row],[Sales]]</f>
        <v>0.35000000000000003</v>
      </c>
      <c r="K1254" t="str">
        <f ca="1">TEXT(Table1[[#This Row],[Order_Date]],"mmm")</f>
        <v>Nov</v>
      </c>
      <c r="L1254">
        <f ca="1">YEAR(Table1[[#This Row],[Order_Date]])</f>
        <v>2023</v>
      </c>
    </row>
    <row r="1255" spans="1:12" x14ac:dyDescent="0.3">
      <c r="A1255">
        <f t="shared" si="76"/>
        <v>1254</v>
      </c>
      <c r="B1255" s="1">
        <f t="shared" ca="1" si="77"/>
        <v>44936</v>
      </c>
      <c r="C1255" t="s">
        <v>8</v>
      </c>
      <c r="D1255" t="str">
        <f t="shared" ca="1" si="78"/>
        <v>Furniture</v>
      </c>
      <c r="E1255" t="s">
        <v>64</v>
      </c>
      <c r="F1255" s="11">
        <v>6957</v>
      </c>
      <c r="G1255">
        <f t="shared" ca="1" si="79"/>
        <v>9</v>
      </c>
      <c r="H1255" s="11">
        <f ca="1">IF(Table1[[#This Row],[Category]]="Electronics",Table1[[#This Row],[Sales]]*0.6,
IF(Table1[[#This Row],[Category]]="Furniture",Table1[[#This Row],[Sales]]*0.75,
IF(Table1[[#This Row],[Category]]="Clothing",Table1[[#This Row],[Sales]]*0.65,
Table1[[#This Row],[Sales]]*0.7)))</f>
        <v>5217.75</v>
      </c>
      <c r="I1255" s="11">
        <f ca="1">Table1[[#This Row],[Sales]]-H1255</f>
        <v>1739.25</v>
      </c>
      <c r="J1255" s="2">
        <f ca="1">Table1[[#This Row],[Profit]]/Table1[[#This Row],[Sales]]</f>
        <v>0.25</v>
      </c>
      <c r="K1255" t="str">
        <f ca="1">TEXT(Table1[[#This Row],[Order_Date]],"mmm")</f>
        <v>Jan</v>
      </c>
      <c r="L1255">
        <f ca="1">YEAR(Table1[[#This Row],[Order_Date]])</f>
        <v>2023</v>
      </c>
    </row>
    <row r="1256" spans="1:12" x14ac:dyDescent="0.3">
      <c r="A1256">
        <f t="shared" si="76"/>
        <v>1255</v>
      </c>
      <c r="B1256" s="1">
        <f t="shared" ca="1" si="77"/>
        <v>45027</v>
      </c>
      <c r="C1256" t="s">
        <v>9</v>
      </c>
      <c r="D1256" t="str">
        <f t="shared" ca="1" si="78"/>
        <v>Office Supplies</v>
      </c>
      <c r="E1256" t="s">
        <v>85</v>
      </c>
      <c r="F1256" s="11">
        <v>3162</v>
      </c>
      <c r="G1256">
        <f t="shared" ca="1" si="79"/>
        <v>10</v>
      </c>
      <c r="H1256" s="11">
        <f ca="1">IF(Table1[[#This Row],[Category]]="Electronics",Table1[[#This Row],[Sales]]*0.6,
IF(Table1[[#This Row],[Category]]="Furniture",Table1[[#This Row],[Sales]]*0.75,
IF(Table1[[#This Row],[Category]]="Clothing",Table1[[#This Row],[Sales]]*0.65,
Table1[[#This Row],[Sales]]*0.7)))</f>
        <v>2213.3999999999996</v>
      </c>
      <c r="I1256" s="11">
        <f ca="1">Table1[[#This Row],[Sales]]-H1256</f>
        <v>948.60000000000036</v>
      </c>
      <c r="J1256" s="2">
        <f ca="1">Table1[[#This Row],[Profit]]/Table1[[#This Row],[Sales]]</f>
        <v>0.3000000000000001</v>
      </c>
      <c r="K1256" t="str">
        <f ca="1">TEXT(Table1[[#This Row],[Order_Date]],"mmm")</f>
        <v>Apr</v>
      </c>
      <c r="L1256">
        <f ca="1">YEAR(Table1[[#This Row],[Order_Date]])</f>
        <v>2023</v>
      </c>
    </row>
    <row r="1257" spans="1:12" x14ac:dyDescent="0.3">
      <c r="A1257">
        <f t="shared" si="76"/>
        <v>1256</v>
      </c>
      <c r="B1257" s="1">
        <f t="shared" ca="1" si="77"/>
        <v>45092</v>
      </c>
      <c r="C1257" t="s">
        <v>10</v>
      </c>
      <c r="D1257" t="str">
        <f t="shared" ca="1" si="78"/>
        <v>Clothing</v>
      </c>
      <c r="E1257" t="s">
        <v>65</v>
      </c>
      <c r="F1257" s="11">
        <v>11418</v>
      </c>
      <c r="G1257">
        <f t="shared" ca="1" si="79"/>
        <v>2</v>
      </c>
      <c r="H1257" s="11">
        <f ca="1">IF(Table1[[#This Row],[Category]]="Electronics",Table1[[#This Row],[Sales]]*0.6,
IF(Table1[[#This Row],[Category]]="Furniture",Table1[[#This Row],[Sales]]*0.75,
IF(Table1[[#This Row],[Category]]="Clothing",Table1[[#This Row],[Sales]]*0.65,
Table1[[#This Row],[Sales]]*0.7)))</f>
        <v>7421.7</v>
      </c>
      <c r="I1257" s="11">
        <f ca="1">Table1[[#This Row],[Sales]]-H1257</f>
        <v>3996.3</v>
      </c>
      <c r="J1257" s="2">
        <f ca="1">Table1[[#This Row],[Profit]]/Table1[[#This Row],[Sales]]</f>
        <v>0.35000000000000003</v>
      </c>
      <c r="K1257" t="str">
        <f ca="1">TEXT(Table1[[#This Row],[Order_Date]],"mmm")</f>
        <v>Jun</v>
      </c>
      <c r="L1257">
        <f ca="1">YEAR(Table1[[#This Row],[Order_Date]])</f>
        <v>2023</v>
      </c>
    </row>
    <row r="1258" spans="1:12" x14ac:dyDescent="0.3">
      <c r="A1258">
        <f t="shared" si="76"/>
        <v>1257</v>
      </c>
      <c r="B1258" s="1">
        <f t="shared" ca="1" si="77"/>
        <v>45200</v>
      </c>
      <c r="C1258" t="s">
        <v>7</v>
      </c>
      <c r="D1258" t="str">
        <f t="shared" ca="1" si="78"/>
        <v>Office Supplies</v>
      </c>
      <c r="E1258" t="s">
        <v>60</v>
      </c>
      <c r="F1258" s="11">
        <v>4559</v>
      </c>
      <c r="G1258">
        <f t="shared" ca="1" si="79"/>
        <v>7</v>
      </c>
      <c r="H1258" s="11">
        <f ca="1">IF(Table1[[#This Row],[Category]]="Electronics",Table1[[#This Row],[Sales]]*0.6,
IF(Table1[[#This Row],[Category]]="Furniture",Table1[[#This Row],[Sales]]*0.75,
IF(Table1[[#This Row],[Category]]="Clothing",Table1[[#This Row],[Sales]]*0.65,
Table1[[#This Row],[Sales]]*0.7)))</f>
        <v>3191.2999999999997</v>
      </c>
      <c r="I1258" s="11">
        <f ca="1">Table1[[#This Row],[Sales]]-H1258</f>
        <v>1367.7000000000003</v>
      </c>
      <c r="J1258" s="2">
        <f ca="1">Table1[[#This Row],[Profit]]/Table1[[#This Row],[Sales]]</f>
        <v>0.30000000000000004</v>
      </c>
      <c r="K1258" t="str">
        <f ca="1">TEXT(Table1[[#This Row],[Order_Date]],"mmm")</f>
        <v>Oct</v>
      </c>
      <c r="L1258">
        <f ca="1">YEAR(Table1[[#This Row],[Order_Date]])</f>
        <v>2023</v>
      </c>
    </row>
    <row r="1259" spans="1:12" x14ac:dyDescent="0.3">
      <c r="A1259">
        <f t="shared" si="76"/>
        <v>1258</v>
      </c>
      <c r="B1259" s="1">
        <f t="shared" ca="1" si="77"/>
        <v>45158</v>
      </c>
      <c r="C1259" t="s">
        <v>8</v>
      </c>
      <c r="D1259" t="str">
        <f t="shared" ca="1" si="78"/>
        <v>Electronics</v>
      </c>
      <c r="E1259" t="s">
        <v>80</v>
      </c>
      <c r="F1259" s="11">
        <v>4183</v>
      </c>
      <c r="G1259">
        <f t="shared" ca="1" si="79"/>
        <v>1</v>
      </c>
      <c r="H1259" s="11">
        <f ca="1">IF(Table1[[#This Row],[Category]]="Electronics",Table1[[#This Row],[Sales]]*0.6,
IF(Table1[[#This Row],[Category]]="Furniture",Table1[[#This Row],[Sales]]*0.75,
IF(Table1[[#This Row],[Category]]="Clothing",Table1[[#This Row],[Sales]]*0.65,
Table1[[#This Row],[Sales]]*0.7)))</f>
        <v>2509.7999999999997</v>
      </c>
      <c r="I1259" s="11">
        <f ca="1">Table1[[#This Row],[Sales]]-H1259</f>
        <v>1673.2000000000003</v>
      </c>
      <c r="J1259" s="2">
        <f ca="1">Table1[[#This Row],[Profit]]/Table1[[#This Row],[Sales]]</f>
        <v>0.40000000000000008</v>
      </c>
      <c r="K1259" t="str">
        <f ca="1">TEXT(Table1[[#This Row],[Order_Date]],"mmm")</f>
        <v>Aug</v>
      </c>
      <c r="L1259">
        <f ca="1">YEAR(Table1[[#This Row],[Order_Date]])</f>
        <v>2023</v>
      </c>
    </row>
    <row r="1260" spans="1:12" x14ac:dyDescent="0.3">
      <c r="A1260">
        <f t="shared" si="76"/>
        <v>1259</v>
      </c>
      <c r="B1260" s="1">
        <f t="shared" ca="1" si="77"/>
        <v>44945</v>
      </c>
      <c r="C1260" t="s">
        <v>9</v>
      </c>
      <c r="D1260" t="str">
        <f t="shared" ca="1" si="78"/>
        <v>Electronics</v>
      </c>
      <c r="E1260" t="s">
        <v>58</v>
      </c>
      <c r="F1260" s="11">
        <v>3686</v>
      </c>
      <c r="G1260">
        <f t="shared" ca="1" si="79"/>
        <v>3</v>
      </c>
      <c r="H1260" s="11">
        <f ca="1">IF(Table1[[#This Row],[Category]]="Electronics",Table1[[#This Row],[Sales]]*0.6,
IF(Table1[[#This Row],[Category]]="Furniture",Table1[[#This Row],[Sales]]*0.75,
IF(Table1[[#This Row],[Category]]="Clothing",Table1[[#This Row],[Sales]]*0.65,
Table1[[#This Row],[Sales]]*0.7)))</f>
        <v>2211.6</v>
      </c>
      <c r="I1260" s="11">
        <f ca="1">Table1[[#This Row],[Sales]]-H1260</f>
        <v>1474.4</v>
      </c>
      <c r="J1260" s="2">
        <f ca="1">Table1[[#This Row],[Profit]]/Table1[[#This Row],[Sales]]</f>
        <v>0.4</v>
      </c>
      <c r="K1260" t="str">
        <f ca="1">TEXT(Table1[[#This Row],[Order_Date]],"mmm")</f>
        <v>Jan</v>
      </c>
      <c r="L1260">
        <f ca="1">YEAR(Table1[[#This Row],[Order_Date]])</f>
        <v>2023</v>
      </c>
    </row>
    <row r="1261" spans="1:12" x14ac:dyDescent="0.3">
      <c r="A1261">
        <f t="shared" si="76"/>
        <v>1260</v>
      </c>
      <c r="B1261" s="1">
        <f t="shared" ca="1" si="77"/>
        <v>45208</v>
      </c>
      <c r="C1261" t="s">
        <v>10</v>
      </c>
      <c r="D1261" t="str">
        <f t="shared" ca="1" si="78"/>
        <v>Furniture</v>
      </c>
      <c r="E1261" t="s">
        <v>37</v>
      </c>
      <c r="F1261" s="11">
        <v>13932</v>
      </c>
      <c r="G1261">
        <f t="shared" ca="1" si="79"/>
        <v>6</v>
      </c>
      <c r="H1261" s="11">
        <f ca="1">IF(Table1[[#This Row],[Category]]="Electronics",Table1[[#This Row],[Sales]]*0.6,
IF(Table1[[#This Row],[Category]]="Furniture",Table1[[#This Row],[Sales]]*0.75,
IF(Table1[[#This Row],[Category]]="Clothing",Table1[[#This Row],[Sales]]*0.65,
Table1[[#This Row],[Sales]]*0.7)))</f>
        <v>10449</v>
      </c>
      <c r="I1261" s="11">
        <f ca="1">Table1[[#This Row],[Sales]]-H1261</f>
        <v>3483</v>
      </c>
      <c r="J1261" s="2">
        <f ca="1">Table1[[#This Row],[Profit]]/Table1[[#This Row],[Sales]]</f>
        <v>0.25</v>
      </c>
      <c r="K1261" t="str">
        <f ca="1">TEXT(Table1[[#This Row],[Order_Date]],"mmm")</f>
        <v>Oct</v>
      </c>
      <c r="L1261">
        <f ca="1">YEAR(Table1[[#This Row],[Order_Date]])</f>
        <v>2023</v>
      </c>
    </row>
    <row r="1262" spans="1:12" x14ac:dyDescent="0.3">
      <c r="A1262">
        <f t="shared" si="76"/>
        <v>1261</v>
      </c>
      <c r="B1262" s="1">
        <f t="shared" ca="1" si="77"/>
        <v>44993</v>
      </c>
      <c r="C1262" t="s">
        <v>7</v>
      </c>
      <c r="D1262" t="str">
        <f t="shared" ca="1" si="78"/>
        <v>Furniture</v>
      </c>
      <c r="E1262" t="s">
        <v>80</v>
      </c>
      <c r="F1262" s="11">
        <v>6050</v>
      </c>
      <c r="G1262">
        <f t="shared" ca="1" si="79"/>
        <v>4</v>
      </c>
      <c r="H1262" s="11">
        <f ca="1">IF(Table1[[#This Row],[Category]]="Electronics",Table1[[#This Row],[Sales]]*0.6,
IF(Table1[[#This Row],[Category]]="Furniture",Table1[[#This Row],[Sales]]*0.75,
IF(Table1[[#This Row],[Category]]="Clothing",Table1[[#This Row],[Sales]]*0.65,
Table1[[#This Row],[Sales]]*0.7)))</f>
        <v>4537.5</v>
      </c>
      <c r="I1262" s="11">
        <f ca="1">Table1[[#This Row],[Sales]]-H1262</f>
        <v>1512.5</v>
      </c>
      <c r="J1262" s="2">
        <f ca="1">Table1[[#This Row],[Profit]]/Table1[[#This Row],[Sales]]</f>
        <v>0.25</v>
      </c>
      <c r="K1262" t="str">
        <f ca="1">TEXT(Table1[[#This Row],[Order_Date]],"mmm")</f>
        <v>Mar</v>
      </c>
      <c r="L1262">
        <f ca="1">YEAR(Table1[[#This Row],[Order_Date]])</f>
        <v>2023</v>
      </c>
    </row>
    <row r="1263" spans="1:12" x14ac:dyDescent="0.3">
      <c r="A1263">
        <f t="shared" si="76"/>
        <v>1262</v>
      </c>
      <c r="B1263" s="1">
        <f t="shared" ca="1" si="77"/>
        <v>45062</v>
      </c>
      <c r="C1263" t="s">
        <v>8</v>
      </c>
      <c r="D1263" t="str">
        <f t="shared" ca="1" si="78"/>
        <v>Electronics</v>
      </c>
      <c r="E1263" t="s">
        <v>71</v>
      </c>
      <c r="F1263" s="11">
        <v>16486</v>
      </c>
      <c r="G1263">
        <f t="shared" ca="1" si="79"/>
        <v>2</v>
      </c>
      <c r="H1263" s="11">
        <f ca="1">IF(Table1[[#This Row],[Category]]="Electronics",Table1[[#This Row],[Sales]]*0.6,
IF(Table1[[#This Row],[Category]]="Furniture",Table1[[#This Row],[Sales]]*0.75,
IF(Table1[[#This Row],[Category]]="Clothing",Table1[[#This Row],[Sales]]*0.65,
Table1[[#This Row],[Sales]]*0.7)))</f>
        <v>9891.6</v>
      </c>
      <c r="I1263" s="11">
        <f ca="1">Table1[[#This Row],[Sales]]-H1263</f>
        <v>6594.4</v>
      </c>
      <c r="J1263" s="2">
        <f ca="1">Table1[[#This Row],[Profit]]/Table1[[#This Row],[Sales]]</f>
        <v>0.39999999999999997</v>
      </c>
      <c r="K1263" t="str">
        <f ca="1">TEXT(Table1[[#This Row],[Order_Date]],"mmm")</f>
        <v>May</v>
      </c>
      <c r="L1263">
        <f ca="1">YEAR(Table1[[#This Row],[Order_Date]])</f>
        <v>2023</v>
      </c>
    </row>
    <row r="1264" spans="1:12" x14ac:dyDescent="0.3">
      <c r="A1264">
        <f t="shared" si="76"/>
        <v>1263</v>
      </c>
      <c r="B1264" s="1">
        <f t="shared" ca="1" si="77"/>
        <v>45108</v>
      </c>
      <c r="C1264" t="s">
        <v>9</v>
      </c>
      <c r="D1264" t="str">
        <f t="shared" ca="1" si="78"/>
        <v>Furniture</v>
      </c>
      <c r="E1264" t="s">
        <v>62</v>
      </c>
      <c r="F1264" s="11">
        <v>11636</v>
      </c>
      <c r="G1264">
        <f t="shared" ca="1" si="79"/>
        <v>5</v>
      </c>
      <c r="H1264" s="11">
        <f ca="1">IF(Table1[[#This Row],[Category]]="Electronics",Table1[[#This Row],[Sales]]*0.6,
IF(Table1[[#This Row],[Category]]="Furniture",Table1[[#This Row],[Sales]]*0.75,
IF(Table1[[#This Row],[Category]]="Clothing",Table1[[#This Row],[Sales]]*0.65,
Table1[[#This Row],[Sales]]*0.7)))</f>
        <v>8727</v>
      </c>
      <c r="I1264" s="11">
        <f ca="1">Table1[[#This Row],[Sales]]-H1264</f>
        <v>2909</v>
      </c>
      <c r="J1264" s="2">
        <f ca="1">Table1[[#This Row],[Profit]]/Table1[[#This Row],[Sales]]</f>
        <v>0.25</v>
      </c>
      <c r="K1264" t="str">
        <f ca="1">TEXT(Table1[[#This Row],[Order_Date]],"mmm")</f>
        <v>Jul</v>
      </c>
      <c r="L1264">
        <f ca="1">YEAR(Table1[[#This Row],[Order_Date]])</f>
        <v>2023</v>
      </c>
    </row>
    <row r="1265" spans="1:12" x14ac:dyDescent="0.3">
      <c r="A1265">
        <f t="shared" si="76"/>
        <v>1264</v>
      </c>
      <c r="B1265" s="1">
        <f t="shared" ca="1" si="77"/>
        <v>45165</v>
      </c>
      <c r="C1265" t="s">
        <v>10</v>
      </c>
      <c r="D1265" t="str">
        <f t="shared" ca="1" si="78"/>
        <v>Electronics</v>
      </c>
      <c r="E1265" t="s">
        <v>73</v>
      </c>
      <c r="F1265" s="11">
        <v>16123</v>
      </c>
      <c r="G1265">
        <f t="shared" ca="1" si="79"/>
        <v>2</v>
      </c>
      <c r="H1265" s="11">
        <f ca="1">IF(Table1[[#This Row],[Category]]="Electronics",Table1[[#This Row],[Sales]]*0.6,
IF(Table1[[#This Row],[Category]]="Furniture",Table1[[#This Row],[Sales]]*0.75,
IF(Table1[[#This Row],[Category]]="Clothing",Table1[[#This Row],[Sales]]*0.65,
Table1[[#This Row],[Sales]]*0.7)))</f>
        <v>9673.7999999999993</v>
      </c>
      <c r="I1265" s="11">
        <f ca="1">Table1[[#This Row],[Sales]]-H1265</f>
        <v>6449.2000000000007</v>
      </c>
      <c r="J1265" s="2">
        <f ca="1">Table1[[#This Row],[Profit]]/Table1[[#This Row],[Sales]]</f>
        <v>0.4</v>
      </c>
      <c r="K1265" t="str">
        <f ca="1">TEXT(Table1[[#This Row],[Order_Date]],"mmm")</f>
        <v>Aug</v>
      </c>
      <c r="L1265">
        <f ca="1">YEAR(Table1[[#This Row],[Order_Date]])</f>
        <v>2023</v>
      </c>
    </row>
    <row r="1266" spans="1:12" x14ac:dyDescent="0.3">
      <c r="A1266">
        <f t="shared" si="76"/>
        <v>1265</v>
      </c>
      <c r="B1266" s="1">
        <f t="shared" ca="1" si="77"/>
        <v>44959</v>
      </c>
      <c r="C1266" t="s">
        <v>7</v>
      </c>
      <c r="D1266" t="str">
        <f t="shared" ca="1" si="78"/>
        <v>Electronics</v>
      </c>
      <c r="E1266" t="s">
        <v>60</v>
      </c>
      <c r="F1266" s="11">
        <v>9440</v>
      </c>
      <c r="G1266">
        <f t="shared" ca="1" si="79"/>
        <v>7</v>
      </c>
      <c r="H1266" s="11">
        <f ca="1">IF(Table1[[#This Row],[Category]]="Electronics",Table1[[#This Row],[Sales]]*0.6,
IF(Table1[[#This Row],[Category]]="Furniture",Table1[[#This Row],[Sales]]*0.75,
IF(Table1[[#This Row],[Category]]="Clothing",Table1[[#This Row],[Sales]]*0.65,
Table1[[#This Row],[Sales]]*0.7)))</f>
        <v>5664</v>
      </c>
      <c r="I1266" s="11">
        <f ca="1">Table1[[#This Row],[Sales]]-H1266</f>
        <v>3776</v>
      </c>
      <c r="J1266" s="2">
        <f ca="1">Table1[[#This Row],[Profit]]/Table1[[#This Row],[Sales]]</f>
        <v>0.4</v>
      </c>
      <c r="K1266" t="str">
        <f ca="1">TEXT(Table1[[#This Row],[Order_Date]],"mmm")</f>
        <v>Feb</v>
      </c>
      <c r="L1266">
        <f ca="1">YEAR(Table1[[#This Row],[Order_Date]])</f>
        <v>2023</v>
      </c>
    </row>
    <row r="1267" spans="1:12" x14ac:dyDescent="0.3">
      <c r="A1267">
        <f t="shared" si="76"/>
        <v>1266</v>
      </c>
      <c r="B1267" s="1">
        <f t="shared" ca="1" si="77"/>
        <v>45184</v>
      </c>
      <c r="C1267" t="s">
        <v>8</v>
      </c>
      <c r="D1267" t="str">
        <f t="shared" ca="1" si="78"/>
        <v>Office Supplies</v>
      </c>
      <c r="E1267" t="s">
        <v>40</v>
      </c>
      <c r="F1267" s="11">
        <v>10268</v>
      </c>
      <c r="G1267">
        <f t="shared" ca="1" si="79"/>
        <v>6</v>
      </c>
      <c r="H1267" s="11">
        <f ca="1">IF(Table1[[#This Row],[Category]]="Electronics",Table1[[#This Row],[Sales]]*0.6,
IF(Table1[[#This Row],[Category]]="Furniture",Table1[[#This Row],[Sales]]*0.75,
IF(Table1[[#This Row],[Category]]="Clothing",Table1[[#This Row],[Sales]]*0.65,
Table1[[#This Row],[Sales]]*0.7)))</f>
        <v>7187.5999999999995</v>
      </c>
      <c r="I1267" s="11">
        <f ca="1">Table1[[#This Row],[Sales]]-H1267</f>
        <v>3080.4000000000005</v>
      </c>
      <c r="J1267" s="2">
        <f ca="1">Table1[[#This Row],[Profit]]/Table1[[#This Row],[Sales]]</f>
        <v>0.30000000000000004</v>
      </c>
      <c r="K1267" t="str">
        <f ca="1">TEXT(Table1[[#This Row],[Order_Date]],"mmm")</f>
        <v>Sep</v>
      </c>
      <c r="L1267">
        <f ca="1">YEAR(Table1[[#This Row],[Order_Date]])</f>
        <v>2023</v>
      </c>
    </row>
    <row r="1268" spans="1:12" x14ac:dyDescent="0.3">
      <c r="A1268">
        <f t="shared" si="76"/>
        <v>1267</v>
      </c>
      <c r="B1268" s="1">
        <f t="shared" ca="1" si="77"/>
        <v>45161</v>
      </c>
      <c r="C1268" t="s">
        <v>9</v>
      </c>
      <c r="D1268" t="str">
        <f t="shared" ca="1" si="78"/>
        <v>Furniture</v>
      </c>
      <c r="E1268" t="s">
        <v>42</v>
      </c>
      <c r="F1268" s="11">
        <v>6412</v>
      </c>
      <c r="G1268">
        <f t="shared" ca="1" si="79"/>
        <v>6</v>
      </c>
      <c r="H1268" s="11">
        <f ca="1">IF(Table1[[#This Row],[Category]]="Electronics",Table1[[#This Row],[Sales]]*0.6,
IF(Table1[[#This Row],[Category]]="Furniture",Table1[[#This Row],[Sales]]*0.75,
IF(Table1[[#This Row],[Category]]="Clothing",Table1[[#This Row],[Sales]]*0.65,
Table1[[#This Row],[Sales]]*0.7)))</f>
        <v>4809</v>
      </c>
      <c r="I1268" s="11">
        <f ca="1">Table1[[#This Row],[Sales]]-H1268</f>
        <v>1603</v>
      </c>
      <c r="J1268" s="2">
        <f ca="1">Table1[[#This Row],[Profit]]/Table1[[#This Row],[Sales]]</f>
        <v>0.25</v>
      </c>
      <c r="K1268" t="str">
        <f ca="1">TEXT(Table1[[#This Row],[Order_Date]],"mmm")</f>
        <v>Aug</v>
      </c>
      <c r="L1268">
        <f ca="1">YEAR(Table1[[#This Row],[Order_Date]])</f>
        <v>2023</v>
      </c>
    </row>
    <row r="1269" spans="1:12" x14ac:dyDescent="0.3">
      <c r="A1269">
        <f t="shared" si="76"/>
        <v>1268</v>
      </c>
      <c r="B1269" s="1">
        <f t="shared" ca="1" si="77"/>
        <v>45104</v>
      </c>
      <c r="C1269" t="s">
        <v>10</v>
      </c>
      <c r="D1269" t="str">
        <f t="shared" ca="1" si="78"/>
        <v>Electronics</v>
      </c>
      <c r="E1269" t="s">
        <v>69</v>
      </c>
      <c r="F1269" s="11">
        <v>611</v>
      </c>
      <c r="G1269">
        <f t="shared" ca="1" si="79"/>
        <v>6</v>
      </c>
      <c r="H1269" s="11">
        <f ca="1">IF(Table1[[#This Row],[Category]]="Electronics",Table1[[#This Row],[Sales]]*0.6,
IF(Table1[[#This Row],[Category]]="Furniture",Table1[[#This Row],[Sales]]*0.75,
IF(Table1[[#This Row],[Category]]="Clothing",Table1[[#This Row],[Sales]]*0.65,
Table1[[#This Row],[Sales]]*0.7)))</f>
        <v>366.59999999999997</v>
      </c>
      <c r="I1269" s="11">
        <f ca="1">Table1[[#This Row],[Sales]]-H1269</f>
        <v>244.40000000000003</v>
      </c>
      <c r="J1269" s="2">
        <f ca="1">Table1[[#This Row],[Profit]]/Table1[[#This Row],[Sales]]</f>
        <v>0.40000000000000008</v>
      </c>
      <c r="K1269" t="str">
        <f ca="1">TEXT(Table1[[#This Row],[Order_Date]],"mmm")</f>
        <v>Jun</v>
      </c>
      <c r="L1269">
        <f ca="1">YEAR(Table1[[#This Row],[Order_Date]])</f>
        <v>2023</v>
      </c>
    </row>
    <row r="1270" spans="1:12" x14ac:dyDescent="0.3">
      <c r="A1270">
        <f t="shared" si="76"/>
        <v>1269</v>
      </c>
      <c r="B1270" s="1">
        <f t="shared" ca="1" si="77"/>
        <v>44975</v>
      </c>
      <c r="C1270" t="s">
        <v>7</v>
      </c>
      <c r="D1270" t="str">
        <f t="shared" ca="1" si="78"/>
        <v>Electronics</v>
      </c>
      <c r="E1270" t="s">
        <v>46</v>
      </c>
      <c r="F1270" s="11">
        <v>19754</v>
      </c>
      <c r="G1270">
        <f t="shared" ca="1" si="79"/>
        <v>10</v>
      </c>
      <c r="H1270" s="11">
        <f ca="1">IF(Table1[[#This Row],[Category]]="Electronics",Table1[[#This Row],[Sales]]*0.6,
IF(Table1[[#This Row],[Category]]="Furniture",Table1[[#This Row],[Sales]]*0.75,
IF(Table1[[#This Row],[Category]]="Clothing",Table1[[#This Row],[Sales]]*0.65,
Table1[[#This Row],[Sales]]*0.7)))</f>
        <v>11852.4</v>
      </c>
      <c r="I1270" s="11">
        <f ca="1">Table1[[#This Row],[Sales]]-H1270</f>
        <v>7901.6</v>
      </c>
      <c r="J1270" s="2">
        <f ca="1">Table1[[#This Row],[Profit]]/Table1[[#This Row],[Sales]]</f>
        <v>0.4</v>
      </c>
      <c r="K1270" t="str">
        <f ca="1">TEXT(Table1[[#This Row],[Order_Date]],"mmm")</f>
        <v>Feb</v>
      </c>
      <c r="L1270">
        <f ca="1">YEAR(Table1[[#This Row],[Order_Date]])</f>
        <v>2023</v>
      </c>
    </row>
    <row r="1271" spans="1:12" x14ac:dyDescent="0.3">
      <c r="A1271">
        <f t="shared" si="76"/>
        <v>1270</v>
      </c>
      <c r="B1271" s="1">
        <f t="shared" ca="1" si="77"/>
        <v>44982</v>
      </c>
      <c r="C1271" t="s">
        <v>8</v>
      </c>
      <c r="D1271" t="str">
        <f t="shared" ca="1" si="78"/>
        <v>Furniture</v>
      </c>
      <c r="E1271" t="s">
        <v>68</v>
      </c>
      <c r="F1271" s="11">
        <v>9714</v>
      </c>
      <c r="G1271">
        <f t="shared" ca="1" si="79"/>
        <v>2</v>
      </c>
      <c r="H1271" s="11">
        <f ca="1">IF(Table1[[#This Row],[Category]]="Electronics",Table1[[#This Row],[Sales]]*0.6,
IF(Table1[[#This Row],[Category]]="Furniture",Table1[[#This Row],[Sales]]*0.75,
IF(Table1[[#This Row],[Category]]="Clothing",Table1[[#This Row],[Sales]]*0.65,
Table1[[#This Row],[Sales]]*0.7)))</f>
        <v>7285.5</v>
      </c>
      <c r="I1271" s="11">
        <f ca="1">Table1[[#This Row],[Sales]]-H1271</f>
        <v>2428.5</v>
      </c>
      <c r="J1271" s="2">
        <f ca="1">Table1[[#This Row],[Profit]]/Table1[[#This Row],[Sales]]</f>
        <v>0.25</v>
      </c>
      <c r="K1271" t="str">
        <f ca="1">TEXT(Table1[[#This Row],[Order_Date]],"mmm")</f>
        <v>Feb</v>
      </c>
      <c r="L1271">
        <f ca="1">YEAR(Table1[[#This Row],[Order_Date]])</f>
        <v>2023</v>
      </c>
    </row>
    <row r="1272" spans="1:12" x14ac:dyDescent="0.3">
      <c r="A1272">
        <f t="shared" si="76"/>
        <v>1271</v>
      </c>
      <c r="B1272" s="1">
        <f t="shared" ca="1" si="77"/>
        <v>44987</v>
      </c>
      <c r="C1272" t="s">
        <v>9</v>
      </c>
      <c r="D1272" t="str">
        <f t="shared" ca="1" si="78"/>
        <v>Furniture</v>
      </c>
      <c r="E1272" t="s">
        <v>40</v>
      </c>
      <c r="F1272" s="11">
        <v>7738</v>
      </c>
      <c r="G1272">
        <f t="shared" ca="1" si="79"/>
        <v>1</v>
      </c>
      <c r="H1272" s="11">
        <f ca="1">IF(Table1[[#This Row],[Category]]="Electronics",Table1[[#This Row],[Sales]]*0.6,
IF(Table1[[#This Row],[Category]]="Furniture",Table1[[#This Row],[Sales]]*0.75,
IF(Table1[[#This Row],[Category]]="Clothing",Table1[[#This Row],[Sales]]*0.65,
Table1[[#This Row],[Sales]]*0.7)))</f>
        <v>5803.5</v>
      </c>
      <c r="I1272" s="11">
        <f ca="1">Table1[[#This Row],[Sales]]-H1272</f>
        <v>1934.5</v>
      </c>
      <c r="J1272" s="2">
        <f ca="1">Table1[[#This Row],[Profit]]/Table1[[#This Row],[Sales]]</f>
        <v>0.25</v>
      </c>
      <c r="K1272" t="str">
        <f ca="1">TEXT(Table1[[#This Row],[Order_Date]],"mmm")</f>
        <v>Mar</v>
      </c>
      <c r="L1272">
        <f ca="1">YEAR(Table1[[#This Row],[Order_Date]])</f>
        <v>2023</v>
      </c>
    </row>
    <row r="1273" spans="1:12" x14ac:dyDescent="0.3">
      <c r="A1273">
        <f t="shared" si="76"/>
        <v>1272</v>
      </c>
      <c r="B1273" s="1">
        <f t="shared" ca="1" si="77"/>
        <v>44994</v>
      </c>
      <c r="C1273" t="s">
        <v>10</v>
      </c>
      <c r="D1273" t="str">
        <f t="shared" ca="1" si="78"/>
        <v>Furniture</v>
      </c>
      <c r="E1273" t="s">
        <v>51</v>
      </c>
      <c r="F1273" s="11">
        <v>3728</v>
      </c>
      <c r="G1273">
        <f t="shared" ca="1" si="79"/>
        <v>2</v>
      </c>
      <c r="H1273" s="11">
        <f ca="1">IF(Table1[[#This Row],[Category]]="Electronics",Table1[[#This Row],[Sales]]*0.6,
IF(Table1[[#This Row],[Category]]="Furniture",Table1[[#This Row],[Sales]]*0.75,
IF(Table1[[#This Row],[Category]]="Clothing",Table1[[#This Row],[Sales]]*0.65,
Table1[[#This Row],[Sales]]*0.7)))</f>
        <v>2796</v>
      </c>
      <c r="I1273" s="11">
        <f ca="1">Table1[[#This Row],[Sales]]-H1273</f>
        <v>932</v>
      </c>
      <c r="J1273" s="2">
        <f ca="1">Table1[[#This Row],[Profit]]/Table1[[#This Row],[Sales]]</f>
        <v>0.25</v>
      </c>
      <c r="K1273" t="str">
        <f ca="1">TEXT(Table1[[#This Row],[Order_Date]],"mmm")</f>
        <v>Mar</v>
      </c>
      <c r="L1273">
        <f ca="1">YEAR(Table1[[#This Row],[Order_Date]])</f>
        <v>2023</v>
      </c>
    </row>
    <row r="1274" spans="1:12" x14ac:dyDescent="0.3">
      <c r="A1274">
        <f t="shared" si="76"/>
        <v>1273</v>
      </c>
      <c r="B1274" s="1">
        <f t="shared" ca="1" si="77"/>
        <v>44964</v>
      </c>
      <c r="C1274" t="s">
        <v>7</v>
      </c>
      <c r="D1274" t="str">
        <f t="shared" ca="1" si="78"/>
        <v>Clothing</v>
      </c>
      <c r="E1274" t="s">
        <v>47</v>
      </c>
      <c r="F1274" s="11">
        <v>5152</v>
      </c>
      <c r="G1274">
        <f t="shared" ca="1" si="79"/>
        <v>1</v>
      </c>
      <c r="H1274" s="11">
        <f ca="1">IF(Table1[[#This Row],[Category]]="Electronics",Table1[[#This Row],[Sales]]*0.6,
IF(Table1[[#This Row],[Category]]="Furniture",Table1[[#This Row],[Sales]]*0.75,
IF(Table1[[#This Row],[Category]]="Clothing",Table1[[#This Row],[Sales]]*0.65,
Table1[[#This Row],[Sales]]*0.7)))</f>
        <v>3348.8</v>
      </c>
      <c r="I1274" s="11">
        <f ca="1">Table1[[#This Row],[Sales]]-H1274</f>
        <v>1803.1999999999998</v>
      </c>
      <c r="J1274" s="2">
        <f ca="1">Table1[[#This Row],[Profit]]/Table1[[#This Row],[Sales]]</f>
        <v>0.35</v>
      </c>
      <c r="K1274" t="str">
        <f ca="1">TEXT(Table1[[#This Row],[Order_Date]],"mmm")</f>
        <v>Feb</v>
      </c>
      <c r="L1274">
        <f ca="1">YEAR(Table1[[#This Row],[Order_Date]])</f>
        <v>2023</v>
      </c>
    </row>
    <row r="1275" spans="1:12" x14ac:dyDescent="0.3">
      <c r="A1275">
        <f t="shared" si="76"/>
        <v>1274</v>
      </c>
      <c r="B1275" s="1">
        <f t="shared" ca="1" si="77"/>
        <v>45215</v>
      </c>
      <c r="C1275" t="s">
        <v>8</v>
      </c>
      <c r="D1275" t="str">
        <f t="shared" ca="1" si="78"/>
        <v>Electronics</v>
      </c>
      <c r="E1275" t="s">
        <v>55</v>
      </c>
      <c r="F1275" s="11">
        <v>12084</v>
      </c>
      <c r="G1275">
        <f t="shared" ca="1" si="79"/>
        <v>9</v>
      </c>
      <c r="H1275" s="11">
        <f ca="1">IF(Table1[[#This Row],[Category]]="Electronics",Table1[[#This Row],[Sales]]*0.6,
IF(Table1[[#This Row],[Category]]="Furniture",Table1[[#This Row],[Sales]]*0.75,
IF(Table1[[#This Row],[Category]]="Clothing",Table1[[#This Row],[Sales]]*0.65,
Table1[[#This Row],[Sales]]*0.7)))</f>
        <v>7250.4</v>
      </c>
      <c r="I1275" s="11">
        <f ca="1">Table1[[#This Row],[Sales]]-H1275</f>
        <v>4833.6000000000004</v>
      </c>
      <c r="J1275" s="2">
        <f ca="1">Table1[[#This Row],[Profit]]/Table1[[#This Row],[Sales]]</f>
        <v>0.4</v>
      </c>
      <c r="K1275" t="str">
        <f ca="1">TEXT(Table1[[#This Row],[Order_Date]],"mmm")</f>
        <v>Oct</v>
      </c>
      <c r="L1275">
        <f ca="1">YEAR(Table1[[#This Row],[Order_Date]])</f>
        <v>2023</v>
      </c>
    </row>
    <row r="1276" spans="1:12" x14ac:dyDescent="0.3">
      <c r="A1276">
        <f t="shared" si="76"/>
        <v>1275</v>
      </c>
      <c r="B1276" s="1">
        <f t="shared" ca="1" si="77"/>
        <v>45203</v>
      </c>
      <c r="C1276" t="s">
        <v>9</v>
      </c>
      <c r="D1276" t="str">
        <f t="shared" ca="1" si="78"/>
        <v>Furniture</v>
      </c>
      <c r="E1276" t="s">
        <v>63</v>
      </c>
      <c r="F1276" s="11">
        <v>18140</v>
      </c>
      <c r="G1276">
        <f t="shared" ca="1" si="79"/>
        <v>1</v>
      </c>
      <c r="H1276" s="11">
        <f ca="1">IF(Table1[[#This Row],[Category]]="Electronics",Table1[[#This Row],[Sales]]*0.6,
IF(Table1[[#This Row],[Category]]="Furniture",Table1[[#This Row],[Sales]]*0.75,
IF(Table1[[#This Row],[Category]]="Clothing",Table1[[#This Row],[Sales]]*0.65,
Table1[[#This Row],[Sales]]*0.7)))</f>
        <v>13605</v>
      </c>
      <c r="I1276" s="11">
        <f ca="1">Table1[[#This Row],[Sales]]-H1276</f>
        <v>4535</v>
      </c>
      <c r="J1276" s="2">
        <f ca="1">Table1[[#This Row],[Profit]]/Table1[[#This Row],[Sales]]</f>
        <v>0.25</v>
      </c>
      <c r="K1276" t="str">
        <f ca="1">TEXT(Table1[[#This Row],[Order_Date]],"mmm")</f>
        <v>Oct</v>
      </c>
      <c r="L1276">
        <f ca="1">YEAR(Table1[[#This Row],[Order_Date]])</f>
        <v>2023</v>
      </c>
    </row>
    <row r="1277" spans="1:12" x14ac:dyDescent="0.3">
      <c r="A1277">
        <f t="shared" si="76"/>
        <v>1276</v>
      </c>
      <c r="B1277" s="1">
        <f t="shared" ca="1" si="77"/>
        <v>45031</v>
      </c>
      <c r="C1277" t="s">
        <v>10</v>
      </c>
      <c r="D1277" t="str">
        <f t="shared" ca="1" si="78"/>
        <v>Clothing</v>
      </c>
      <c r="E1277" t="s">
        <v>67</v>
      </c>
      <c r="F1277" s="11">
        <v>5437</v>
      </c>
      <c r="G1277">
        <f t="shared" ca="1" si="79"/>
        <v>6</v>
      </c>
      <c r="H1277" s="11">
        <f ca="1">IF(Table1[[#This Row],[Category]]="Electronics",Table1[[#This Row],[Sales]]*0.6,
IF(Table1[[#This Row],[Category]]="Furniture",Table1[[#This Row],[Sales]]*0.75,
IF(Table1[[#This Row],[Category]]="Clothing",Table1[[#This Row],[Sales]]*0.65,
Table1[[#This Row],[Sales]]*0.7)))</f>
        <v>3534.05</v>
      </c>
      <c r="I1277" s="11">
        <f ca="1">Table1[[#This Row],[Sales]]-H1277</f>
        <v>1902.9499999999998</v>
      </c>
      <c r="J1277" s="2">
        <f ca="1">Table1[[#This Row],[Profit]]/Table1[[#This Row],[Sales]]</f>
        <v>0.35</v>
      </c>
      <c r="K1277" t="str">
        <f ca="1">TEXT(Table1[[#This Row],[Order_Date]],"mmm")</f>
        <v>Apr</v>
      </c>
      <c r="L1277">
        <f ca="1">YEAR(Table1[[#This Row],[Order_Date]])</f>
        <v>2023</v>
      </c>
    </row>
    <row r="1278" spans="1:12" x14ac:dyDescent="0.3">
      <c r="A1278">
        <f t="shared" si="76"/>
        <v>1277</v>
      </c>
      <c r="B1278" s="1">
        <f t="shared" ca="1" si="77"/>
        <v>45270</v>
      </c>
      <c r="C1278" t="s">
        <v>7</v>
      </c>
      <c r="D1278" t="str">
        <f t="shared" ca="1" si="78"/>
        <v>Clothing</v>
      </c>
      <c r="E1278" t="s">
        <v>59</v>
      </c>
      <c r="F1278" s="11">
        <v>14507</v>
      </c>
      <c r="G1278">
        <f t="shared" ca="1" si="79"/>
        <v>5</v>
      </c>
      <c r="H1278" s="11">
        <f ca="1">IF(Table1[[#This Row],[Category]]="Electronics",Table1[[#This Row],[Sales]]*0.6,
IF(Table1[[#This Row],[Category]]="Furniture",Table1[[#This Row],[Sales]]*0.75,
IF(Table1[[#This Row],[Category]]="Clothing",Table1[[#This Row],[Sales]]*0.65,
Table1[[#This Row],[Sales]]*0.7)))</f>
        <v>9429.5500000000011</v>
      </c>
      <c r="I1278" s="11">
        <f ca="1">Table1[[#This Row],[Sales]]-H1278</f>
        <v>5077.4499999999989</v>
      </c>
      <c r="J1278" s="2">
        <f ca="1">Table1[[#This Row],[Profit]]/Table1[[#This Row],[Sales]]</f>
        <v>0.34999999999999992</v>
      </c>
      <c r="K1278" t="str">
        <f ca="1">TEXT(Table1[[#This Row],[Order_Date]],"mmm")</f>
        <v>Dec</v>
      </c>
      <c r="L1278">
        <f ca="1">YEAR(Table1[[#This Row],[Order_Date]])</f>
        <v>2023</v>
      </c>
    </row>
    <row r="1279" spans="1:12" x14ac:dyDescent="0.3">
      <c r="A1279">
        <f t="shared" si="76"/>
        <v>1278</v>
      </c>
      <c r="B1279" s="1">
        <f t="shared" ca="1" si="77"/>
        <v>45154</v>
      </c>
      <c r="C1279" t="s">
        <v>8</v>
      </c>
      <c r="D1279" t="str">
        <f t="shared" ca="1" si="78"/>
        <v>Clothing</v>
      </c>
      <c r="E1279" t="s">
        <v>56</v>
      </c>
      <c r="F1279" s="11">
        <v>12466</v>
      </c>
      <c r="G1279">
        <f t="shared" ca="1" si="79"/>
        <v>8</v>
      </c>
      <c r="H1279" s="11">
        <f ca="1">IF(Table1[[#This Row],[Category]]="Electronics",Table1[[#This Row],[Sales]]*0.6,
IF(Table1[[#This Row],[Category]]="Furniture",Table1[[#This Row],[Sales]]*0.75,
IF(Table1[[#This Row],[Category]]="Clothing",Table1[[#This Row],[Sales]]*0.65,
Table1[[#This Row],[Sales]]*0.7)))</f>
        <v>8102.9000000000005</v>
      </c>
      <c r="I1279" s="11">
        <f ca="1">Table1[[#This Row],[Sales]]-H1279</f>
        <v>4363.0999999999995</v>
      </c>
      <c r="J1279" s="2">
        <f ca="1">Table1[[#This Row],[Profit]]/Table1[[#This Row],[Sales]]</f>
        <v>0.35</v>
      </c>
      <c r="K1279" t="str">
        <f ca="1">TEXT(Table1[[#This Row],[Order_Date]],"mmm")</f>
        <v>Aug</v>
      </c>
      <c r="L1279">
        <f ca="1">YEAR(Table1[[#This Row],[Order_Date]])</f>
        <v>2023</v>
      </c>
    </row>
    <row r="1280" spans="1:12" x14ac:dyDescent="0.3">
      <c r="A1280">
        <f t="shared" si="76"/>
        <v>1279</v>
      </c>
      <c r="B1280" s="1">
        <f t="shared" ca="1" si="77"/>
        <v>44990</v>
      </c>
      <c r="C1280" t="s">
        <v>9</v>
      </c>
      <c r="D1280" t="str">
        <f t="shared" ca="1" si="78"/>
        <v>Furniture</v>
      </c>
      <c r="E1280" t="s">
        <v>53</v>
      </c>
      <c r="F1280" s="11">
        <v>7435</v>
      </c>
      <c r="G1280">
        <f t="shared" ca="1" si="79"/>
        <v>4</v>
      </c>
      <c r="H1280" s="11">
        <f ca="1">IF(Table1[[#This Row],[Category]]="Electronics",Table1[[#This Row],[Sales]]*0.6,
IF(Table1[[#This Row],[Category]]="Furniture",Table1[[#This Row],[Sales]]*0.75,
IF(Table1[[#This Row],[Category]]="Clothing",Table1[[#This Row],[Sales]]*0.65,
Table1[[#This Row],[Sales]]*0.7)))</f>
        <v>5576.25</v>
      </c>
      <c r="I1280" s="11">
        <f ca="1">Table1[[#This Row],[Sales]]-H1280</f>
        <v>1858.75</v>
      </c>
      <c r="J1280" s="2">
        <f ca="1">Table1[[#This Row],[Profit]]/Table1[[#This Row],[Sales]]</f>
        <v>0.25</v>
      </c>
      <c r="K1280" t="str">
        <f ca="1">TEXT(Table1[[#This Row],[Order_Date]],"mmm")</f>
        <v>Mar</v>
      </c>
      <c r="L1280">
        <f ca="1">YEAR(Table1[[#This Row],[Order_Date]])</f>
        <v>2023</v>
      </c>
    </row>
    <row r="1281" spans="1:12" x14ac:dyDescent="0.3">
      <c r="A1281">
        <f t="shared" si="76"/>
        <v>1280</v>
      </c>
      <c r="B1281" s="1">
        <f t="shared" ca="1" si="77"/>
        <v>45172</v>
      </c>
      <c r="C1281" t="s">
        <v>10</v>
      </c>
      <c r="D1281" t="str">
        <f t="shared" ca="1" si="78"/>
        <v>Electronics</v>
      </c>
      <c r="E1281" t="s">
        <v>46</v>
      </c>
      <c r="F1281" s="11">
        <v>8881</v>
      </c>
      <c r="G1281">
        <f t="shared" ca="1" si="79"/>
        <v>5</v>
      </c>
      <c r="H1281" s="11">
        <f ca="1">IF(Table1[[#This Row],[Category]]="Electronics",Table1[[#This Row],[Sales]]*0.6,
IF(Table1[[#This Row],[Category]]="Furniture",Table1[[#This Row],[Sales]]*0.75,
IF(Table1[[#This Row],[Category]]="Clothing",Table1[[#This Row],[Sales]]*0.65,
Table1[[#This Row],[Sales]]*0.7)))</f>
        <v>5328.5999999999995</v>
      </c>
      <c r="I1281" s="11">
        <f ca="1">Table1[[#This Row],[Sales]]-H1281</f>
        <v>3552.4000000000005</v>
      </c>
      <c r="J1281" s="2">
        <f ca="1">Table1[[#This Row],[Profit]]/Table1[[#This Row],[Sales]]</f>
        <v>0.40000000000000008</v>
      </c>
      <c r="K1281" t="str">
        <f ca="1">TEXT(Table1[[#This Row],[Order_Date]],"mmm")</f>
        <v>Sep</v>
      </c>
      <c r="L1281">
        <f ca="1">YEAR(Table1[[#This Row],[Order_Date]])</f>
        <v>2023</v>
      </c>
    </row>
    <row r="1282" spans="1:12" x14ac:dyDescent="0.3">
      <c r="A1282">
        <f t="shared" si="76"/>
        <v>1281</v>
      </c>
      <c r="B1282" s="1">
        <f t="shared" ca="1" si="77"/>
        <v>45059</v>
      </c>
      <c r="C1282" t="s">
        <v>7</v>
      </c>
      <c r="D1282" t="str">
        <f t="shared" ca="1" si="78"/>
        <v>Clothing</v>
      </c>
      <c r="E1282" t="s">
        <v>80</v>
      </c>
      <c r="F1282" s="11">
        <v>4205</v>
      </c>
      <c r="G1282">
        <f t="shared" ca="1" si="79"/>
        <v>7</v>
      </c>
      <c r="H1282" s="11">
        <f ca="1">IF(Table1[[#This Row],[Category]]="Electronics",Table1[[#This Row],[Sales]]*0.6,
IF(Table1[[#This Row],[Category]]="Furniture",Table1[[#This Row],[Sales]]*0.75,
IF(Table1[[#This Row],[Category]]="Clothing",Table1[[#This Row],[Sales]]*0.65,
Table1[[#This Row],[Sales]]*0.7)))</f>
        <v>2733.25</v>
      </c>
      <c r="I1282" s="11">
        <f ca="1">Table1[[#This Row],[Sales]]-H1282</f>
        <v>1471.75</v>
      </c>
      <c r="J1282" s="2">
        <f ca="1">Table1[[#This Row],[Profit]]/Table1[[#This Row],[Sales]]</f>
        <v>0.35</v>
      </c>
      <c r="K1282" t="str">
        <f ca="1">TEXT(Table1[[#This Row],[Order_Date]],"mmm")</f>
        <v>May</v>
      </c>
      <c r="L1282">
        <f ca="1">YEAR(Table1[[#This Row],[Order_Date]])</f>
        <v>2023</v>
      </c>
    </row>
    <row r="1283" spans="1:12" x14ac:dyDescent="0.3">
      <c r="A1283">
        <f t="shared" ref="A1283:A1346" si="80">ROW()-1</f>
        <v>1282</v>
      </c>
      <c r="B1283" s="1">
        <f t="shared" ref="B1283:B1346" ca="1" si="81">DATE(2023, RANDBETWEEN(1,12), RANDBETWEEN(1,28))</f>
        <v>45162</v>
      </c>
      <c r="C1283" t="s">
        <v>8</v>
      </c>
      <c r="D1283" t="str">
        <f t="shared" ref="D1283:D1346" ca="1" si="82">CHOOSE(RANDBETWEEN(1,4),"Electronics","Furniture","Clothing","Office Supplies")</f>
        <v>Clothing</v>
      </c>
      <c r="E1283" t="s">
        <v>77</v>
      </c>
      <c r="F1283" s="11">
        <v>13091</v>
      </c>
      <c r="G1283">
        <f t="shared" ref="G1283:G1346" ca="1" si="83">RANDBETWEEN(1,10)</f>
        <v>6</v>
      </c>
      <c r="H1283" s="11">
        <f ca="1">IF(Table1[[#This Row],[Category]]="Electronics",Table1[[#This Row],[Sales]]*0.6,
IF(Table1[[#This Row],[Category]]="Furniture",Table1[[#This Row],[Sales]]*0.75,
IF(Table1[[#This Row],[Category]]="Clothing",Table1[[#This Row],[Sales]]*0.65,
Table1[[#This Row],[Sales]]*0.7)))</f>
        <v>8509.15</v>
      </c>
      <c r="I1283" s="11">
        <f ca="1">Table1[[#This Row],[Sales]]-H1283</f>
        <v>4581.8500000000004</v>
      </c>
      <c r="J1283" s="2">
        <f ca="1">Table1[[#This Row],[Profit]]/Table1[[#This Row],[Sales]]</f>
        <v>0.35000000000000003</v>
      </c>
      <c r="K1283" t="str">
        <f ca="1">TEXT(Table1[[#This Row],[Order_Date]],"mmm")</f>
        <v>Aug</v>
      </c>
      <c r="L1283">
        <f ca="1">YEAR(Table1[[#This Row],[Order_Date]])</f>
        <v>2023</v>
      </c>
    </row>
    <row r="1284" spans="1:12" x14ac:dyDescent="0.3">
      <c r="A1284">
        <f t="shared" si="80"/>
        <v>1283</v>
      </c>
      <c r="B1284" s="1">
        <f t="shared" ca="1" si="81"/>
        <v>45235</v>
      </c>
      <c r="C1284" t="s">
        <v>9</v>
      </c>
      <c r="D1284" t="str">
        <f t="shared" ca="1" si="82"/>
        <v>Clothing</v>
      </c>
      <c r="E1284" t="s">
        <v>62</v>
      </c>
      <c r="F1284" s="11">
        <v>6848</v>
      </c>
      <c r="G1284">
        <f t="shared" ca="1" si="83"/>
        <v>9</v>
      </c>
      <c r="H1284" s="11">
        <f ca="1">IF(Table1[[#This Row],[Category]]="Electronics",Table1[[#This Row],[Sales]]*0.6,
IF(Table1[[#This Row],[Category]]="Furniture",Table1[[#This Row],[Sales]]*0.75,
IF(Table1[[#This Row],[Category]]="Clothing",Table1[[#This Row],[Sales]]*0.65,
Table1[[#This Row],[Sales]]*0.7)))</f>
        <v>4451.2</v>
      </c>
      <c r="I1284" s="11">
        <f ca="1">Table1[[#This Row],[Sales]]-H1284</f>
        <v>2396.8000000000002</v>
      </c>
      <c r="J1284" s="2">
        <f ca="1">Table1[[#This Row],[Profit]]/Table1[[#This Row],[Sales]]</f>
        <v>0.35000000000000003</v>
      </c>
      <c r="K1284" t="str">
        <f ca="1">TEXT(Table1[[#This Row],[Order_Date]],"mmm")</f>
        <v>Nov</v>
      </c>
      <c r="L1284">
        <f ca="1">YEAR(Table1[[#This Row],[Order_Date]])</f>
        <v>2023</v>
      </c>
    </row>
    <row r="1285" spans="1:12" x14ac:dyDescent="0.3">
      <c r="A1285">
        <f t="shared" si="80"/>
        <v>1284</v>
      </c>
      <c r="B1285" s="1">
        <f t="shared" ca="1" si="81"/>
        <v>45109</v>
      </c>
      <c r="C1285" t="s">
        <v>10</v>
      </c>
      <c r="D1285" t="str">
        <f t="shared" ca="1" si="82"/>
        <v>Office Supplies</v>
      </c>
      <c r="E1285" t="s">
        <v>52</v>
      </c>
      <c r="F1285" s="11">
        <v>8553</v>
      </c>
      <c r="G1285">
        <f t="shared" ca="1" si="83"/>
        <v>8</v>
      </c>
      <c r="H1285" s="11">
        <f ca="1">IF(Table1[[#This Row],[Category]]="Electronics",Table1[[#This Row],[Sales]]*0.6,
IF(Table1[[#This Row],[Category]]="Furniture",Table1[[#This Row],[Sales]]*0.75,
IF(Table1[[#This Row],[Category]]="Clothing",Table1[[#This Row],[Sales]]*0.65,
Table1[[#This Row],[Sales]]*0.7)))</f>
        <v>5987.0999999999995</v>
      </c>
      <c r="I1285" s="11">
        <f ca="1">Table1[[#This Row],[Sales]]-H1285</f>
        <v>2565.9000000000005</v>
      </c>
      <c r="J1285" s="2">
        <f ca="1">Table1[[#This Row],[Profit]]/Table1[[#This Row],[Sales]]</f>
        <v>0.30000000000000004</v>
      </c>
      <c r="K1285" t="str">
        <f ca="1">TEXT(Table1[[#This Row],[Order_Date]],"mmm")</f>
        <v>Jul</v>
      </c>
      <c r="L1285">
        <f ca="1">YEAR(Table1[[#This Row],[Order_Date]])</f>
        <v>2023</v>
      </c>
    </row>
    <row r="1286" spans="1:12" x14ac:dyDescent="0.3">
      <c r="A1286">
        <f t="shared" si="80"/>
        <v>1285</v>
      </c>
      <c r="B1286" s="1">
        <f t="shared" ca="1" si="81"/>
        <v>45088</v>
      </c>
      <c r="C1286" t="s">
        <v>7</v>
      </c>
      <c r="D1286" t="str">
        <f t="shared" ca="1" si="82"/>
        <v>Furniture</v>
      </c>
      <c r="E1286" t="s">
        <v>37</v>
      </c>
      <c r="F1286" s="11">
        <v>7698</v>
      </c>
      <c r="G1286">
        <f t="shared" ca="1" si="83"/>
        <v>9</v>
      </c>
      <c r="H1286" s="11">
        <f ca="1">IF(Table1[[#This Row],[Category]]="Electronics",Table1[[#This Row],[Sales]]*0.6,
IF(Table1[[#This Row],[Category]]="Furniture",Table1[[#This Row],[Sales]]*0.75,
IF(Table1[[#This Row],[Category]]="Clothing",Table1[[#This Row],[Sales]]*0.65,
Table1[[#This Row],[Sales]]*0.7)))</f>
        <v>5773.5</v>
      </c>
      <c r="I1286" s="11">
        <f ca="1">Table1[[#This Row],[Sales]]-H1286</f>
        <v>1924.5</v>
      </c>
      <c r="J1286" s="2">
        <f ca="1">Table1[[#This Row],[Profit]]/Table1[[#This Row],[Sales]]</f>
        <v>0.25</v>
      </c>
      <c r="K1286" t="str">
        <f ca="1">TEXT(Table1[[#This Row],[Order_Date]],"mmm")</f>
        <v>Jun</v>
      </c>
      <c r="L1286">
        <f ca="1">YEAR(Table1[[#This Row],[Order_Date]])</f>
        <v>2023</v>
      </c>
    </row>
    <row r="1287" spans="1:12" x14ac:dyDescent="0.3">
      <c r="A1287">
        <f t="shared" si="80"/>
        <v>1286</v>
      </c>
      <c r="B1287" s="1">
        <f t="shared" ca="1" si="81"/>
        <v>45238</v>
      </c>
      <c r="C1287" t="s">
        <v>8</v>
      </c>
      <c r="D1287" t="str">
        <f t="shared" ca="1" si="82"/>
        <v>Furniture</v>
      </c>
      <c r="E1287" t="s">
        <v>43</v>
      </c>
      <c r="F1287" s="11">
        <v>8281</v>
      </c>
      <c r="G1287">
        <f t="shared" ca="1" si="83"/>
        <v>5</v>
      </c>
      <c r="H1287" s="11">
        <f ca="1">IF(Table1[[#This Row],[Category]]="Electronics",Table1[[#This Row],[Sales]]*0.6,
IF(Table1[[#This Row],[Category]]="Furniture",Table1[[#This Row],[Sales]]*0.75,
IF(Table1[[#This Row],[Category]]="Clothing",Table1[[#This Row],[Sales]]*0.65,
Table1[[#This Row],[Sales]]*0.7)))</f>
        <v>6210.75</v>
      </c>
      <c r="I1287" s="11">
        <f ca="1">Table1[[#This Row],[Sales]]-H1287</f>
        <v>2070.25</v>
      </c>
      <c r="J1287" s="2">
        <f ca="1">Table1[[#This Row],[Profit]]/Table1[[#This Row],[Sales]]</f>
        <v>0.25</v>
      </c>
      <c r="K1287" t="str">
        <f ca="1">TEXT(Table1[[#This Row],[Order_Date]],"mmm")</f>
        <v>Nov</v>
      </c>
      <c r="L1287">
        <f ca="1">YEAR(Table1[[#This Row],[Order_Date]])</f>
        <v>2023</v>
      </c>
    </row>
    <row r="1288" spans="1:12" x14ac:dyDescent="0.3">
      <c r="A1288">
        <f t="shared" si="80"/>
        <v>1287</v>
      </c>
      <c r="B1288" s="1">
        <f t="shared" ca="1" si="81"/>
        <v>44979</v>
      </c>
      <c r="C1288" t="s">
        <v>9</v>
      </c>
      <c r="D1288" t="str">
        <f t="shared" ca="1" si="82"/>
        <v>Office Supplies</v>
      </c>
      <c r="E1288" t="s">
        <v>43</v>
      </c>
      <c r="F1288" s="11">
        <v>12304</v>
      </c>
      <c r="G1288">
        <f t="shared" ca="1" si="83"/>
        <v>6</v>
      </c>
      <c r="H1288" s="11">
        <f ca="1">IF(Table1[[#This Row],[Category]]="Electronics",Table1[[#This Row],[Sales]]*0.6,
IF(Table1[[#This Row],[Category]]="Furniture",Table1[[#This Row],[Sales]]*0.75,
IF(Table1[[#This Row],[Category]]="Clothing",Table1[[#This Row],[Sales]]*0.65,
Table1[[#This Row],[Sales]]*0.7)))</f>
        <v>8612.7999999999993</v>
      </c>
      <c r="I1288" s="11">
        <f ca="1">Table1[[#This Row],[Sales]]-H1288</f>
        <v>3691.2000000000007</v>
      </c>
      <c r="J1288" s="2">
        <f ca="1">Table1[[#This Row],[Profit]]/Table1[[#This Row],[Sales]]</f>
        <v>0.30000000000000004</v>
      </c>
      <c r="K1288" t="str">
        <f ca="1">TEXT(Table1[[#This Row],[Order_Date]],"mmm")</f>
        <v>Feb</v>
      </c>
      <c r="L1288">
        <f ca="1">YEAR(Table1[[#This Row],[Order_Date]])</f>
        <v>2023</v>
      </c>
    </row>
    <row r="1289" spans="1:12" x14ac:dyDescent="0.3">
      <c r="A1289">
        <f t="shared" si="80"/>
        <v>1288</v>
      </c>
      <c r="B1289" s="1">
        <f t="shared" ca="1" si="81"/>
        <v>45134</v>
      </c>
      <c r="C1289" t="s">
        <v>10</v>
      </c>
      <c r="D1289" t="str">
        <f t="shared" ca="1" si="82"/>
        <v>Clothing</v>
      </c>
      <c r="E1289" t="s">
        <v>37</v>
      </c>
      <c r="F1289" s="11">
        <v>2032</v>
      </c>
      <c r="G1289">
        <f t="shared" ca="1" si="83"/>
        <v>9</v>
      </c>
      <c r="H1289" s="11">
        <f ca="1">IF(Table1[[#This Row],[Category]]="Electronics",Table1[[#This Row],[Sales]]*0.6,
IF(Table1[[#This Row],[Category]]="Furniture",Table1[[#This Row],[Sales]]*0.75,
IF(Table1[[#This Row],[Category]]="Clothing",Table1[[#This Row],[Sales]]*0.65,
Table1[[#This Row],[Sales]]*0.7)))</f>
        <v>1320.8</v>
      </c>
      <c r="I1289" s="11">
        <f ca="1">Table1[[#This Row],[Sales]]-H1289</f>
        <v>711.2</v>
      </c>
      <c r="J1289" s="2">
        <f ca="1">Table1[[#This Row],[Profit]]/Table1[[#This Row],[Sales]]</f>
        <v>0.35000000000000003</v>
      </c>
      <c r="K1289" t="str">
        <f ca="1">TEXT(Table1[[#This Row],[Order_Date]],"mmm")</f>
        <v>Jul</v>
      </c>
      <c r="L1289">
        <f ca="1">YEAR(Table1[[#This Row],[Order_Date]])</f>
        <v>2023</v>
      </c>
    </row>
    <row r="1290" spans="1:12" x14ac:dyDescent="0.3">
      <c r="A1290">
        <f t="shared" si="80"/>
        <v>1289</v>
      </c>
      <c r="B1290" s="1">
        <f t="shared" ca="1" si="81"/>
        <v>45130</v>
      </c>
      <c r="C1290" t="s">
        <v>7</v>
      </c>
      <c r="D1290" t="str">
        <f t="shared" ca="1" si="82"/>
        <v>Office Supplies</v>
      </c>
      <c r="E1290" t="s">
        <v>84</v>
      </c>
      <c r="F1290" s="11">
        <v>19658</v>
      </c>
      <c r="G1290">
        <f t="shared" ca="1" si="83"/>
        <v>4</v>
      </c>
      <c r="H1290" s="11">
        <f ca="1">IF(Table1[[#This Row],[Category]]="Electronics",Table1[[#This Row],[Sales]]*0.6,
IF(Table1[[#This Row],[Category]]="Furniture",Table1[[#This Row],[Sales]]*0.75,
IF(Table1[[#This Row],[Category]]="Clothing",Table1[[#This Row],[Sales]]*0.65,
Table1[[#This Row],[Sales]]*0.7)))</f>
        <v>13760.599999999999</v>
      </c>
      <c r="I1290" s="11">
        <f ca="1">Table1[[#This Row],[Sales]]-H1290</f>
        <v>5897.4000000000015</v>
      </c>
      <c r="J1290" s="2">
        <f ca="1">Table1[[#This Row],[Profit]]/Table1[[#This Row],[Sales]]</f>
        <v>0.3000000000000001</v>
      </c>
      <c r="K1290" t="str">
        <f ca="1">TEXT(Table1[[#This Row],[Order_Date]],"mmm")</f>
        <v>Jul</v>
      </c>
      <c r="L1290">
        <f ca="1">YEAR(Table1[[#This Row],[Order_Date]])</f>
        <v>2023</v>
      </c>
    </row>
    <row r="1291" spans="1:12" x14ac:dyDescent="0.3">
      <c r="A1291">
        <f t="shared" si="80"/>
        <v>1290</v>
      </c>
      <c r="B1291" s="1">
        <f t="shared" ca="1" si="81"/>
        <v>45105</v>
      </c>
      <c r="C1291" t="s">
        <v>8</v>
      </c>
      <c r="D1291" t="str">
        <f t="shared" ca="1" si="82"/>
        <v>Furniture</v>
      </c>
      <c r="E1291" t="s">
        <v>39</v>
      </c>
      <c r="F1291" s="11">
        <v>7260</v>
      </c>
      <c r="G1291">
        <f t="shared" ca="1" si="83"/>
        <v>7</v>
      </c>
      <c r="H1291" s="11">
        <f ca="1">IF(Table1[[#This Row],[Category]]="Electronics",Table1[[#This Row],[Sales]]*0.6,
IF(Table1[[#This Row],[Category]]="Furniture",Table1[[#This Row],[Sales]]*0.75,
IF(Table1[[#This Row],[Category]]="Clothing",Table1[[#This Row],[Sales]]*0.65,
Table1[[#This Row],[Sales]]*0.7)))</f>
        <v>5445</v>
      </c>
      <c r="I1291" s="11">
        <f ca="1">Table1[[#This Row],[Sales]]-H1291</f>
        <v>1815</v>
      </c>
      <c r="J1291" s="2">
        <f ca="1">Table1[[#This Row],[Profit]]/Table1[[#This Row],[Sales]]</f>
        <v>0.25</v>
      </c>
      <c r="K1291" t="str">
        <f ca="1">TEXT(Table1[[#This Row],[Order_Date]],"mmm")</f>
        <v>Jun</v>
      </c>
      <c r="L1291">
        <f ca="1">YEAR(Table1[[#This Row],[Order_Date]])</f>
        <v>2023</v>
      </c>
    </row>
    <row r="1292" spans="1:12" x14ac:dyDescent="0.3">
      <c r="A1292">
        <f t="shared" si="80"/>
        <v>1291</v>
      </c>
      <c r="B1292" s="1">
        <f t="shared" ca="1" si="81"/>
        <v>45021</v>
      </c>
      <c r="C1292" t="s">
        <v>9</v>
      </c>
      <c r="D1292" t="str">
        <f t="shared" ca="1" si="82"/>
        <v>Electronics</v>
      </c>
      <c r="E1292" t="s">
        <v>55</v>
      </c>
      <c r="F1292" s="11">
        <v>17255</v>
      </c>
      <c r="G1292">
        <f t="shared" ca="1" si="83"/>
        <v>4</v>
      </c>
      <c r="H1292" s="11">
        <f ca="1">IF(Table1[[#This Row],[Category]]="Electronics",Table1[[#This Row],[Sales]]*0.6,
IF(Table1[[#This Row],[Category]]="Furniture",Table1[[#This Row],[Sales]]*0.75,
IF(Table1[[#This Row],[Category]]="Clothing",Table1[[#This Row],[Sales]]*0.65,
Table1[[#This Row],[Sales]]*0.7)))</f>
        <v>10353</v>
      </c>
      <c r="I1292" s="11">
        <f ca="1">Table1[[#This Row],[Sales]]-H1292</f>
        <v>6902</v>
      </c>
      <c r="J1292" s="2">
        <f ca="1">Table1[[#This Row],[Profit]]/Table1[[#This Row],[Sales]]</f>
        <v>0.4</v>
      </c>
      <c r="K1292" t="str">
        <f ca="1">TEXT(Table1[[#This Row],[Order_Date]],"mmm")</f>
        <v>Apr</v>
      </c>
      <c r="L1292">
        <f ca="1">YEAR(Table1[[#This Row],[Order_Date]])</f>
        <v>2023</v>
      </c>
    </row>
    <row r="1293" spans="1:12" x14ac:dyDescent="0.3">
      <c r="A1293">
        <f t="shared" si="80"/>
        <v>1292</v>
      </c>
      <c r="B1293" s="1">
        <f t="shared" ca="1" si="81"/>
        <v>45125</v>
      </c>
      <c r="C1293" t="s">
        <v>10</v>
      </c>
      <c r="D1293" t="str">
        <f t="shared" ca="1" si="82"/>
        <v>Furniture</v>
      </c>
      <c r="E1293" t="s">
        <v>66</v>
      </c>
      <c r="F1293" s="11">
        <v>767</v>
      </c>
      <c r="G1293">
        <f t="shared" ca="1" si="83"/>
        <v>1</v>
      </c>
      <c r="H1293" s="11">
        <f ca="1">IF(Table1[[#This Row],[Category]]="Electronics",Table1[[#This Row],[Sales]]*0.6,
IF(Table1[[#This Row],[Category]]="Furniture",Table1[[#This Row],[Sales]]*0.75,
IF(Table1[[#This Row],[Category]]="Clothing",Table1[[#This Row],[Sales]]*0.65,
Table1[[#This Row],[Sales]]*0.7)))</f>
        <v>575.25</v>
      </c>
      <c r="I1293" s="11">
        <f ca="1">Table1[[#This Row],[Sales]]-H1293</f>
        <v>191.75</v>
      </c>
      <c r="J1293" s="2">
        <f ca="1">Table1[[#This Row],[Profit]]/Table1[[#This Row],[Sales]]</f>
        <v>0.25</v>
      </c>
      <c r="K1293" t="str">
        <f ca="1">TEXT(Table1[[#This Row],[Order_Date]],"mmm")</f>
        <v>Jul</v>
      </c>
      <c r="L1293">
        <f ca="1">YEAR(Table1[[#This Row],[Order_Date]])</f>
        <v>2023</v>
      </c>
    </row>
    <row r="1294" spans="1:12" x14ac:dyDescent="0.3">
      <c r="A1294">
        <f t="shared" si="80"/>
        <v>1293</v>
      </c>
      <c r="B1294" s="1">
        <f t="shared" ca="1" si="81"/>
        <v>44971</v>
      </c>
      <c r="C1294" t="s">
        <v>7</v>
      </c>
      <c r="D1294" t="str">
        <f t="shared" ca="1" si="82"/>
        <v>Furniture</v>
      </c>
      <c r="E1294" t="s">
        <v>50</v>
      </c>
      <c r="F1294" s="11">
        <v>17413</v>
      </c>
      <c r="G1294">
        <f t="shared" ca="1" si="83"/>
        <v>8</v>
      </c>
      <c r="H1294" s="11">
        <f ca="1">IF(Table1[[#This Row],[Category]]="Electronics",Table1[[#This Row],[Sales]]*0.6,
IF(Table1[[#This Row],[Category]]="Furniture",Table1[[#This Row],[Sales]]*0.75,
IF(Table1[[#This Row],[Category]]="Clothing",Table1[[#This Row],[Sales]]*0.65,
Table1[[#This Row],[Sales]]*0.7)))</f>
        <v>13059.75</v>
      </c>
      <c r="I1294" s="11">
        <f ca="1">Table1[[#This Row],[Sales]]-H1294</f>
        <v>4353.25</v>
      </c>
      <c r="J1294" s="2">
        <f ca="1">Table1[[#This Row],[Profit]]/Table1[[#This Row],[Sales]]</f>
        <v>0.25</v>
      </c>
      <c r="K1294" t="str">
        <f ca="1">TEXT(Table1[[#This Row],[Order_Date]],"mmm")</f>
        <v>Feb</v>
      </c>
      <c r="L1294">
        <f ca="1">YEAR(Table1[[#This Row],[Order_Date]])</f>
        <v>2023</v>
      </c>
    </row>
    <row r="1295" spans="1:12" x14ac:dyDescent="0.3">
      <c r="A1295">
        <f t="shared" si="80"/>
        <v>1294</v>
      </c>
      <c r="B1295" s="1">
        <f t="shared" ca="1" si="81"/>
        <v>44947</v>
      </c>
      <c r="C1295" t="s">
        <v>8</v>
      </c>
      <c r="D1295" t="str">
        <f t="shared" ca="1" si="82"/>
        <v>Office Supplies</v>
      </c>
      <c r="E1295" t="s">
        <v>82</v>
      </c>
      <c r="F1295" s="11">
        <v>12148</v>
      </c>
      <c r="G1295">
        <f t="shared" ca="1" si="83"/>
        <v>6</v>
      </c>
      <c r="H1295" s="11">
        <f ca="1">IF(Table1[[#This Row],[Category]]="Electronics",Table1[[#This Row],[Sales]]*0.6,
IF(Table1[[#This Row],[Category]]="Furniture",Table1[[#This Row],[Sales]]*0.75,
IF(Table1[[#This Row],[Category]]="Clothing",Table1[[#This Row],[Sales]]*0.65,
Table1[[#This Row],[Sales]]*0.7)))</f>
        <v>8503.6</v>
      </c>
      <c r="I1295" s="11">
        <f ca="1">Table1[[#This Row],[Sales]]-H1295</f>
        <v>3644.3999999999996</v>
      </c>
      <c r="J1295" s="2">
        <f ca="1">Table1[[#This Row],[Profit]]/Table1[[#This Row],[Sales]]</f>
        <v>0.3</v>
      </c>
      <c r="K1295" t="str">
        <f ca="1">TEXT(Table1[[#This Row],[Order_Date]],"mmm")</f>
        <v>Jan</v>
      </c>
      <c r="L1295">
        <f ca="1">YEAR(Table1[[#This Row],[Order_Date]])</f>
        <v>2023</v>
      </c>
    </row>
    <row r="1296" spans="1:12" x14ac:dyDescent="0.3">
      <c r="A1296">
        <f t="shared" si="80"/>
        <v>1295</v>
      </c>
      <c r="B1296" s="1">
        <f t="shared" ca="1" si="81"/>
        <v>45156</v>
      </c>
      <c r="C1296" t="s">
        <v>9</v>
      </c>
      <c r="D1296" t="str">
        <f t="shared" ca="1" si="82"/>
        <v>Clothing</v>
      </c>
      <c r="E1296" t="s">
        <v>62</v>
      </c>
      <c r="F1296" s="11">
        <v>15235</v>
      </c>
      <c r="G1296">
        <f t="shared" ca="1" si="83"/>
        <v>4</v>
      </c>
      <c r="H1296" s="11">
        <f ca="1">IF(Table1[[#This Row],[Category]]="Electronics",Table1[[#This Row],[Sales]]*0.6,
IF(Table1[[#This Row],[Category]]="Furniture",Table1[[#This Row],[Sales]]*0.75,
IF(Table1[[#This Row],[Category]]="Clothing",Table1[[#This Row],[Sales]]*0.65,
Table1[[#This Row],[Sales]]*0.7)))</f>
        <v>9902.75</v>
      </c>
      <c r="I1296" s="11">
        <f ca="1">Table1[[#This Row],[Sales]]-H1296</f>
        <v>5332.25</v>
      </c>
      <c r="J1296" s="2">
        <f ca="1">Table1[[#This Row],[Profit]]/Table1[[#This Row],[Sales]]</f>
        <v>0.35</v>
      </c>
      <c r="K1296" t="str">
        <f ca="1">TEXT(Table1[[#This Row],[Order_Date]],"mmm")</f>
        <v>Aug</v>
      </c>
      <c r="L1296">
        <f ca="1">YEAR(Table1[[#This Row],[Order_Date]])</f>
        <v>2023</v>
      </c>
    </row>
    <row r="1297" spans="1:12" x14ac:dyDescent="0.3">
      <c r="A1297">
        <f t="shared" si="80"/>
        <v>1296</v>
      </c>
      <c r="B1297" s="1">
        <f t="shared" ca="1" si="81"/>
        <v>45285</v>
      </c>
      <c r="C1297" t="s">
        <v>10</v>
      </c>
      <c r="D1297" t="str">
        <f t="shared" ca="1" si="82"/>
        <v>Clothing</v>
      </c>
      <c r="E1297" t="s">
        <v>59</v>
      </c>
      <c r="F1297" s="11">
        <v>3504</v>
      </c>
      <c r="G1297">
        <f t="shared" ca="1" si="83"/>
        <v>6</v>
      </c>
      <c r="H1297" s="11">
        <f ca="1">IF(Table1[[#This Row],[Category]]="Electronics",Table1[[#This Row],[Sales]]*0.6,
IF(Table1[[#This Row],[Category]]="Furniture",Table1[[#This Row],[Sales]]*0.75,
IF(Table1[[#This Row],[Category]]="Clothing",Table1[[#This Row],[Sales]]*0.65,
Table1[[#This Row],[Sales]]*0.7)))</f>
        <v>2277.6</v>
      </c>
      <c r="I1297" s="11">
        <f ca="1">Table1[[#This Row],[Sales]]-H1297</f>
        <v>1226.4000000000001</v>
      </c>
      <c r="J1297" s="2">
        <f ca="1">Table1[[#This Row],[Profit]]/Table1[[#This Row],[Sales]]</f>
        <v>0.35000000000000003</v>
      </c>
      <c r="K1297" t="str">
        <f ca="1">TEXT(Table1[[#This Row],[Order_Date]],"mmm")</f>
        <v>Dec</v>
      </c>
      <c r="L1297">
        <f ca="1">YEAR(Table1[[#This Row],[Order_Date]])</f>
        <v>2023</v>
      </c>
    </row>
    <row r="1298" spans="1:12" x14ac:dyDescent="0.3">
      <c r="A1298">
        <f t="shared" si="80"/>
        <v>1297</v>
      </c>
      <c r="B1298" s="1">
        <f t="shared" ca="1" si="81"/>
        <v>45192</v>
      </c>
      <c r="C1298" t="s">
        <v>7</v>
      </c>
      <c r="D1298" t="str">
        <f t="shared" ca="1" si="82"/>
        <v>Clothing</v>
      </c>
      <c r="E1298" t="s">
        <v>65</v>
      </c>
      <c r="F1298" s="11">
        <v>18187</v>
      </c>
      <c r="G1298">
        <f t="shared" ca="1" si="83"/>
        <v>5</v>
      </c>
      <c r="H1298" s="11">
        <f ca="1">IF(Table1[[#This Row],[Category]]="Electronics",Table1[[#This Row],[Sales]]*0.6,
IF(Table1[[#This Row],[Category]]="Furniture",Table1[[#This Row],[Sales]]*0.75,
IF(Table1[[#This Row],[Category]]="Clothing",Table1[[#This Row],[Sales]]*0.65,
Table1[[#This Row],[Sales]]*0.7)))</f>
        <v>11821.550000000001</v>
      </c>
      <c r="I1298" s="11">
        <f ca="1">Table1[[#This Row],[Sales]]-H1298</f>
        <v>6365.4499999999989</v>
      </c>
      <c r="J1298" s="2">
        <f ca="1">Table1[[#This Row],[Profit]]/Table1[[#This Row],[Sales]]</f>
        <v>0.34999999999999992</v>
      </c>
      <c r="K1298" t="str">
        <f ca="1">TEXT(Table1[[#This Row],[Order_Date]],"mmm")</f>
        <v>Sep</v>
      </c>
      <c r="L1298">
        <f ca="1">YEAR(Table1[[#This Row],[Order_Date]])</f>
        <v>2023</v>
      </c>
    </row>
    <row r="1299" spans="1:12" x14ac:dyDescent="0.3">
      <c r="A1299">
        <f t="shared" si="80"/>
        <v>1298</v>
      </c>
      <c r="B1299" s="1">
        <f t="shared" ca="1" si="81"/>
        <v>44947</v>
      </c>
      <c r="C1299" t="s">
        <v>8</v>
      </c>
      <c r="D1299" t="str">
        <f t="shared" ca="1" si="82"/>
        <v>Furniture</v>
      </c>
      <c r="E1299" t="s">
        <v>57</v>
      </c>
      <c r="F1299" s="11">
        <v>15690</v>
      </c>
      <c r="G1299">
        <f t="shared" ca="1" si="83"/>
        <v>9</v>
      </c>
      <c r="H1299" s="11">
        <f ca="1">IF(Table1[[#This Row],[Category]]="Electronics",Table1[[#This Row],[Sales]]*0.6,
IF(Table1[[#This Row],[Category]]="Furniture",Table1[[#This Row],[Sales]]*0.75,
IF(Table1[[#This Row],[Category]]="Clothing",Table1[[#This Row],[Sales]]*0.65,
Table1[[#This Row],[Sales]]*0.7)))</f>
        <v>11767.5</v>
      </c>
      <c r="I1299" s="11">
        <f ca="1">Table1[[#This Row],[Sales]]-H1299</f>
        <v>3922.5</v>
      </c>
      <c r="J1299" s="2">
        <f ca="1">Table1[[#This Row],[Profit]]/Table1[[#This Row],[Sales]]</f>
        <v>0.25</v>
      </c>
      <c r="K1299" t="str">
        <f ca="1">TEXT(Table1[[#This Row],[Order_Date]],"mmm")</f>
        <v>Jan</v>
      </c>
      <c r="L1299">
        <f ca="1">YEAR(Table1[[#This Row],[Order_Date]])</f>
        <v>2023</v>
      </c>
    </row>
    <row r="1300" spans="1:12" x14ac:dyDescent="0.3">
      <c r="A1300">
        <f t="shared" si="80"/>
        <v>1299</v>
      </c>
      <c r="B1300" s="1">
        <f t="shared" ca="1" si="81"/>
        <v>44944</v>
      </c>
      <c r="C1300" t="s">
        <v>9</v>
      </c>
      <c r="D1300" t="str">
        <f t="shared" ca="1" si="82"/>
        <v>Office Supplies</v>
      </c>
      <c r="E1300" t="s">
        <v>52</v>
      </c>
      <c r="F1300" s="11">
        <v>17974</v>
      </c>
      <c r="G1300">
        <f t="shared" ca="1" si="83"/>
        <v>4</v>
      </c>
      <c r="H1300" s="11">
        <f ca="1">IF(Table1[[#This Row],[Category]]="Electronics",Table1[[#This Row],[Sales]]*0.6,
IF(Table1[[#This Row],[Category]]="Furniture",Table1[[#This Row],[Sales]]*0.75,
IF(Table1[[#This Row],[Category]]="Clothing",Table1[[#This Row],[Sales]]*0.65,
Table1[[#This Row],[Sales]]*0.7)))</f>
        <v>12581.8</v>
      </c>
      <c r="I1300" s="11">
        <f ca="1">Table1[[#This Row],[Sales]]-H1300</f>
        <v>5392.2000000000007</v>
      </c>
      <c r="J1300" s="2">
        <f ca="1">Table1[[#This Row],[Profit]]/Table1[[#This Row],[Sales]]</f>
        <v>0.30000000000000004</v>
      </c>
      <c r="K1300" t="str">
        <f ca="1">TEXT(Table1[[#This Row],[Order_Date]],"mmm")</f>
        <v>Jan</v>
      </c>
      <c r="L1300">
        <f ca="1">YEAR(Table1[[#This Row],[Order_Date]])</f>
        <v>2023</v>
      </c>
    </row>
    <row r="1301" spans="1:12" x14ac:dyDescent="0.3">
      <c r="A1301">
        <f t="shared" si="80"/>
        <v>1300</v>
      </c>
      <c r="B1301" s="1">
        <f t="shared" ca="1" si="81"/>
        <v>45087</v>
      </c>
      <c r="C1301" t="s">
        <v>10</v>
      </c>
      <c r="D1301" t="str">
        <f t="shared" ca="1" si="82"/>
        <v>Furniture</v>
      </c>
      <c r="E1301" t="s">
        <v>79</v>
      </c>
      <c r="F1301" s="11">
        <v>4746</v>
      </c>
      <c r="G1301">
        <f t="shared" ca="1" si="83"/>
        <v>10</v>
      </c>
      <c r="H1301" s="11">
        <f ca="1">IF(Table1[[#This Row],[Category]]="Electronics",Table1[[#This Row],[Sales]]*0.6,
IF(Table1[[#This Row],[Category]]="Furniture",Table1[[#This Row],[Sales]]*0.75,
IF(Table1[[#This Row],[Category]]="Clothing",Table1[[#This Row],[Sales]]*0.65,
Table1[[#This Row],[Sales]]*0.7)))</f>
        <v>3559.5</v>
      </c>
      <c r="I1301" s="11">
        <f ca="1">Table1[[#This Row],[Sales]]-H1301</f>
        <v>1186.5</v>
      </c>
      <c r="J1301" s="2">
        <f ca="1">Table1[[#This Row],[Profit]]/Table1[[#This Row],[Sales]]</f>
        <v>0.25</v>
      </c>
      <c r="K1301" t="str">
        <f ca="1">TEXT(Table1[[#This Row],[Order_Date]],"mmm")</f>
        <v>Jun</v>
      </c>
      <c r="L1301">
        <f ca="1">YEAR(Table1[[#This Row],[Order_Date]])</f>
        <v>2023</v>
      </c>
    </row>
    <row r="1302" spans="1:12" x14ac:dyDescent="0.3">
      <c r="A1302">
        <f t="shared" si="80"/>
        <v>1301</v>
      </c>
      <c r="B1302" s="1">
        <f t="shared" ca="1" si="81"/>
        <v>45022</v>
      </c>
      <c r="C1302" t="s">
        <v>7</v>
      </c>
      <c r="D1302" t="str">
        <f t="shared" ca="1" si="82"/>
        <v>Electronics</v>
      </c>
      <c r="E1302" t="s">
        <v>50</v>
      </c>
      <c r="F1302" s="11">
        <v>13429</v>
      </c>
      <c r="G1302">
        <f t="shared" ca="1" si="83"/>
        <v>7</v>
      </c>
      <c r="H1302" s="11">
        <f ca="1">IF(Table1[[#This Row],[Category]]="Electronics",Table1[[#This Row],[Sales]]*0.6,
IF(Table1[[#This Row],[Category]]="Furniture",Table1[[#This Row],[Sales]]*0.75,
IF(Table1[[#This Row],[Category]]="Clothing",Table1[[#This Row],[Sales]]*0.65,
Table1[[#This Row],[Sales]]*0.7)))</f>
        <v>8057.4</v>
      </c>
      <c r="I1302" s="11">
        <f ca="1">Table1[[#This Row],[Sales]]-H1302</f>
        <v>5371.6</v>
      </c>
      <c r="J1302" s="2">
        <f ca="1">Table1[[#This Row],[Profit]]/Table1[[#This Row],[Sales]]</f>
        <v>0.4</v>
      </c>
      <c r="K1302" t="str">
        <f ca="1">TEXT(Table1[[#This Row],[Order_Date]],"mmm")</f>
        <v>Apr</v>
      </c>
      <c r="L1302">
        <f ca="1">YEAR(Table1[[#This Row],[Order_Date]])</f>
        <v>2023</v>
      </c>
    </row>
    <row r="1303" spans="1:12" x14ac:dyDescent="0.3">
      <c r="A1303">
        <f t="shared" si="80"/>
        <v>1302</v>
      </c>
      <c r="B1303" s="1">
        <f t="shared" ca="1" si="81"/>
        <v>44954</v>
      </c>
      <c r="C1303" t="s">
        <v>8</v>
      </c>
      <c r="D1303" t="str">
        <f t="shared" ca="1" si="82"/>
        <v>Clothing</v>
      </c>
      <c r="E1303" t="s">
        <v>59</v>
      </c>
      <c r="F1303" s="11">
        <v>19347</v>
      </c>
      <c r="G1303">
        <f t="shared" ca="1" si="83"/>
        <v>6</v>
      </c>
      <c r="H1303" s="11">
        <f ca="1">IF(Table1[[#This Row],[Category]]="Electronics",Table1[[#This Row],[Sales]]*0.6,
IF(Table1[[#This Row],[Category]]="Furniture",Table1[[#This Row],[Sales]]*0.75,
IF(Table1[[#This Row],[Category]]="Clothing",Table1[[#This Row],[Sales]]*0.65,
Table1[[#This Row],[Sales]]*0.7)))</f>
        <v>12575.550000000001</v>
      </c>
      <c r="I1303" s="11">
        <f ca="1">Table1[[#This Row],[Sales]]-H1303</f>
        <v>6771.4499999999989</v>
      </c>
      <c r="J1303" s="2">
        <f ca="1">Table1[[#This Row],[Profit]]/Table1[[#This Row],[Sales]]</f>
        <v>0.34999999999999992</v>
      </c>
      <c r="K1303" t="str">
        <f ca="1">TEXT(Table1[[#This Row],[Order_Date]],"mmm")</f>
        <v>Jan</v>
      </c>
      <c r="L1303">
        <f ca="1">YEAR(Table1[[#This Row],[Order_Date]])</f>
        <v>2023</v>
      </c>
    </row>
    <row r="1304" spans="1:12" x14ac:dyDescent="0.3">
      <c r="A1304">
        <f t="shared" si="80"/>
        <v>1303</v>
      </c>
      <c r="B1304" s="1">
        <f t="shared" ca="1" si="81"/>
        <v>45025</v>
      </c>
      <c r="C1304" t="s">
        <v>9</v>
      </c>
      <c r="D1304" t="str">
        <f t="shared" ca="1" si="82"/>
        <v>Office Supplies</v>
      </c>
      <c r="E1304" t="s">
        <v>56</v>
      </c>
      <c r="F1304" s="11">
        <v>9156</v>
      </c>
      <c r="G1304">
        <f t="shared" ca="1" si="83"/>
        <v>6</v>
      </c>
      <c r="H1304" s="11">
        <f ca="1">IF(Table1[[#This Row],[Category]]="Electronics",Table1[[#This Row],[Sales]]*0.6,
IF(Table1[[#This Row],[Category]]="Furniture",Table1[[#This Row],[Sales]]*0.75,
IF(Table1[[#This Row],[Category]]="Clothing",Table1[[#This Row],[Sales]]*0.65,
Table1[[#This Row],[Sales]]*0.7)))</f>
        <v>6409.2</v>
      </c>
      <c r="I1304" s="11">
        <f ca="1">Table1[[#This Row],[Sales]]-H1304</f>
        <v>2746.8</v>
      </c>
      <c r="J1304" s="2">
        <f ca="1">Table1[[#This Row],[Profit]]/Table1[[#This Row],[Sales]]</f>
        <v>0.30000000000000004</v>
      </c>
      <c r="K1304" t="str">
        <f ca="1">TEXT(Table1[[#This Row],[Order_Date]],"mmm")</f>
        <v>Apr</v>
      </c>
      <c r="L1304">
        <f ca="1">YEAR(Table1[[#This Row],[Order_Date]])</f>
        <v>2023</v>
      </c>
    </row>
    <row r="1305" spans="1:12" x14ac:dyDescent="0.3">
      <c r="A1305">
        <f t="shared" si="80"/>
        <v>1304</v>
      </c>
      <c r="B1305" s="1">
        <f t="shared" ca="1" si="81"/>
        <v>45253</v>
      </c>
      <c r="C1305" t="s">
        <v>10</v>
      </c>
      <c r="D1305" t="str">
        <f t="shared" ca="1" si="82"/>
        <v>Furniture</v>
      </c>
      <c r="E1305" t="s">
        <v>84</v>
      </c>
      <c r="F1305" s="11">
        <v>16254</v>
      </c>
      <c r="G1305">
        <f t="shared" ca="1" si="83"/>
        <v>4</v>
      </c>
      <c r="H1305" s="11">
        <f ca="1">IF(Table1[[#This Row],[Category]]="Electronics",Table1[[#This Row],[Sales]]*0.6,
IF(Table1[[#This Row],[Category]]="Furniture",Table1[[#This Row],[Sales]]*0.75,
IF(Table1[[#This Row],[Category]]="Clothing",Table1[[#This Row],[Sales]]*0.65,
Table1[[#This Row],[Sales]]*0.7)))</f>
        <v>12190.5</v>
      </c>
      <c r="I1305" s="11">
        <f ca="1">Table1[[#This Row],[Sales]]-H1305</f>
        <v>4063.5</v>
      </c>
      <c r="J1305" s="2">
        <f ca="1">Table1[[#This Row],[Profit]]/Table1[[#This Row],[Sales]]</f>
        <v>0.25</v>
      </c>
      <c r="K1305" t="str">
        <f ca="1">TEXT(Table1[[#This Row],[Order_Date]],"mmm")</f>
        <v>Nov</v>
      </c>
      <c r="L1305">
        <f ca="1">YEAR(Table1[[#This Row],[Order_Date]])</f>
        <v>2023</v>
      </c>
    </row>
    <row r="1306" spans="1:12" x14ac:dyDescent="0.3">
      <c r="A1306">
        <f t="shared" si="80"/>
        <v>1305</v>
      </c>
      <c r="B1306" s="1">
        <f t="shared" ca="1" si="81"/>
        <v>44929</v>
      </c>
      <c r="C1306" t="s">
        <v>7</v>
      </c>
      <c r="D1306" t="str">
        <f t="shared" ca="1" si="82"/>
        <v>Electronics</v>
      </c>
      <c r="E1306" t="s">
        <v>38</v>
      </c>
      <c r="F1306" s="11">
        <v>11703</v>
      </c>
      <c r="G1306">
        <f t="shared" ca="1" si="83"/>
        <v>4</v>
      </c>
      <c r="H1306" s="11">
        <f ca="1">IF(Table1[[#This Row],[Category]]="Electronics",Table1[[#This Row],[Sales]]*0.6,
IF(Table1[[#This Row],[Category]]="Furniture",Table1[[#This Row],[Sales]]*0.75,
IF(Table1[[#This Row],[Category]]="Clothing",Table1[[#This Row],[Sales]]*0.65,
Table1[[#This Row],[Sales]]*0.7)))</f>
        <v>7021.8</v>
      </c>
      <c r="I1306" s="11">
        <f ca="1">Table1[[#This Row],[Sales]]-H1306</f>
        <v>4681.2</v>
      </c>
      <c r="J1306" s="2">
        <f ca="1">Table1[[#This Row],[Profit]]/Table1[[#This Row],[Sales]]</f>
        <v>0.39999999999999997</v>
      </c>
      <c r="K1306" t="str">
        <f ca="1">TEXT(Table1[[#This Row],[Order_Date]],"mmm")</f>
        <v>Jan</v>
      </c>
      <c r="L1306">
        <f ca="1">YEAR(Table1[[#This Row],[Order_Date]])</f>
        <v>2023</v>
      </c>
    </row>
    <row r="1307" spans="1:12" x14ac:dyDescent="0.3">
      <c r="A1307">
        <f t="shared" si="80"/>
        <v>1306</v>
      </c>
      <c r="B1307" s="1">
        <f t="shared" ca="1" si="81"/>
        <v>45037</v>
      </c>
      <c r="C1307" t="s">
        <v>8</v>
      </c>
      <c r="D1307" t="str">
        <f t="shared" ca="1" si="82"/>
        <v>Office Supplies</v>
      </c>
      <c r="E1307" t="s">
        <v>64</v>
      </c>
      <c r="F1307" s="11">
        <v>11566</v>
      </c>
      <c r="G1307">
        <f t="shared" ca="1" si="83"/>
        <v>1</v>
      </c>
      <c r="H1307" s="11">
        <f ca="1">IF(Table1[[#This Row],[Category]]="Electronics",Table1[[#This Row],[Sales]]*0.6,
IF(Table1[[#This Row],[Category]]="Furniture",Table1[[#This Row],[Sales]]*0.75,
IF(Table1[[#This Row],[Category]]="Clothing",Table1[[#This Row],[Sales]]*0.65,
Table1[[#This Row],[Sales]]*0.7)))</f>
        <v>8096.2</v>
      </c>
      <c r="I1307" s="11">
        <f ca="1">Table1[[#This Row],[Sales]]-H1307</f>
        <v>3469.8</v>
      </c>
      <c r="J1307" s="2">
        <f ca="1">Table1[[#This Row],[Profit]]/Table1[[#This Row],[Sales]]</f>
        <v>0.3</v>
      </c>
      <c r="K1307" t="str">
        <f ca="1">TEXT(Table1[[#This Row],[Order_Date]],"mmm")</f>
        <v>Apr</v>
      </c>
      <c r="L1307">
        <f ca="1">YEAR(Table1[[#This Row],[Order_Date]])</f>
        <v>2023</v>
      </c>
    </row>
    <row r="1308" spans="1:12" x14ac:dyDescent="0.3">
      <c r="A1308">
        <f t="shared" si="80"/>
        <v>1307</v>
      </c>
      <c r="B1308" s="1">
        <f t="shared" ca="1" si="81"/>
        <v>45250</v>
      </c>
      <c r="C1308" t="s">
        <v>9</v>
      </c>
      <c r="D1308" t="str">
        <f t="shared" ca="1" si="82"/>
        <v>Electronics</v>
      </c>
      <c r="E1308" t="s">
        <v>42</v>
      </c>
      <c r="F1308" s="11">
        <v>17871</v>
      </c>
      <c r="G1308">
        <f t="shared" ca="1" si="83"/>
        <v>6</v>
      </c>
      <c r="H1308" s="11">
        <f ca="1">IF(Table1[[#This Row],[Category]]="Electronics",Table1[[#This Row],[Sales]]*0.6,
IF(Table1[[#This Row],[Category]]="Furniture",Table1[[#This Row],[Sales]]*0.75,
IF(Table1[[#This Row],[Category]]="Clothing",Table1[[#This Row],[Sales]]*0.65,
Table1[[#This Row],[Sales]]*0.7)))</f>
        <v>10722.6</v>
      </c>
      <c r="I1308" s="11">
        <f ca="1">Table1[[#This Row],[Sales]]-H1308</f>
        <v>7148.4</v>
      </c>
      <c r="J1308" s="2">
        <f ca="1">Table1[[#This Row],[Profit]]/Table1[[#This Row],[Sales]]</f>
        <v>0.39999999999999997</v>
      </c>
      <c r="K1308" t="str">
        <f ca="1">TEXT(Table1[[#This Row],[Order_Date]],"mmm")</f>
        <v>Nov</v>
      </c>
      <c r="L1308">
        <f ca="1">YEAR(Table1[[#This Row],[Order_Date]])</f>
        <v>2023</v>
      </c>
    </row>
    <row r="1309" spans="1:12" x14ac:dyDescent="0.3">
      <c r="A1309">
        <f t="shared" si="80"/>
        <v>1308</v>
      </c>
      <c r="B1309" s="1">
        <f t="shared" ca="1" si="81"/>
        <v>45116</v>
      </c>
      <c r="C1309" t="s">
        <v>10</v>
      </c>
      <c r="D1309" t="str">
        <f t="shared" ca="1" si="82"/>
        <v>Clothing</v>
      </c>
      <c r="E1309" t="s">
        <v>78</v>
      </c>
      <c r="F1309" s="11">
        <v>19144</v>
      </c>
      <c r="G1309">
        <f t="shared" ca="1" si="83"/>
        <v>4</v>
      </c>
      <c r="H1309" s="11">
        <f ca="1">IF(Table1[[#This Row],[Category]]="Electronics",Table1[[#This Row],[Sales]]*0.6,
IF(Table1[[#This Row],[Category]]="Furniture",Table1[[#This Row],[Sales]]*0.75,
IF(Table1[[#This Row],[Category]]="Clothing",Table1[[#This Row],[Sales]]*0.65,
Table1[[#This Row],[Sales]]*0.7)))</f>
        <v>12443.6</v>
      </c>
      <c r="I1309" s="11">
        <f ca="1">Table1[[#This Row],[Sales]]-H1309</f>
        <v>6700.4</v>
      </c>
      <c r="J1309" s="2">
        <f ca="1">Table1[[#This Row],[Profit]]/Table1[[#This Row],[Sales]]</f>
        <v>0.35</v>
      </c>
      <c r="K1309" t="str">
        <f ca="1">TEXT(Table1[[#This Row],[Order_Date]],"mmm")</f>
        <v>Jul</v>
      </c>
      <c r="L1309">
        <f ca="1">YEAR(Table1[[#This Row],[Order_Date]])</f>
        <v>2023</v>
      </c>
    </row>
    <row r="1310" spans="1:12" x14ac:dyDescent="0.3">
      <c r="A1310">
        <f t="shared" si="80"/>
        <v>1309</v>
      </c>
      <c r="B1310" s="1">
        <f t="shared" ca="1" si="81"/>
        <v>45255</v>
      </c>
      <c r="C1310" t="s">
        <v>7</v>
      </c>
      <c r="D1310" t="str">
        <f t="shared" ca="1" si="82"/>
        <v>Furniture</v>
      </c>
      <c r="E1310" t="s">
        <v>42</v>
      </c>
      <c r="F1310" s="11">
        <v>1876</v>
      </c>
      <c r="G1310">
        <f t="shared" ca="1" si="83"/>
        <v>2</v>
      </c>
      <c r="H1310" s="11">
        <f ca="1">IF(Table1[[#This Row],[Category]]="Electronics",Table1[[#This Row],[Sales]]*0.6,
IF(Table1[[#This Row],[Category]]="Furniture",Table1[[#This Row],[Sales]]*0.75,
IF(Table1[[#This Row],[Category]]="Clothing",Table1[[#This Row],[Sales]]*0.65,
Table1[[#This Row],[Sales]]*0.7)))</f>
        <v>1407</v>
      </c>
      <c r="I1310" s="11">
        <f ca="1">Table1[[#This Row],[Sales]]-H1310</f>
        <v>469</v>
      </c>
      <c r="J1310" s="2">
        <f ca="1">Table1[[#This Row],[Profit]]/Table1[[#This Row],[Sales]]</f>
        <v>0.25</v>
      </c>
      <c r="K1310" t="str">
        <f ca="1">TEXT(Table1[[#This Row],[Order_Date]],"mmm")</f>
        <v>Nov</v>
      </c>
      <c r="L1310">
        <f ca="1">YEAR(Table1[[#This Row],[Order_Date]])</f>
        <v>2023</v>
      </c>
    </row>
    <row r="1311" spans="1:12" x14ac:dyDescent="0.3">
      <c r="A1311">
        <f t="shared" si="80"/>
        <v>1310</v>
      </c>
      <c r="B1311" s="1">
        <f t="shared" ca="1" si="81"/>
        <v>45031</v>
      </c>
      <c r="C1311" t="s">
        <v>8</v>
      </c>
      <c r="D1311" t="str">
        <f t="shared" ca="1" si="82"/>
        <v>Office Supplies</v>
      </c>
      <c r="E1311" t="s">
        <v>56</v>
      </c>
      <c r="F1311" s="11">
        <v>10446</v>
      </c>
      <c r="G1311">
        <f t="shared" ca="1" si="83"/>
        <v>1</v>
      </c>
      <c r="H1311" s="11">
        <f ca="1">IF(Table1[[#This Row],[Category]]="Electronics",Table1[[#This Row],[Sales]]*0.6,
IF(Table1[[#This Row],[Category]]="Furniture",Table1[[#This Row],[Sales]]*0.75,
IF(Table1[[#This Row],[Category]]="Clothing",Table1[[#This Row],[Sales]]*0.65,
Table1[[#This Row],[Sales]]*0.7)))</f>
        <v>7312.2</v>
      </c>
      <c r="I1311" s="11">
        <f ca="1">Table1[[#This Row],[Sales]]-H1311</f>
        <v>3133.8</v>
      </c>
      <c r="J1311" s="2">
        <f ca="1">Table1[[#This Row],[Profit]]/Table1[[#This Row],[Sales]]</f>
        <v>0.30000000000000004</v>
      </c>
      <c r="K1311" t="str">
        <f ca="1">TEXT(Table1[[#This Row],[Order_Date]],"mmm")</f>
        <v>Apr</v>
      </c>
      <c r="L1311">
        <f ca="1">YEAR(Table1[[#This Row],[Order_Date]])</f>
        <v>2023</v>
      </c>
    </row>
    <row r="1312" spans="1:12" x14ac:dyDescent="0.3">
      <c r="A1312">
        <f t="shared" si="80"/>
        <v>1311</v>
      </c>
      <c r="B1312" s="1">
        <f t="shared" ca="1" si="81"/>
        <v>45073</v>
      </c>
      <c r="C1312" t="s">
        <v>9</v>
      </c>
      <c r="D1312" t="str">
        <f t="shared" ca="1" si="82"/>
        <v>Office Supplies</v>
      </c>
      <c r="E1312" t="s">
        <v>48</v>
      </c>
      <c r="F1312" s="11">
        <v>14032</v>
      </c>
      <c r="G1312">
        <f t="shared" ca="1" si="83"/>
        <v>4</v>
      </c>
      <c r="H1312" s="11">
        <f ca="1">IF(Table1[[#This Row],[Category]]="Electronics",Table1[[#This Row],[Sales]]*0.6,
IF(Table1[[#This Row],[Category]]="Furniture",Table1[[#This Row],[Sales]]*0.75,
IF(Table1[[#This Row],[Category]]="Clothing",Table1[[#This Row],[Sales]]*0.65,
Table1[[#This Row],[Sales]]*0.7)))</f>
        <v>9822.4</v>
      </c>
      <c r="I1312" s="11">
        <f ca="1">Table1[[#This Row],[Sales]]-H1312</f>
        <v>4209.6000000000004</v>
      </c>
      <c r="J1312" s="2">
        <f ca="1">Table1[[#This Row],[Profit]]/Table1[[#This Row],[Sales]]</f>
        <v>0.30000000000000004</v>
      </c>
      <c r="K1312" t="str">
        <f ca="1">TEXT(Table1[[#This Row],[Order_Date]],"mmm")</f>
        <v>May</v>
      </c>
      <c r="L1312">
        <f ca="1">YEAR(Table1[[#This Row],[Order_Date]])</f>
        <v>2023</v>
      </c>
    </row>
    <row r="1313" spans="1:12" x14ac:dyDescent="0.3">
      <c r="A1313">
        <f t="shared" si="80"/>
        <v>1312</v>
      </c>
      <c r="B1313" s="1">
        <f t="shared" ca="1" si="81"/>
        <v>45021</v>
      </c>
      <c r="C1313" t="s">
        <v>10</v>
      </c>
      <c r="D1313" t="str">
        <f t="shared" ca="1" si="82"/>
        <v>Clothing</v>
      </c>
      <c r="E1313" t="s">
        <v>46</v>
      </c>
      <c r="F1313" s="11">
        <v>4714</v>
      </c>
      <c r="G1313">
        <f t="shared" ca="1" si="83"/>
        <v>7</v>
      </c>
      <c r="H1313" s="11">
        <f ca="1">IF(Table1[[#This Row],[Category]]="Electronics",Table1[[#This Row],[Sales]]*0.6,
IF(Table1[[#This Row],[Category]]="Furniture",Table1[[#This Row],[Sales]]*0.75,
IF(Table1[[#This Row],[Category]]="Clothing",Table1[[#This Row],[Sales]]*0.65,
Table1[[#This Row],[Sales]]*0.7)))</f>
        <v>3064.1</v>
      </c>
      <c r="I1313" s="11">
        <f ca="1">Table1[[#This Row],[Sales]]-H1313</f>
        <v>1649.9</v>
      </c>
      <c r="J1313" s="2">
        <f ca="1">Table1[[#This Row],[Profit]]/Table1[[#This Row],[Sales]]</f>
        <v>0.35000000000000003</v>
      </c>
      <c r="K1313" t="str">
        <f ca="1">TEXT(Table1[[#This Row],[Order_Date]],"mmm")</f>
        <v>Apr</v>
      </c>
      <c r="L1313">
        <f ca="1">YEAR(Table1[[#This Row],[Order_Date]])</f>
        <v>2023</v>
      </c>
    </row>
    <row r="1314" spans="1:12" x14ac:dyDescent="0.3">
      <c r="A1314">
        <f t="shared" si="80"/>
        <v>1313</v>
      </c>
      <c r="B1314" s="1">
        <f t="shared" ca="1" si="81"/>
        <v>45249</v>
      </c>
      <c r="C1314" t="s">
        <v>7</v>
      </c>
      <c r="D1314" t="str">
        <f t="shared" ca="1" si="82"/>
        <v>Office Supplies</v>
      </c>
      <c r="E1314" t="s">
        <v>57</v>
      </c>
      <c r="F1314" s="11">
        <v>7193</v>
      </c>
      <c r="G1314">
        <f t="shared" ca="1" si="83"/>
        <v>8</v>
      </c>
      <c r="H1314" s="11">
        <f ca="1">IF(Table1[[#This Row],[Category]]="Electronics",Table1[[#This Row],[Sales]]*0.6,
IF(Table1[[#This Row],[Category]]="Furniture",Table1[[#This Row],[Sales]]*0.75,
IF(Table1[[#This Row],[Category]]="Clothing",Table1[[#This Row],[Sales]]*0.65,
Table1[[#This Row],[Sales]]*0.7)))</f>
        <v>5035.0999999999995</v>
      </c>
      <c r="I1314" s="11">
        <f ca="1">Table1[[#This Row],[Sales]]-H1314</f>
        <v>2157.9000000000005</v>
      </c>
      <c r="J1314" s="2">
        <f ca="1">Table1[[#This Row],[Profit]]/Table1[[#This Row],[Sales]]</f>
        <v>0.3000000000000001</v>
      </c>
      <c r="K1314" t="str">
        <f ca="1">TEXT(Table1[[#This Row],[Order_Date]],"mmm")</f>
        <v>Nov</v>
      </c>
      <c r="L1314">
        <f ca="1">YEAR(Table1[[#This Row],[Order_Date]])</f>
        <v>2023</v>
      </c>
    </row>
    <row r="1315" spans="1:12" x14ac:dyDescent="0.3">
      <c r="A1315">
        <f t="shared" si="80"/>
        <v>1314</v>
      </c>
      <c r="B1315" s="1">
        <f t="shared" ca="1" si="81"/>
        <v>45022</v>
      </c>
      <c r="C1315" t="s">
        <v>8</v>
      </c>
      <c r="D1315" t="str">
        <f t="shared" ca="1" si="82"/>
        <v>Clothing</v>
      </c>
      <c r="E1315" t="s">
        <v>69</v>
      </c>
      <c r="F1315" s="11">
        <v>13591</v>
      </c>
      <c r="G1315">
        <f t="shared" ca="1" si="83"/>
        <v>5</v>
      </c>
      <c r="H1315" s="11">
        <f ca="1">IF(Table1[[#This Row],[Category]]="Electronics",Table1[[#This Row],[Sales]]*0.6,
IF(Table1[[#This Row],[Category]]="Furniture",Table1[[#This Row],[Sales]]*0.75,
IF(Table1[[#This Row],[Category]]="Clothing",Table1[[#This Row],[Sales]]*0.65,
Table1[[#This Row],[Sales]]*0.7)))</f>
        <v>8834.15</v>
      </c>
      <c r="I1315" s="11">
        <f ca="1">Table1[[#This Row],[Sales]]-H1315</f>
        <v>4756.8500000000004</v>
      </c>
      <c r="J1315" s="2">
        <f ca="1">Table1[[#This Row],[Profit]]/Table1[[#This Row],[Sales]]</f>
        <v>0.35000000000000003</v>
      </c>
      <c r="K1315" t="str">
        <f ca="1">TEXT(Table1[[#This Row],[Order_Date]],"mmm")</f>
        <v>Apr</v>
      </c>
      <c r="L1315">
        <f ca="1">YEAR(Table1[[#This Row],[Order_Date]])</f>
        <v>2023</v>
      </c>
    </row>
    <row r="1316" spans="1:12" x14ac:dyDescent="0.3">
      <c r="A1316">
        <f t="shared" si="80"/>
        <v>1315</v>
      </c>
      <c r="B1316" s="1">
        <f t="shared" ca="1" si="81"/>
        <v>44988</v>
      </c>
      <c r="C1316" t="s">
        <v>9</v>
      </c>
      <c r="D1316" t="str">
        <f t="shared" ca="1" si="82"/>
        <v>Electronics</v>
      </c>
      <c r="E1316" t="s">
        <v>65</v>
      </c>
      <c r="F1316" s="11">
        <v>3114</v>
      </c>
      <c r="G1316">
        <f t="shared" ca="1" si="83"/>
        <v>3</v>
      </c>
      <c r="H1316" s="11">
        <f ca="1">IF(Table1[[#This Row],[Category]]="Electronics",Table1[[#This Row],[Sales]]*0.6,
IF(Table1[[#This Row],[Category]]="Furniture",Table1[[#This Row],[Sales]]*0.75,
IF(Table1[[#This Row],[Category]]="Clothing",Table1[[#This Row],[Sales]]*0.65,
Table1[[#This Row],[Sales]]*0.7)))</f>
        <v>1868.3999999999999</v>
      </c>
      <c r="I1316" s="11">
        <f ca="1">Table1[[#This Row],[Sales]]-H1316</f>
        <v>1245.6000000000001</v>
      </c>
      <c r="J1316" s="2">
        <f ca="1">Table1[[#This Row],[Profit]]/Table1[[#This Row],[Sales]]</f>
        <v>0.4</v>
      </c>
      <c r="K1316" t="str">
        <f ca="1">TEXT(Table1[[#This Row],[Order_Date]],"mmm")</f>
        <v>Mar</v>
      </c>
      <c r="L1316">
        <f ca="1">YEAR(Table1[[#This Row],[Order_Date]])</f>
        <v>2023</v>
      </c>
    </row>
    <row r="1317" spans="1:12" x14ac:dyDescent="0.3">
      <c r="A1317">
        <f t="shared" si="80"/>
        <v>1316</v>
      </c>
      <c r="B1317" s="1">
        <f t="shared" ca="1" si="81"/>
        <v>45022</v>
      </c>
      <c r="C1317" t="s">
        <v>10</v>
      </c>
      <c r="D1317" t="str">
        <f t="shared" ca="1" si="82"/>
        <v>Office Supplies</v>
      </c>
      <c r="E1317" t="s">
        <v>54</v>
      </c>
      <c r="F1317" s="11">
        <v>4168</v>
      </c>
      <c r="G1317">
        <f t="shared" ca="1" si="83"/>
        <v>4</v>
      </c>
      <c r="H1317" s="11">
        <f ca="1">IF(Table1[[#This Row],[Category]]="Electronics",Table1[[#This Row],[Sales]]*0.6,
IF(Table1[[#This Row],[Category]]="Furniture",Table1[[#This Row],[Sales]]*0.75,
IF(Table1[[#This Row],[Category]]="Clothing",Table1[[#This Row],[Sales]]*0.65,
Table1[[#This Row],[Sales]]*0.7)))</f>
        <v>2917.6</v>
      </c>
      <c r="I1317" s="11">
        <f ca="1">Table1[[#This Row],[Sales]]-H1317</f>
        <v>1250.4000000000001</v>
      </c>
      <c r="J1317" s="2">
        <f ca="1">Table1[[#This Row],[Profit]]/Table1[[#This Row],[Sales]]</f>
        <v>0.30000000000000004</v>
      </c>
      <c r="K1317" t="str">
        <f ca="1">TEXT(Table1[[#This Row],[Order_Date]],"mmm")</f>
        <v>Apr</v>
      </c>
      <c r="L1317">
        <f ca="1">YEAR(Table1[[#This Row],[Order_Date]])</f>
        <v>2023</v>
      </c>
    </row>
    <row r="1318" spans="1:12" x14ac:dyDescent="0.3">
      <c r="A1318">
        <f t="shared" si="80"/>
        <v>1317</v>
      </c>
      <c r="B1318" s="1">
        <f t="shared" ca="1" si="81"/>
        <v>45209</v>
      </c>
      <c r="C1318" t="s">
        <v>7</v>
      </c>
      <c r="D1318" t="str">
        <f t="shared" ca="1" si="82"/>
        <v>Furniture</v>
      </c>
      <c r="E1318" t="s">
        <v>56</v>
      </c>
      <c r="F1318" s="11">
        <v>2148</v>
      </c>
      <c r="G1318">
        <f t="shared" ca="1" si="83"/>
        <v>8</v>
      </c>
      <c r="H1318" s="11">
        <f ca="1">IF(Table1[[#This Row],[Category]]="Electronics",Table1[[#This Row],[Sales]]*0.6,
IF(Table1[[#This Row],[Category]]="Furniture",Table1[[#This Row],[Sales]]*0.75,
IF(Table1[[#This Row],[Category]]="Clothing",Table1[[#This Row],[Sales]]*0.65,
Table1[[#This Row],[Sales]]*0.7)))</f>
        <v>1611</v>
      </c>
      <c r="I1318" s="11">
        <f ca="1">Table1[[#This Row],[Sales]]-H1318</f>
        <v>537</v>
      </c>
      <c r="J1318" s="2">
        <f ca="1">Table1[[#This Row],[Profit]]/Table1[[#This Row],[Sales]]</f>
        <v>0.25</v>
      </c>
      <c r="K1318" t="str">
        <f ca="1">TEXT(Table1[[#This Row],[Order_Date]],"mmm")</f>
        <v>Oct</v>
      </c>
      <c r="L1318">
        <f ca="1">YEAR(Table1[[#This Row],[Order_Date]])</f>
        <v>2023</v>
      </c>
    </row>
    <row r="1319" spans="1:12" x14ac:dyDescent="0.3">
      <c r="A1319">
        <f t="shared" si="80"/>
        <v>1318</v>
      </c>
      <c r="B1319" s="1">
        <f t="shared" ca="1" si="81"/>
        <v>45213</v>
      </c>
      <c r="C1319" t="s">
        <v>8</v>
      </c>
      <c r="D1319" t="str">
        <f t="shared" ca="1" si="82"/>
        <v>Clothing</v>
      </c>
      <c r="E1319" t="s">
        <v>72</v>
      </c>
      <c r="F1319" s="11">
        <v>1071</v>
      </c>
      <c r="G1319">
        <f t="shared" ca="1" si="83"/>
        <v>10</v>
      </c>
      <c r="H1319" s="11">
        <f ca="1">IF(Table1[[#This Row],[Category]]="Electronics",Table1[[#This Row],[Sales]]*0.6,
IF(Table1[[#This Row],[Category]]="Furniture",Table1[[#This Row],[Sales]]*0.75,
IF(Table1[[#This Row],[Category]]="Clothing",Table1[[#This Row],[Sales]]*0.65,
Table1[[#This Row],[Sales]]*0.7)))</f>
        <v>696.15</v>
      </c>
      <c r="I1319" s="11">
        <f ca="1">Table1[[#This Row],[Sales]]-H1319</f>
        <v>374.85</v>
      </c>
      <c r="J1319" s="2">
        <f ca="1">Table1[[#This Row],[Profit]]/Table1[[#This Row],[Sales]]</f>
        <v>0.35000000000000003</v>
      </c>
      <c r="K1319" t="str">
        <f ca="1">TEXT(Table1[[#This Row],[Order_Date]],"mmm")</f>
        <v>Oct</v>
      </c>
      <c r="L1319">
        <f ca="1">YEAR(Table1[[#This Row],[Order_Date]])</f>
        <v>2023</v>
      </c>
    </row>
    <row r="1320" spans="1:12" x14ac:dyDescent="0.3">
      <c r="A1320">
        <f t="shared" si="80"/>
        <v>1319</v>
      </c>
      <c r="B1320" s="1">
        <f t="shared" ca="1" si="81"/>
        <v>44938</v>
      </c>
      <c r="C1320" t="s">
        <v>9</v>
      </c>
      <c r="D1320" t="str">
        <f t="shared" ca="1" si="82"/>
        <v>Clothing</v>
      </c>
      <c r="E1320" t="s">
        <v>38</v>
      </c>
      <c r="F1320" s="11">
        <v>3261</v>
      </c>
      <c r="G1320">
        <f t="shared" ca="1" si="83"/>
        <v>3</v>
      </c>
      <c r="H1320" s="11">
        <f ca="1">IF(Table1[[#This Row],[Category]]="Electronics",Table1[[#This Row],[Sales]]*0.6,
IF(Table1[[#This Row],[Category]]="Furniture",Table1[[#This Row],[Sales]]*0.75,
IF(Table1[[#This Row],[Category]]="Clothing",Table1[[#This Row],[Sales]]*0.65,
Table1[[#This Row],[Sales]]*0.7)))</f>
        <v>2119.65</v>
      </c>
      <c r="I1320" s="11">
        <f ca="1">Table1[[#This Row],[Sales]]-H1320</f>
        <v>1141.3499999999999</v>
      </c>
      <c r="J1320" s="2">
        <f ca="1">Table1[[#This Row],[Profit]]/Table1[[#This Row],[Sales]]</f>
        <v>0.35</v>
      </c>
      <c r="K1320" t="str">
        <f ca="1">TEXT(Table1[[#This Row],[Order_Date]],"mmm")</f>
        <v>Jan</v>
      </c>
      <c r="L1320">
        <f ca="1">YEAR(Table1[[#This Row],[Order_Date]])</f>
        <v>2023</v>
      </c>
    </row>
    <row r="1321" spans="1:12" x14ac:dyDescent="0.3">
      <c r="A1321">
        <f t="shared" si="80"/>
        <v>1320</v>
      </c>
      <c r="B1321" s="1">
        <f t="shared" ca="1" si="81"/>
        <v>45237</v>
      </c>
      <c r="C1321" t="s">
        <v>10</v>
      </c>
      <c r="D1321" t="str">
        <f t="shared" ca="1" si="82"/>
        <v>Clothing</v>
      </c>
      <c r="E1321" t="s">
        <v>58</v>
      </c>
      <c r="F1321" s="11">
        <v>16209</v>
      </c>
      <c r="G1321">
        <f t="shared" ca="1" si="83"/>
        <v>6</v>
      </c>
      <c r="H1321" s="11">
        <f ca="1">IF(Table1[[#This Row],[Category]]="Electronics",Table1[[#This Row],[Sales]]*0.6,
IF(Table1[[#This Row],[Category]]="Furniture",Table1[[#This Row],[Sales]]*0.75,
IF(Table1[[#This Row],[Category]]="Clothing",Table1[[#This Row],[Sales]]*0.65,
Table1[[#This Row],[Sales]]*0.7)))</f>
        <v>10535.85</v>
      </c>
      <c r="I1321" s="11">
        <f ca="1">Table1[[#This Row],[Sales]]-H1321</f>
        <v>5673.15</v>
      </c>
      <c r="J1321" s="2">
        <f ca="1">Table1[[#This Row],[Profit]]/Table1[[#This Row],[Sales]]</f>
        <v>0.35</v>
      </c>
      <c r="K1321" t="str">
        <f ca="1">TEXT(Table1[[#This Row],[Order_Date]],"mmm")</f>
        <v>Nov</v>
      </c>
      <c r="L1321">
        <f ca="1">YEAR(Table1[[#This Row],[Order_Date]])</f>
        <v>2023</v>
      </c>
    </row>
    <row r="1322" spans="1:12" x14ac:dyDescent="0.3">
      <c r="A1322">
        <f t="shared" si="80"/>
        <v>1321</v>
      </c>
      <c r="B1322" s="1">
        <f t="shared" ca="1" si="81"/>
        <v>45195</v>
      </c>
      <c r="C1322" t="s">
        <v>7</v>
      </c>
      <c r="D1322" t="str">
        <f t="shared" ca="1" si="82"/>
        <v>Electronics</v>
      </c>
      <c r="E1322" t="s">
        <v>42</v>
      </c>
      <c r="F1322" s="11">
        <v>11898</v>
      </c>
      <c r="G1322">
        <f t="shared" ca="1" si="83"/>
        <v>10</v>
      </c>
      <c r="H1322" s="11">
        <f ca="1">IF(Table1[[#This Row],[Category]]="Electronics",Table1[[#This Row],[Sales]]*0.6,
IF(Table1[[#This Row],[Category]]="Furniture",Table1[[#This Row],[Sales]]*0.75,
IF(Table1[[#This Row],[Category]]="Clothing",Table1[[#This Row],[Sales]]*0.65,
Table1[[#This Row],[Sales]]*0.7)))</f>
        <v>7138.8</v>
      </c>
      <c r="I1322" s="11">
        <f ca="1">Table1[[#This Row],[Sales]]-H1322</f>
        <v>4759.2</v>
      </c>
      <c r="J1322" s="2">
        <f ca="1">Table1[[#This Row],[Profit]]/Table1[[#This Row],[Sales]]</f>
        <v>0.39999999999999997</v>
      </c>
      <c r="K1322" t="str">
        <f ca="1">TEXT(Table1[[#This Row],[Order_Date]],"mmm")</f>
        <v>Sep</v>
      </c>
      <c r="L1322">
        <f ca="1">YEAR(Table1[[#This Row],[Order_Date]])</f>
        <v>2023</v>
      </c>
    </row>
    <row r="1323" spans="1:12" x14ac:dyDescent="0.3">
      <c r="A1323">
        <f t="shared" si="80"/>
        <v>1322</v>
      </c>
      <c r="B1323" s="1">
        <f t="shared" ca="1" si="81"/>
        <v>45118</v>
      </c>
      <c r="C1323" t="s">
        <v>8</v>
      </c>
      <c r="D1323" t="str">
        <f t="shared" ca="1" si="82"/>
        <v>Furniture</v>
      </c>
      <c r="E1323" t="s">
        <v>76</v>
      </c>
      <c r="F1323" s="11">
        <v>4117</v>
      </c>
      <c r="G1323">
        <f t="shared" ca="1" si="83"/>
        <v>6</v>
      </c>
      <c r="H1323" s="11">
        <f ca="1">IF(Table1[[#This Row],[Category]]="Electronics",Table1[[#This Row],[Sales]]*0.6,
IF(Table1[[#This Row],[Category]]="Furniture",Table1[[#This Row],[Sales]]*0.75,
IF(Table1[[#This Row],[Category]]="Clothing",Table1[[#This Row],[Sales]]*0.65,
Table1[[#This Row],[Sales]]*0.7)))</f>
        <v>3087.75</v>
      </c>
      <c r="I1323" s="11">
        <f ca="1">Table1[[#This Row],[Sales]]-H1323</f>
        <v>1029.25</v>
      </c>
      <c r="J1323" s="2">
        <f ca="1">Table1[[#This Row],[Profit]]/Table1[[#This Row],[Sales]]</f>
        <v>0.25</v>
      </c>
      <c r="K1323" t="str">
        <f ca="1">TEXT(Table1[[#This Row],[Order_Date]],"mmm")</f>
        <v>Jul</v>
      </c>
      <c r="L1323">
        <f ca="1">YEAR(Table1[[#This Row],[Order_Date]])</f>
        <v>2023</v>
      </c>
    </row>
    <row r="1324" spans="1:12" x14ac:dyDescent="0.3">
      <c r="A1324">
        <f t="shared" si="80"/>
        <v>1323</v>
      </c>
      <c r="B1324" s="1">
        <f t="shared" ca="1" si="81"/>
        <v>44951</v>
      </c>
      <c r="C1324" t="s">
        <v>9</v>
      </c>
      <c r="D1324" t="str">
        <f t="shared" ca="1" si="82"/>
        <v>Furniture</v>
      </c>
      <c r="E1324" t="s">
        <v>77</v>
      </c>
      <c r="F1324" s="11">
        <v>8190</v>
      </c>
      <c r="G1324">
        <f t="shared" ca="1" si="83"/>
        <v>10</v>
      </c>
      <c r="H1324" s="11">
        <f ca="1">IF(Table1[[#This Row],[Category]]="Electronics",Table1[[#This Row],[Sales]]*0.6,
IF(Table1[[#This Row],[Category]]="Furniture",Table1[[#This Row],[Sales]]*0.75,
IF(Table1[[#This Row],[Category]]="Clothing",Table1[[#This Row],[Sales]]*0.65,
Table1[[#This Row],[Sales]]*0.7)))</f>
        <v>6142.5</v>
      </c>
      <c r="I1324" s="11">
        <f ca="1">Table1[[#This Row],[Sales]]-H1324</f>
        <v>2047.5</v>
      </c>
      <c r="J1324" s="2">
        <f ca="1">Table1[[#This Row],[Profit]]/Table1[[#This Row],[Sales]]</f>
        <v>0.25</v>
      </c>
      <c r="K1324" t="str">
        <f ca="1">TEXT(Table1[[#This Row],[Order_Date]],"mmm")</f>
        <v>Jan</v>
      </c>
      <c r="L1324">
        <f ca="1">YEAR(Table1[[#This Row],[Order_Date]])</f>
        <v>2023</v>
      </c>
    </row>
    <row r="1325" spans="1:12" x14ac:dyDescent="0.3">
      <c r="A1325">
        <f t="shared" si="80"/>
        <v>1324</v>
      </c>
      <c r="B1325" s="1">
        <f t="shared" ca="1" si="81"/>
        <v>45179</v>
      </c>
      <c r="C1325" t="s">
        <v>10</v>
      </c>
      <c r="D1325" t="str">
        <f t="shared" ca="1" si="82"/>
        <v>Clothing</v>
      </c>
      <c r="E1325" t="s">
        <v>71</v>
      </c>
      <c r="F1325" s="11">
        <v>13527</v>
      </c>
      <c r="G1325">
        <f t="shared" ca="1" si="83"/>
        <v>4</v>
      </c>
      <c r="H1325" s="11">
        <f ca="1">IF(Table1[[#This Row],[Category]]="Electronics",Table1[[#This Row],[Sales]]*0.6,
IF(Table1[[#This Row],[Category]]="Furniture",Table1[[#This Row],[Sales]]*0.75,
IF(Table1[[#This Row],[Category]]="Clothing",Table1[[#This Row],[Sales]]*0.65,
Table1[[#This Row],[Sales]]*0.7)))</f>
        <v>8792.5500000000011</v>
      </c>
      <c r="I1325" s="11">
        <f ca="1">Table1[[#This Row],[Sales]]-H1325</f>
        <v>4734.4499999999989</v>
      </c>
      <c r="J1325" s="2">
        <f ca="1">Table1[[#This Row],[Profit]]/Table1[[#This Row],[Sales]]</f>
        <v>0.34999999999999992</v>
      </c>
      <c r="K1325" t="str">
        <f ca="1">TEXT(Table1[[#This Row],[Order_Date]],"mmm")</f>
        <v>Sep</v>
      </c>
      <c r="L1325">
        <f ca="1">YEAR(Table1[[#This Row],[Order_Date]])</f>
        <v>2023</v>
      </c>
    </row>
    <row r="1326" spans="1:12" x14ac:dyDescent="0.3">
      <c r="A1326">
        <f t="shared" si="80"/>
        <v>1325</v>
      </c>
      <c r="B1326" s="1">
        <f t="shared" ca="1" si="81"/>
        <v>45239</v>
      </c>
      <c r="C1326" t="s">
        <v>7</v>
      </c>
      <c r="D1326" t="str">
        <f t="shared" ca="1" si="82"/>
        <v>Electronics</v>
      </c>
      <c r="E1326" t="s">
        <v>59</v>
      </c>
      <c r="F1326" s="11">
        <v>4760</v>
      </c>
      <c r="G1326">
        <f t="shared" ca="1" si="83"/>
        <v>3</v>
      </c>
      <c r="H1326" s="11">
        <f ca="1">IF(Table1[[#This Row],[Category]]="Electronics",Table1[[#This Row],[Sales]]*0.6,
IF(Table1[[#This Row],[Category]]="Furniture",Table1[[#This Row],[Sales]]*0.75,
IF(Table1[[#This Row],[Category]]="Clothing",Table1[[#This Row],[Sales]]*0.65,
Table1[[#This Row],[Sales]]*0.7)))</f>
        <v>2856</v>
      </c>
      <c r="I1326" s="11">
        <f ca="1">Table1[[#This Row],[Sales]]-H1326</f>
        <v>1904</v>
      </c>
      <c r="J1326" s="2">
        <f ca="1">Table1[[#This Row],[Profit]]/Table1[[#This Row],[Sales]]</f>
        <v>0.4</v>
      </c>
      <c r="K1326" t="str">
        <f ca="1">TEXT(Table1[[#This Row],[Order_Date]],"mmm")</f>
        <v>Nov</v>
      </c>
      <c r="L1326">
        <f ca="1">YEAR(Table1[[#This Row],[Order_Date]])</f>
        <v>2023</v>
      </c>
    </row>
    <row r="1327" spans="1:12" x14ac:dyDescent="0.3">
      <c r="A1327">
        <f t="shared" si="80"/>
        <v>1326</v>
      </c>
      <c r="B1327" s="1">
        <f t="shared" ca="1" si="81"/>
        <v>45252</v>
      </c>
      <c r="C1327" t="s">
        <v>8</v>
      </c>
      <c r="D1327" t="str">
        <f t="shared" ca="1" si="82"/>
        <v>Clothing</v>
      </c>
      <c r="E1327" t="s">
        <v>54</v>
      </c>
      <c r="F1327" s="11">
        <v>4343</v>
      </c>
      <c r="G1327">
        <f t="shared" ca="1" si="83"/>
        <v>1</v>
      </c>
      <c r="H1327" s="11">
        <f ca="1">IF(Table1[[#This Row],[Category]]="Electronics",Table1[[#This Row],[Sales]]*0.6,
IF(Table1[[#This Row],[Category]]="Furniture",Table1[[#This Row],[Sales]]*0.75,
IF(Table1[[#This Row],[Category]]="Clothing",Table1[[#This Row],[Sales]]*0.65,
Table1[[#This Row],[Sales]]*0.7)))</f>
        <v>2822.9500000000003</v>
      </c>
      <c r="I1327" s="11">
        <f ca="1">Table1[[#This Row],[Sales]]-H1327</f>
        <v>1520.0499999999997</v>
      </c>
      <c r="J1327" s="2">
        <f ca="1">Table1[[#This Row],[Profit]]/Table1[[#This Row],[Sales]]</f>
        <v>0.34999999999999992</v>
      </c>
      <c r="K1327" t="str">
        <f ca="1">TEXT(Table1[[#This Row],[Order_Date]],"mmm")</f>
        <v>Nov</v>
      </c>
      <c r="L1327">
        <f ca="1">YEAR(Table1[[#This Row],[Order_Date]])</f>
        <v>2023</v>
      </c>
    </row>
    <row r="1328" spans="1:12" x14ac:dyDescent="0.3">
      <c r="A1328">
        <f t="shared" si="80"/>
        <v>1327</v>
      </c>
      <c r="B1328" s="1">
        <f t="shared" ca="1" si="81"/>
        <v>45079</v>
      </c>
      <c r="C1328" t="s">
        <v>9</v>
      </c>
      <c r="D1328" t="str">
        <f t="shared" ca="1" si="82"/>
        <v>Furniture</v>
      </c>
      <c r="E1328" t="s">
        <v>57</v>
      </c>
      <c r="F1328" s="11">
        <v>14848</v>
      </c>
      <c r="G1328">
        <f t="shared" ca="1" si="83"/>
        <v>8</v>
      </c>
      <c r="H1328" s="11">
        <f ca="1">IF(Table1[[#This Row],[Category]]="Electronics",Table1[[#This Row],[Sales]]*0.6,
IF(Table1[[#This Row],[Category]]="Furniture",Table1[[#This Row],[Sales]]*0.75,
IF(Table1[[#This Row],[Category]]="Clothing",Table1[[#This Row],[Sales]]*0.65,
Table1[[#This Row],[Sales]]*0.7)))</f>
        <v>11136</v>
      </c>
      <c r="I1328" s="11">
        <f ca="1">Table1[[#This Row],[Sales]]-H1328</f>
        <v>3712</v>
      </c>
      <c r="J1328" s="2">
        <f ca="1">Table1[[#This Row],[Profit]]/Table1[[#This Row],[Sales]]</f>
        <v>0.25</v>
      </c>
      <c r="K1328" t="str">
        <f ca="1">TEXT(Table1[[#This Row],[Order_Date]],"mmm")</f>
        <v>Jun</v>
      </c>
      <c r="L1328">
        <f ca="1">YEAR(Table1[[#This Row],[Order_Date]])</f>
        <v>2023</v>
      </c>
    </row>
    <row r="1329" spans="1:12" x14ac:dyDescent="0.3">
      <c r="A1329">
        <f t="shared" si="80"/>
        <v>1328</v>
      </c>
      <c r="B1329" s="1">
        <f t="shared" ca="1" si="81"/>
        <v>45080</v>
      </c>
      <c r="C1329" t="s">
        <v>10</v>
      </c>
      <c r="D1329" t="str">
        <f t="shared" ca="1" si="82"/>
        <v>Furniture</v>
      </c>
      <c r="E1329" t="s">
        <v>51</v>
      </c>
      <c r="F1329" s="11">
        <v>6341</v>
      </c>
      <c r="G1329">
        <f t="shared" ca="1" si="83"/>
        <v>2</v>
      </c>
      <c r="H1329" s="11">
        <f ca="1">IF(Table1[[#This Row],[Category]]="Electronics",Table1[[#This Row],[Sales]]*0.6,
IF(Table1[[#This Row],[Category]]="Furniture",Table1[[#This Row],[Sales]]*0.75,
IF(Table1[[#This Row],[Category]]="Clothing",Table1[[#This Row],[Sales]]*0.65,
Table1[[#This Row],[Sales]]*0.7)))</f>
        <v>4755.75</v>
      </c>
      <c r="I1329" s="11">
        <f ca="1">Table1[[#This Row],[Sales]]-H1329</f>
        <v>1585.25</v>
      </c>
      <c r="J1329" s="2">
        <f ca="1">Table1[[#This Row],[Profit]]/Table1[[#This Row],[Sales]]</f>
        <v>0.25</v>
      </c>
      <c r="K1329" t="str">
        <f ca="1">TEXT(Table1[[#This Row],[Order_Date]],"mmm")</f>
        <v>Jun</v>
      </c>
      <c r="L1329">
        <f ca="1">YEAR(Table1[[#This Row],[Order_Date]])</f>
        <v>2023</v>
      </c>
    </row>
    <row r="1330" spans="1:12" x14ac:dyDescent="0.3">
      <c r="A1330">
        <f t="shared" si="80"/>
        <v>1329</v>
      </c>
      <c r="B1330" s="1">
        <f t="shared" ca="1" si="81"/>
        <v>45280</v>
      </c>
      <c r="C1330" t="s">
        <v>7</v>
      </c>
      <c r="D1330" t="str">
        <f t="shared" ca="1" si="82"/>
        <v>Electronics</v>
      </c>
      <c r="E1330" t="s">
        <v>46</v>
      </c>
      <c r="F1330" s="11">
        <v>1526</v>
      </c>
      <c r="G1330">
        <f t="shared" ca="1" si="83"/>
        <v>5</v>
      </c>
      <c r="H1330" s="11">
        <f ca="1">IF(Table1[[#This Row],[Category]]="Electronics",Table1[[#This Row],[Sales]]*0.6,
IF(Table1[[#This Row],[Category]]="Furniture",Table1[[#This Row],[Sales]]*0.75,
IF(Table1[[#This Row],[Category]]="Clothing",Table1[[#This Row],[Sales]]*0.65,
Table1[[#This Row],[Sales]]*0.7)))</f>
        <v>915.6</v>
      </c>
      <c r="I1330" s="11">
        <f ca="1">Table1[[#This Row],[Sales]]-H1330</f>
        <v>610.4</v>
      </c>
      <c r="J1330" s="2">
        <f ca="1">Table1[[#This Row],[Profit]]/Table1[[#This Row],[Sales]]</f>
        <v>0.39999999999999997</v>
      </c>
      <c r="K1330" t="str">
        <f ca="1">TEXT(Table1[[#This Row],[Order_Date]],"mmm")</f>
        <v>Dec</v>
      </c>
      <c r="L1330">
        <f ca="1">YEAR(Table1[[#This Row],[Order_Date]])</f>
        <v>2023</v>
      </c>
    </row>
    <row r="1331" spans="1:12" x14ac:dyDescent="0.3">
      <c r="A1331">
        <f t="shared" si="80"/>
        <v>1330</v>
      </c>
      <c r="B1331" s="1">
        <f t="shared" ca="1" si="81"/>
        <v>45103</v>
      </c>
      <c r="C1331" t="s">
        <v>8</v>
      </c>
      <c r="D1331" t="str">
        <f t="shared" ca="1" si="82"/>
        <v>Clothing</v>
      </c>
      <c r="E1331" t="s">
        <v>61</v>
      </c>
      <c r="F1331" s="11">
        <v>3725</v>
      </c>
      <c r="G1331">
        <f t="shared" ca="1" si="83"/>
        <v>5</v>
      </c>
      <c r="H1331" s="11">
        <f ca="1">IF(Table1[[#This Row],[Category]]="Electronics",Table1[[#This Row],[Sales]]*0.6,
IF(Table1[[#This Row],[Category]]="Furniture",Table1[[#This Row],[Sales]]*0.75,
IF(Table1[[#This Row],[Category]]="Clothing",Table1[[#This Row],[Sales]]*0.65,
Table1[[#This Row],[Sales]]*0.7)))</f>
        <v>2421.25</v>
      </c>
      <c r="I1331" s="11">
        <f ca="1">Table1[[#This Row],[Sales]]-H1331</f>
        <v>1303.75</v>
      </c>
      <c r="J1331" s="2">
        <f ca="1">Table1[[#This Row],[Profit]]/Table1[[#This Row],[Sales]]</f>
        <v>0.35</v>
      </c>
      <c r="K1331" t="str">
        <f ca="1">TEXT(Table1[[#This Row],[Order_Date]],"mmm")</f>
        <v>Jun</v>
      </c>
      <c r="L1331">
        <f ca="1">YEAR(Table1[[#This Row],[Order_Date]])</f>
        <v>2023</v>
      </c>
    </row>
    <row r="1332" spans="1:12" x14ac:dyDescent="0.3">
      <c r="A1332">
        <f t="shared" si="80"/>
        <v>1331</v>
      </c>
      <c r="B1332" s="1">
        <f t="shared" ca="1" si="81"/>
        <v>45235</v>
      </c>
      <c r="C1332" t="s">
        <v>9</v>
      </c>
      <c r="D1332" t="str">
        <f t="shared" ca="1" si="82"/>
        <v>Office Supplies</v>
      </c>
      <c r="E1332" t="s">
        <v>83</v>
      </c>
      <c r="F1332" s="11">
        <v>9359</v>
      </c>
      <c r="G1332">
        <f t="shared" ca="1" si="83"/>
        <v>5</v>
      </c>
      <c r="H1332" s="11">
        <f ca="1">IF(Table1[[#This Row],[Category]]="Electronics",Table1[[#This Row],[Sales]]*0.6,
IF(Table1[[#This Row],[Category]]="Furniture",Table1[[#This Row],[Sales]]*0.75,
IF(Table1[[#This Row],[Category]]="Clothing",Table1[[#This Row],[Sales]]*0.65,
Table1[[#This Row],[Sales]]*0.7)))</f>
        <v>6551.2999999999993</v>
      </c>
      <c r="I1332" s="11">
        <f ca="1">Table1[[#This Row],[Sales]]-H1332</f>
        <v>2807.7000000000007</v>
      </c>
      <c r="J1332" s="2">
        <f ca="1">Table1[[#This Row],[Profit]]/Table1[[#This Row],[Sales]]</f>
        <v>0.3000000000000001</v>
      </c>
      <c r="K1332" t="str">
        <f ca="1">TEXT(Table1[[#This Row],[Order_Date]],"mmm")</f>
        <v>Nov</v>
      </c>
      <c r="L1332">
        <f ca="1">YEAR(Table1[[#This Row],[Order_Date]])</f>
        <v>2023</v>
      </c>
    </row>
    <row r="1333" spans="1:12" x14ac:dyDescent="0.3">
      <c r="A1333">
        <f t="shared" si="80"/>
        <v>1332</v>
      </c>
      <c r="B1333" s="1">
        <f t="shared" ca="1" si="81"/>
        <v>45054</v>
      </c>
      <c r="C1333" t="s">
        <v>10</v>
      </c>
      <c r="D1333" t="str">
        <f t="shared" ca="1" si="82"/>
        <v>Clothing</v>
      </c>
      <c r="E1333" t="s">
        <v>44</v>
      </c>
      <c r="F1333" s="11">
        <v>13736</v>
      </c>
      <c r="G1333">
        <f t="shared" ca="1" si="83"/>
        <v>5</v>
      </c>
      <c r="H1333" s="11">
        <f ca="1">IF(Table1[[#This Row],[Category]]="Electronics",Table1[[#This Row],[Sales]]*0.6,
IF(Table1[[#This Row],[Category]]="Furniture",Table1[[#This Row],[Sales]]*0.75,
IF(Table1[[#This Row],[Category]]="Clothing",Table1[[#This Row],[Sales]]*0.65,
Table1[[#This Row],[Sales]]*0.7)))</f>
        <v>8928.4</v>
      </c>
      <c r="I1333" s="11">
        <f ca="1">Table1[[#This Row],[Sales]]-H1333</f>
        <v>4807.6000000000004</v>
      </c>
      <c r="J1333" s="2">
        <f ca="1">Table1[[#This Row],[Profit]]/Table1[[#This Row],[Sales]]</f>
        <v>0.35000000000000003</v>
      </c>
      <c r="K1333" t="str">
        <f ca="1">TEXT(Table1[[#This Row],[Order_Date]],"mmm")</f>
        <v>May</v>
      </c>
      <c r="L1333">
        <f ca="1">YEAR(Table1[[#This Row],[Order_Date]])</f>
        <v>2023</v>
      </c>
    </row>
    <row r="1334" spans="1:12" x14ac:dyDescent="0.3">
      <c r="A1334">
        <f t="shared" si="80"/>
        <v>1333</v>
      </c>
      <c r="B1334" s="1">
        <f t="shared" ca="1" si="81"/>
        <v>44977</v>
      </c>
      <c r="C1334" t="s">
        <v>7</v>
      </c>
      <c r="D1334" t="str">
        <f t="shared" ca="1" si="82"/>
        <v>Office Supplies</v>
      </c>
      <c r="E1334" t="s">
        <v>42</v>
      </c>
      <c r="F1334" s="11">
        <v>18080</v>
      </c>
      <c r="G1334">
        <f t="shared" ca="1" si="83"/>
        <v>7</v>
      </c>
      <c r="H1334" s="11">
        <f ca="1">IF(Table1[[#This Row],[Category]]="Electronics",Table1[[#This Row],[Sales]]*0.6,
IF(Table1[[#This Row],[Category]]="Furniture",Table1[[#This Row],[Sales]]*0.75,
IF(Table1[[#This Row],[Category]]="Clothing",Table1[[#This Row],[Sales]]*0.65,
Table1[[#This Row],[Sales]]*0.7)))</f>
        <v>12656</v>
      </c>
      <c r="I1334" s="11">
        <f ca="1">Table1[[#This Row],[Sales]]-H1334</f>
        <v>5424</v>
      </c>
      <c r="J1334" s="2">
        <f ca="1">Table1[[#This Row],[Profit]]/Table1[[#This Row],[Sales]]</f>
        <v>0.3</v>
      </c>
      <c r="K1334" t="str">
        <f ca="1">TEXT(Table1[[#This Row],[Order_Date]],"mmm")</f>
        <v>Feb</v>
      </c>
      <c r="L1334">
        <f ca="1">YEAR(Table1[[#This Row],[Order_Date]])</f>
        <v>2023</v>
      </c>
    </row>
    <row r="1335" spans="1:12" x14ac:dyDescent="0.3">
      <c r="A1335">
        <f t="shared" si="80"/>
        <v>1334</v>
      </c>
      <c r="B1335" s="1">
        <f t="shared" ca="1" si="81"/>
        <v>45121</v>
      </c>
      <c r="C1335" t="s">
        <v>8</v>
      </c>
      <c r="D1335" t="str">
        <f t="shared" ca="1" si="82"/>
        <v>Clothing</v>
      </c>
      <c r="E1335" t="s">
        <v>39</v>
      </c>
      <c r="F1335" s="11">
        <v>2892</v>
      </c>
      <c r="G1335">
        <f t="shared" ca="1" si="83"/>
        <v>7</v>
      </c>
      <c r="H1335" s="11">
        <f ca="1">IF(Table1[[#This Row],[Category]]="Electronics",Table1[[#This Row],[Sales]]*0.6,
IF(Table1[[#This Row],[Category]]="Furniture",Table1[[#This Row],[Sales]]*0.75,
IF(Table1[[#This Row],[Category]]="Clothing",Table1[[#This Row],[Sales]]*0.65,
Table1[[#This Row],[Sales]]*0.7)))</f>
        <v>1879.8</v>
      </c>
      <c r="I1335" s="11">
        <f ca="1">Table1[[#This Row],[Sales]]-H1335</f>
        <v>1012.2</v>
      </c>
      <c r="J1335" s="2">
        <f ca="1">Table1[[#This Row],[Profit]]/Table1[[#This Row],[Sales]]</f>
        <v>0.35000000000000003</v>
      </c>
      <c r="K1335" t="str">
        <f ca="1">TEXT(Table1[[#This Row],[Order_Date]],"mmm")</f>
        <v>Jul</v>
      </c>
      <c r="L1335">
        <f ca="1">YEAR(Table1[[#This Row],[Order_Date]])</f>
        <v>2023</v>
      </c>
    </row>
    <row r="1336" spans="1:12" x14ac:dyDescent="0.3">
      <c r="A1336">
        <f t="shared" si="80"/>
        <v>1335</v>
      </c>
      <c r="B1336" s="1">
        <f t="shared" ca="1" si="81"/>
        <v>45207</v>
      </c>
      <c r="C1336" t="s">
        <v>9</v>
      </c>
      <c r="D1336" t="str">
        <f t="shared" ca="1" si="82"/>
        <v>Office Supplies</v>
      </c>
      <c r="E1336" t="s">
        <v>77</v>
      </c>
      <c r="F1336" s="11">
        <v>2259</v>
      </c>
      <c r="G1336">
        <f t="shared" ca="1" si="83"/>
        <v>6</v>
      </c>
      <c r="H1336" s="11">
        <f ca="1">IF(Table1[[#This Row],[Category]]="Electronics",Table1[[#This Row],[Sales]]*0.6,
IF(Table1[[#This Row],[Category]]="Furniture",Table1[[#This Row],[Sales]]*0.75,
IF(Table1[[#This Row],[Category]]="Clothing",Table1[[#This Row],[Sales]]*0.65,
Table1[[#This Row],[Sales]]*0.7)))</f>
        <v>1581.3</v>
      </c>
      <c r="I1336" s="11">
        <f ca="1">Table1[[#This Row],[Sales]]-H1336</f>
        <v>677.7</v>
      </c>
      <c r="J1336" s="2">
        <f ca="1">Table1[[#This Row],[Profit]]/Table1[[#This Row],[Sales]]</f>
        <v>0.30000000000000004</v>
      </c>
      <c r="K1336" t="str">
        <f ca="1">TEXT(Table1[[#This Row],[Order_Date]],"mmm")</f>
        <v>Oct</v>
      </c>
      <c r="L1336">
        <f ca="1">YEAR(Table1[[#This Row],[Order_Date]])</f>
        <v>2023</v>
      </c>
    </row>
    <row r="1337" spans="1:12" x14ac:dyDescent="0.3">
      <c r="A1337">
        <f t="shared" si="80"/>
        <v>1336</v>
      </c>
      <c r="B1337" s="1">
        <f t="shared" ca="1" si="81"/>
        <v>45173</v>
      </c>
      <c r="C1337" t="s">
        <v>10</v>
      </c>
      <c r="D1337" t="str">
        <f t="shared" ca="1" si="82"/>
        <v>Office Supplies</v>
      </c>
      <c r="E1337" t="s">
        <v>75</v>
      </c>
      <c r="F1337" s="11">
        <v>12923</v>
      </c>
      <c r="G1337">
        <f t="shared" ca="1" si="83"/>
        <v>5</v>
      </c>
      <c r="H1337" s="11">
        <f ca="1">IF(Table1[[#This Row],[Category]]="Electronics",Table1[[#This Row],[Sales]]*0.6,
IF(Table1[[#This Row],[Category]]="Furniture",Table1[[#This Row],[Sales]]*0.75,
IF(Table1[[#This Row],[Category]]="Clothing",Table1[[#This Row],[Sales]]*0.65,
Table1[[#This Row],[Sales]]*0.7)))</f>
        <v>9046.0999999999985</v>
      </c>
      <c r="I1337" s="11">
        <f ca="1">Table1[[#This Row],[Sales]]-H1337</f>
        <v>3876.9000000000015</v>
      </c>
      <c r="J1337" s="2">
        <f ca="1">Table1[[#This Row],[Profit]]/Table1[[#This Row],[Sales]]</f>
        <v>0.3000000000000001</v>
      </c>
      <c r="K1337" t="str">
        <f ca="1">TEXT(Table1[[#This Row],[Order_Date]],"mmm")</f>
        <v>Sep</v>
      </c>
      <c r="L1337">
        <f ca="1">YEAR(Table1[[#This Row],[Order_Date]])</f>
        <v>2023</v>
      </c>
    </row>
    <row r="1338" spans="1:12" x14ac:dyDescent="0.3">
      <c r="A1338">
        <f t="shared" si="80"/>
        <v>1337</v>
      </c>
      <c r="B1338" s="1">
        <f t="shared" ca="1" si="81"/>
        <v>45211</v>
      </c>
      <c r="C1338" t="s">
        <v>7</v>
      </c>
      <c r="D1338" t="str">
        <f t="shared" ca="1" si="82"/>
        <v>Furniture</v>
      </c>
      <c r="E1338" t="s">
        <v>65</v>
      </c>
      <c r="F1338" s="11">
        <v>7124</v>
      </c>
      <c r="G1338">
        <f t="shared" ca="1" si="83"/>
        <v>1</v>
      </c>
      <c r="H1338" s="11">
        <f ca="1">IF(Table1[[#This Row],[Category]]="Electronics",Table1[[#This Row],[Sales]]*0.6,
IF(Table1[[#This Row],[Category]]="Furniture",Table1[[#This Row],[Sales]]*0.75,
IF(Table1[[#This Row],[Category]]="Clothing",Table1[[#This Row],[Sales]]*0.65,
Table1[[#This Row],[Sales]]*0.7)))</f>
        <v>5343</v>
      </c>
      <c r="I1338" s="11">
        <f ca="1">Table1[[#This Row],[Sales]]-H1338</f>
        <v>1781</v>
      </c>
      <c r="J1338" s="2">
        <f ca="1">Table1[[#This Row],[Profit]]/Table1[[#This Row],[Sales]]</f>
        <v>0.25</v>
      </c>
      <c r="K1338" t="str">
        <f ca="1">TEXT(Table1[[#This Row],[Order_Date]],"mmm")</f>
        <v>Oct</v>
      </c>
      <c r="L1338">
        <f ca="1">YEAR(Table1[[#This Row],[Order_Date]])</f>
        <v>2023</v>
      </c>
    </row>
    <row r="1339" spans="1:12" x14ac:dyDescent="0.3">
      <c r="A1339">
        <f t="shared" si="80"/>
        <v>1338</v>
      </c>
      <c r="B1339" s="1">
        <f t="shared" ca="1" si="81"/>
        <v>44960</v>
      </c>
      <c r="C1339" t="s">
        <v>8</v>
      </c>
      <c r="D1339" t="str">
        <f t="shared" ca="1" si="82"/>
        <v>Furniture</v>
      </c>
      <c r="E1339" t="s">
        <v>39</v>
      </c>
      <c r="F1339" s="11">
        <v>8744</v>
      </c>
      <c r="G1339">
        <f t="shared" ca="1" si="83"/>
        <v>5</v>
      </c>
      <c r="H1339" s="11">
        <f ca="1">IF(Table1[[#This Row],[Category]]="Electronics",Table1[[#This Row],[Sales]]*0.6,
IF(Table1[[#This Row],[Category]]="Furniture",Table1[[#This Row],[Sales]]*0.75,
IF(Table1[[#This Row],[Category]]="Clothing",Table1[[#This Row],[Sales]]*0.65,
Table1[[#This Row],[Sales]]*0.7)))</f>
        <v>6558</v>
      </c>
      <c r="I1339" s="11">
        <f ca="1">Table1[[#This Row],[Sales]]-H1339</f>
        <v>2186</v>
      </c>
      <c r="J1339" s="2">
        <f ca="1">Table1[[#This Row],[Profit]]/Table1[[#This Row],[Sales]]</f>
        <v>0.25</v>
      </c>
      <c r="K1339" t="str">
        <f ca="1">TEXT(Table1[[#This Row],[Order_Date]],"mmm")</f>
        <v>Feb</v>
      </c>
      <c r="L1339">
        <f ca="1">YEAR(Table1[[#This Row],[Order_Date]])</f>
        <v>2023</v>
      </c>
    </row>
    <row r="1340" spans="1:12" x14ac:dyDescent="0.3">
      <c r="A1340">
        <f t="shared" si="80"/>
        <v>1339</v>
      </c>
      <c r="B1340" s="1">
        <f t="shared" ca="1" si="81"/>
        <v>44951</v>
      </c>
      <c r="C1340" t="s">
        <v>9</v>
      </c>
      <c r="D1340" t="str">
        <f t="shared" ca="1" si="82"/>
        <v>Furniture</v>
      </c>
      <c r="E1340" t="s">
        <v>51</v>
      </c>
      <c r="F1340" s="11">
        <v>5659</v>
      </c>
      <c r="G1340">
        <f t="shared" ca="1" si="83"/>
        <v>3</v>
      </c>
      <c r="H1340" s="11">
        <f ca="1">IF(Table1[[#This Row],[Category]]="Electronics",Table1[[#This Row],[Sales]]*0.6,
IF(Table1[[#This Row],[Category]]="Furniture",Table1[[#This Row],[Sales]]*0.75,
IF(Table1[[#This Row],[Category]]="Clothing",Table1[[#This Row],[Sales]]*0.65,
Table1[[#This Row],[Sales]]*0.7)))</f>
        <v>4244.25</v>
      </c>
      <c r="I1340" s="11">
        <f ca="1">Table1[[#This Row],[Sales]]-H1340</f>
        <v>1414.75</v>
      </c>
      <c r="J1340" s="2">
        <f ca="1">Table1[[#This Row],[Profit]]/Table1[[#This Row],[Sales]]</f>
        <v>0.25</v>
      </c>
      <c r="K1340" t="str">
        <f ca="1">TEXT(Table1[[#This Row],[Order_Date]],"mmm")</f>
        <v>Jan</v>
      </c>
      <c r="L1340">
        <f ca="1">YEAR(Table1[[#This Row],[Order_Date]])</f>
        <v>2023</v>
      </c>
    </row>
    <row r="1341" spans="1:12" x14ac:dyDescent="0.3">
      <c r="A1341">
        <f t="shared" si="80"/>
        <v>1340</v>
      </c>
      <c r="B1341" s="1">
        <f t="shared" ca="1" si="81"/>
        <v>45105</v>
      </c>
      <c r="C1341" t="s">
        <v>10</v>
      </c>
      <c r="D1341" t="str">
        <f t="shared" ca="1" si="82"/>
        <v>Clothing</v>
      </c>
      <c r="E1341" t="s">
        <v>75</v>
      </c>
      <c r="F1341" s="11">
        <v>17605</v>
      </c>
      <c r="G1341">
        <f t="shared" ca="1" si="83"/>
        <v>2</v>
      </c>
      <c r="H1341" s="11">
        <f ca="1">IF(Table1[[#This Row],[Category]]="Electronics",Table1[[#This Row],[Sales]]*0.6,
IF(Table1[[#This Row],[Category]]="Furniture",Table1[[#This Row],[Sales]]*0.75,
IF(Table1[[#This Row],[Category]]="Clothing",Table1[[#This Row],[Sales]]*0.65,
Table1[[#This Row],[Sales]]*0.7)))</f>
        <v>11443.25</v>
      </c>
      <c r="I1341" s="11">
        <f ca="1">Table1[[#This Row],[Sales]]-H1341</f>
        <v>6161.75</v>
      </c>
      <c r="J1341" s="2">
        <f ca="1">Table1[[#This Row],[Profit]]/Table1[[#This Row],[Sales]]</f>
        <v>0.35</v>
      </c>
      <c r="K1341" t="str">
        <f ca="1">TEXT(Table1[[#This Row],[Order_Date]],"mmm")</f>
        <v>Jun</v>
      </c>
      <c r="L1341">
        <f ca="1">YEAR(Table1[[#This Row],[Order_Date]])</f>
        <v>2023</v>
      </c>
    </row>
    <row r="1342" spans="1:12" x14ac:dyDescent="0.3">
      <c r="A1342">
        <f t="shared" si="80"/>
        <v>1341</v>
      </c>
      <c r="B1342" s="1">
        <f t="shared" ca="1" si="81"/>
        <v>45242</v>
      </c>
      <c r="C1342" t="s">
        <v>7</v>
      </c>
      <c r="D1342" t="str">
        <f t="shared" ca="1" si="82"/>
        <v>Electronics</v>
      </c>
      <c r="E1342" t="s">
        <v>54</v>
      </c>
      <c r="F1342" s="11">
        <v>17185</v>
      </c>
      <c r="G1342">
        <f t="shared" ca="1" si="83"/>
        <v>1</v>
      </c>
      <c r="H1342" s="11">
        <f ca="1">IF(Table1[[#This Row],[Category]]="Electronics",Table1[[#This Row],[Sales]]*0.6,
IF(Table1[[#This Row],[Category]]="Furniture",Table1[[#This Row],[Sales]]*0.75,
IF(Table1[[#This Row],[Category]]="Clothing",Table1[[#This Row],[Sales]]*0.65,
Table1[[#This Row],[Sales]]*0.7)))</f>
        <v>10311</v>
      </c>
      <c r="I1342" s="11">
        <f ca="1">Table1[[#This Row],[Sales]]-H1342</f>
        <v>6874</v>
      </c>
      <c r="J1342" s="2">
        <f ca="1">Table1[[#This Row],[Profit]]/Table1[[#This Row],[Sales]]</f>
        <v>0.4</v>
      </c>
      <c r="K1342" t="str">
        <f ca="1">TEXT(Table1[[#This Row],[Order_Date]],"mmm")</f>
        <v>Nov</v>
      </c>
      <c r="L1342">
        <f ca="1">YEAR(Table1[[#This Row],[Order_Date]])</f>
        <v>2023</v>
      </c>
    </row>
    <row r="1343" spans="1:12" x14ac:dyDescent="0.3">
      <c r="A1343">
        <f t="shared" si="80"/>
        <v>1342</v>
      </c>
      <c r="B1343" s="1">
        <f t="shared" ca="1" si="81"/>
        <v>44990</v>
      </c>
      <c r="C1343" t="s">
        <v>8</v>
      </c>
      <c r="D1343" t="str">
        <f t="shared" ca="1" si="82"/>
        <v>Furniture</v>
      </c>
      <c r="E1343" t="s">
        <v>59</v>
      </c>
      <c r="F1343" s="11">
        <v>16552</v>
      </c>
      <c r="G1343">
        <f t="shared" ca="1" si="83"/>
        <v>3</v>
      </c>
      <c r="H1343" s="11">
        <f ca="1">IF(Table1[[#This Row],[Category]]="Electronics",Table1[[#This Row],[Sales]]*0.6,
IF(Table1[[#This Row],[Category]]="Furniture",Table1[[#This Row],[Sales]]*0.75,
IF(Table1[[#This Row],[Category]]="Clothing",Table1[[#This Row],[Sales]]*0.65,
Table1[[#This Row],[Sales]]*0.7)))</f>
        <v>12414</v>
      </c>
      <c r="I1343" s="11">
        <f ca="1">Table1[[#This Row],[Sales]]-H1343</f>
        <v>4138</v>
      </c>
      <c r="J1343" s="2">
        <f ca="1">Table1[[#This Row],[Profit]]/Table1[[#This Row],[Sales]]</f>
        <v>0.25</v>
      </c>
      <c r="K1343" t="str">
        <f ca="1">TEXT(Table1[[#This Row],[Order_Date]],"mmm")</f>
        <v>Mar</v>
      </c>
      <c r="L1343">
        <f ca="1">YEAR(Table1[[#This Row],[Order_Date]])</f>
        <v>2023</v>
      </c>
    </row>
    <row r="1344" spans="1:12" x14ac:dyDescent="0.3">
      <c r="A1344">
        <f t="shared" si="80"/>
        <v>1343</v>
      </c>
      <c r="B1344" s="1">
        <f t="shared" ca="1" si="81"/>
        <v>45200</v>
      </c>
      <c r="C1344" t="s">
        <v>9</v>
      </c>
      <c r="D1344" t="str">
        <f t="shared" ca="1" si="82"/>
        <v>Office Supplies</v>
      </c>
      <c r="E1344" t="s">
        <v>44</v>
      </c>
      <c r="F1344" s="11">
        <v>1236</v>
      </c>
      <c r="G1344">
        <f t="shared" ca="1" si="83"/>
        <v>10</v>
      </c>
      <c r="H1344" s="11">
        <f ca="1">IF(Table1[[#This Row],[Category]]="Electronics",Table1[[#This Row],[Sales]]*0.6,
IF(Table1[[#This Row],[Category]]="Furniture",Table1[[#This Row],[Sales]]*0.75,
IF(Table1[[#This Row],[Category]]="Clothing",Table1[[#This Row],[Sales]]*0.65,
Table1[[#This Row],[Sales]]*0.7)))</f>
        <v>865.19999999999993</v>
      </c>
      <c r="I1344" s="11">
        <f ca="1">Table1[[#This Row],[Sales]]-H1344</f>
        <v>370.80000000000007</v>
      </c>
      <c r="J1344" s="2">
        <f ca="1">Table1[[#This Row],[Profit]]/Table1[[#This Row],[Sales]]</f>
        <v>0.30000000000000004</v>
      </c>
      <c r="K1344" t="str">
        <f ca="1">TEXT(Table1[[#This Row],[Order_Date]],"mmm")</f>
        <v>Oct</v>
      </c>
      <c r="L1344">
        <f ca="1">YEAR(Table1[[#This Row],[Order_Date]])</f>
        <v>2023</v>
      </c>
    </row>
    <row r="1345" spans="1:12" x14ac:dyDescent="0.3">
      <c r="A1345">
        <f t="shared" si="80"/>
        <v>1344</v>
      </c>
      <c r="B1345" s="1">
        <f t="shared" ca="1" si="81"/>
        <v>45223</v>
      </c>
      <c r="C1345" t="s">
        <v>10</v>
      </c>
      <c r="D1345" t="str">
        <f t="shared" ca="1" si="82"/>
        <v>Office Supplies</v>
      </c>
      <c r="E1345" t="s">
        <v>47</v>
      </c>
      <c r="F1345" s="11">
        <v>11035</v>
      </c>
      <c r="G1345">
        <f t="shared" ca="1" si="83"/>
        <v>1</v>
      </c>
      <c r="H1345" s="11">
        <f ca="1">IF(Table1[[#This Row],[Category]]="Electronics",Table1[[#This Row],[Sales]]*0.6,
IF(Table1[[#This Row],[Category]]="Furniture",Table1[[#This Row],[Sales]]*0.75,
IF(Table1[[#This Row],[Category]]="Clothing",Table1[[#This Row],[Sales]]*0.65,
Table1[[#This Row],[Sales]]*0.7)))</f>
        <v>7724.4999999999991</v>
      </c>
      <c r="I1345" s="11">
        <f ca="1">Table1[[#This Row],[Sales]]-H1345</f>
        <v>3310.5000000000009</v>
      </c>
      <c r="J1345" s="2">
        <f ca="1">Table1[[#This Row],[Profit]]/Table1[[#This Row],[Sales]]</f>
        <v>0.3000000000000001</v>
      </c>
      <c r="K1345" t="str">
        <f ca="1">TEXT(Table1[[#This Row],[Order_Date]],"mmm")</f>
        <v>Oct</v>
      </c>
      <c r="L1345">
        <f ca="1">YEAR(Table1[[#This Row],[Order_Date]])</f>
        <v>2023</v>
      </c>
    </row>
    <row r="1346" spans="1:12" x14ac:dyDescent="0.3">
      <c r="A1346">
        <f t="shared" si="80"/>
        <v>1345</v>
      </c>
      <c r="B1346" s="1">
        <f t="shared" ca="1" si="81"/>
        <v>45039</v>
      </c>
      <c r="C1346" t="s">
        <v>7</v>
      </c>
      <c r="D1346" t="str">
        <f t="shared" ca="1" si="82"/>
        <v>Office Supplies</v>
      </c>
      <c r="E1346" t="s">
        <v>63</v>
      </c>
      <c r="F1346" s="11">
        <v>5227</v>
      </c>
      <c r="G1346">
        <f t="shared" ca="1" si="83"/>
        <v>6</v>
      </c>
      <c r="H1346" s="11">
        <f ca="1">IF(Table1[[#This Row],[Category]]="Electronics",Table1[[#This Row],[Sales]]*0.6,
IF(Table1[[#This Row],[Category]]="Furniture",Table1[[#This Row],[Sales]]*0.75,
IF(Table1[[#This Row],[Category]]="Clothing",Table1[[#This Row],[Sales]]*0.65,
Table1[[#This Row],[Sales]]*0.7)))</f>
        <v>3658.8999999999996</v>
      </c>
      <c r="I1346" s="11">
        <f ca="1">Table1[[#This Row],[Sales]]-H1346</f>
        <v>1568.1000000000004</v>
      </c>
      <c r="J1346" s="2">
        <f ca="1">Table1[[#This Row],[Profit]]/Table1[[#This Row],[Sales]]</f>
        <v>0.30000000000000004</v>
      </c>
      <c r="K1346" t="str">
        <f ca="1">TEXT(Table1[[#This Row],[Order_Date]],"mmm")</f>
        <v>Apr</v>
      </c>
      <c r="L1346">
        <f ca="1">YEAR(Table1[[#This Row],[Order_Date]])</f>
        <v>2023</v>
      </c>
    </row>
    <row r="1347" spans="1:12" x14ac:dyDescent="0.3">
      <c r="A1347">
        <f t="shared" ref="A1347:A1410" si="84">ROW()-1</f>
        <v>1346</v>
      </c>
      <c r="B1347" s="1">
        <f t="shared" ref="B1347:B1410" ca="1" si="85">DATE(2023, RANDBETWEEN(1,12), RANDBETWEEN(1,28))</f>
        <v>45279</v>
      </c>
      <c r="C1347" t="s">
        <v>8</v>
      </c>
      <c r="D1347" t="str">
        <f t="shared" ref="D1347:D1410" ca="1" si="86">CHOOSE(RANDBETWEEN(1,4),"Electronics","Furniture","Clothing","Office Supplies")</f>
        <v>Clothing</v>
      </c>
      <c r="E1347" t="s">
        <v>37</v>
      </c>
      <c r="F1347" s="11">
        <v>14132</v>
      </c>
      <c r="G1347">
        <f t="shared" ref="G1347:G1410" ca="1" si="87">RANDBETWEEN(1,10)</f>
        <v>3</v>
      </c>
      <c r="H1347" s="11">
        <f ca="1">IF(Table1[[#This Row],[Category]]="Electronics",Table1[[#This Row],[Sales]]*0.6,
IF(Table1[[#This Row],[Category]]="Furniture",Table1[[#This Row],[Sales]]*0.75,
IF(Table1[[#This Row],[Category]]="Clothing",Table1[[#This Row],[Sales]]*0.65,
Table1[[#This Row],[Sales]]*0.7)))</f>
        <v>9185.8000000000011</v>
      </c>
      <c r="I1347" s="11">
        <f ca="1">Table1[[#This Row],[Sales]]-H1347</f>
        <v>4946.1999999999989</v>
      </c>
      <c r="J1347" s="2">
        <f ca="1">Table1[[#This Row],[Profit]]/Table1[[#This Row],[Sales]]</f>
        <v>0.34999999999999992</v>
      </c>
      <c r="K1347" t="str">
        <f ca="1">TEXT(Table1[[#This Row],[Order_Date]],"mmm")</f>
        <v>Dec</v>
      </c>
      <c r="L1347">
        <f ca="1">YEAR(Table1[[#This Row],[Order_Date]])</f>
        <v>2023</v>
      </c>
    </row>
    <row r="1348" spans="1:12" x14ac:dyDescent="0.3">
      <c r="A1348">
        <f t="shared" si="84"/>
        <v>1347</v>
      </c>
      <c r="B1348" s="1">
        <f t="shared" ca="1" si="85"/>
        <v>45244</v>
      </c>
      <c r="C1348" t="s">
        <v>9</v>
      </c>
      <c r="D1348" t="str">
        <f t="shared" ca="1" si="86"/>
        <v>Electronics</v>
      </c>
      <c r="E1348" t="s">
        <v>51</v>
      </c>
      <c r="F1348" s="11">
        <v>10671</v>
      </c>
      <c r="G1348">
        <f t="shared" ca="1" si="87"/>
        <v>6</v>
      </c>
      <c r="H1348" s="11">
        <f ca="1">IF(Table1[[#This Row],[Category]]="Electronics",Table1[[#This Row],[Sales]]*0.6,
IF(Table1[[#This Row],[Category]]="Furniture",Table1[[#This Row],[Sales]]*0.75,
IF(Table1[[#This Row],[Category]]="Clothing",Table1[[#This Row],[Sales]]*0.65,
Table1[[#This Row],[Sales]]*0.7)))</f>
        <v>6402.5999999999995</v>
      </c>
      <c r="I1348" s="11">
        <f ca="1">Table1[[#This Row],[Sales]]-H1348</f>
        <v>4268.4000000000005</v>
      </c>
      <c r="J1348" s="2">
        <f ca="1">Table1[[#This Row],[Profit]]/Table1[[#This Row],[Sales]]</f>
        <v>0.40000000000000008</v>
      </c>
      <c r="K1348" t="str">
        <f ca="1">TEXT(Table1[[#This Row],[Order_Date]],"mmm")</f>
        <v>Nov</v>
      </c>
      <c r="L1348">
        <f ca="1">YEAR(Table1[[#This Row],[Order_Date]])</f>
        <v>2023</v>
      </c>
    </row>
    <row r="1349" spans="1:12" x14ac:dyDescent="0.3">
      <c r="A1349">
        <f t="shared" si="84"/>
        <v>1348</v>
      </c>
      <c r="B1349" s="1">
        <f t="shared" ca="1" si="85"/>
        <v>45262</v>
      </c>
      <c r="C1349" t="s">
        <v>10</v>
      </c>
      <c r="D1349" t="str">
        <f t="shared" ca="1" si="86"/>
        <v>Electronics</v>
      </c>
      <c r="E1349" t="s">
        <v>42</v>
      </c>
      <c r="F1349" s="11">
        <v>14493</v>
      </c>
      <c r="G1349">
        <f t="shared" ca="1" si="87"/>
        <v>8</v>
      </c>
      <c r="H1349" s="11">
        <f ca="1">IF(Table1[[#This Row],[Category]]="Electronics",Table1[[#This Row],[Sales]]*0.6,
IF(Table1[[#This Row],[Category]]="Furniture",Table1[[#This Row],[Sales]]*0.75,
IF(Table1[[#This Row],[Category]]="Clothing",Table1[[#This Row],[Sales]]*0.65,
Table1[[#This Row],[Sales]]*0.7)))</f>
        <v>8695.7999999999993</v>
      </c>
      <c r="I1349" s="11">
        <f ca="1">Table1[[#This Row],[Sales]]-H1349</f>
        <v>5797.2000000000007</v>
      </c>
      <c r="J1349" s="2">
        <f ca="1">Table1[[#This Row],[Profit]]/Table1[[#This Row],[Sales]]</f>
        <v>0.40000000000000008</v>
      </c>
      <c r="K1349" t="str">
        <f ca="1">TEXT(Table1[[#This Row],[Order_Date]],"mmm")</f>
        <v>Dec</v>
      </c>
      <c r="L1349">
        <f ca="1">YEAR(Table1[[#This Row],[Order_Date]])</f>
        <v>2023</v>
      </c>
    </row>
    <row r="1350" spans="1:12" x14ac:dyDescent="0.3">
      <c r="A1350">
        <f t="shared" si="84"/>
        <v>1349</v>
      </c>
      <c r="B1350" s="1">
        <f t="shared" ca="1" si="85"/>
        <v>45222</v>
      </c>
      <c r="C1350" t="s">
        <v>7</v>
      </c>
      <c r="D1350" t="str">
        <f t="shared" ca="1" si="86"/>
        <v>Furniture</v>
      </c>
      <c r="E1350" t="s">
        <v>68</v>
      </c>
      <c r="F1350" s="11">
        <v>16186</v>
      </c>
      <c r="G1350">
        <f t="shared" ca="1" si="87"/>
        <v>4</v>
      </c>
      <c r="H1350" s="11">
        <f ca="1">IF(Table1[[#This Row],[Category]]="Electronics",Table1[[#This Row],[Sales]]*0.6,
IF(Table1[[#This Row],[Category]]="Furniture",Table1[[#This Row],[Sales]]*0.75,
IF(Table1[[#This Row],[Category]]="Clothing",Table1[[#This Row],[Sales]]*0.65,
Table1[[#This Row],[Sales]]*0.7)))</f>
        <v>12139.5</v>
      </c>
      <c r="I1350" s="11">
        <f ca="1">Table1[[#This Row],[Sales]]-H1350</f>
        <v>4046.5</v>
      </c>
      <c r="J1350" s="2">
        <f ca="1">Table1[[#This Row],[Profit]]/Table1[[#This Row],[Sales]]</f>
        <v>0.25</v>
      </c>
      <c r="K1350" t="str">
        <f ca="1">TEXT(Table1[[#This Row],[Order_Date]],"mmm")</f>
        <v>Oct</v>
      </c>
      <c r="L1350">
        <f ca="1">YEAR(Table1[[#This Row],[Order_Date]])</f>
        <v>2023</v>
      </c>
    </row>
    <row r="1351" spans="1:12" x14ac:dyDescent="0.3">
      <c r="A1351">
        <f t="shared" si="84"/>
        <v>1350</v>
      </c>
      <c r="B1351" s="1">
        <f t="shared" ca="1" si="85"/>
        <v>45266</v>
      </c>
      <c r="C1351" t="s">
        <v>8</v>
      </c>
      <c r="D1351" t="str">
        <f t="shared" ca="1" si="86"/>
        <v>Office Supplies</v>
      </c>
      <c r="E1351" t="s">
        <v>64</v>
      </c>
      <c r="F1351" s="11">
        <v>6224</v>
      </c>
      <c r="G1351">
        <f t="shared" ca="1" si="87"/>
        <v>6</v>
      </c>
      <c r="H1351" s="11">
        <f ca="1">IF(Table1[[#This Row],[Category]]="Electronics",Table1[[#This Row],[Sales]]*0.6,
IF(Table1[[#This Row],[Category]]="Furniture",Table1[[#This Row],[Sales]]*0.75,
IF(Table1[[#This Row],[Category]]="Clothing",Table1[[#This Row],[Sales]]*0.65,
Table1[[#This Row],[Sales]]*0.7)))</f>
        <v>4356.7999999999993</v>
      </c>
      <c r="I1351" s="11">
        <f ca="1">Table1[[#This Row],[Sales]]-H1351</f>
        <v>1867.2000000000007</v>
      </c>
      <c r="J1351" s="2">
        <f ca="1">Table1[[#This Row],[Profit]]/Table1[[#This Row],[Sales]]</f>
        <v>0.3000000000000001</v>
      </c>
      <c r="K1351" t="str">
        <f ca="1">TEXT(Table1[[#This Row],[Order_Date]],"mmm")</f>
        <v>Dec</v>
      </c>
      <c r="L1351">
        <f ca="1">YEAR(Table1[[#This Row],[Order_Date]])</f>
        <v>2023</v>
      </c>
    </row>
    <row r="1352" spans="1:12" x14ac:dyDescent="0.3">
      <c r="A1352">
        <f t="shared" si="84"/>
        <v>1351</v>
      </c>
      <c r="B1352" s="1">
        <f t="shared" ca="1" si="85"/>
        <v>45184</v>
      </c>
      <c r="C1352" t="s">
        <v>9</v>
      </c>
      <c r="D1352" t="str">
        <f t="shared" ca="1" si="86"/>
        <v>Furniture</v>
      </c>
      <c r="E1352" t="s">
        <v>42</v>
      </c>
      <c r="F1352" s="11">
        <v>2833</v>
      </c>
      <c r="G1352">
        <f t="shared" ca="1" si="87"/>
        <v>2</v>
      </c>
      <c r="H1352" s="11">
        <f ca="1">IF(Table1[[#This Row],[Category]]="Electronics",Table1[[#This Row],[Sales]]*0.6,
IF(Table1[[#This Row],[Category]]="Furniture",Table1[[#This Row],[Sales]]*0.75,
IF(Table1[[#This Row],[Category]]="Clothing",Table1[[#This Row],[Sales]]*0.65,
Table1[[#This Row],[Sales]]*0.7)))</f>
        <v>2124.75</v>
      </c>
      <c r="I1352" s="11">
        <f ca="1">Table1[[#This Row],[Sales]]-H1352</f>
        <v>708.25</v>
      </c>
      <c r="J1352" s="2">
        <f ca="1">Table1[[#This Row],[Profit]]/Table1[[#This Row],[Sales]]</f>
        <v>0.25</v>
      </c>
      <c r="K1352" t="str">
        <f ca="1">TEXT(Table1[[#This Row],[Order_Date]],"mmm")</f>
        <v>Sep</v>
      </c>
      <c r="L1352">
        <f ca="1">YEAR(Table1[[#This Row],[Order_Date]])</f>
        <v>2023</v>
      </c>
    </row>
    <row r="1353" spans="1:12" x14ac:dyDescent="0.3">
      <c r="A1353">
        <f t="shared" si="84"/>
        <v>1352</v>
      </c>
      <c r="B1353" s="1">
        <f t="shared" ca="1" si="85"/>
        <v>44962</v>
      </c>
      <c r="C1353" t="s">
        <v>10</v>
      </c>
      <c r="D1353" t="str">
        <f t="shared" ca="1" si="86"/>
        <v>Electronics</v>
      </c>
      <c r="E1353" t="s">
        <v>57</v>
      </c>
      <c r="F1353" s="11">
        <v>8872</v>
      </c>
      <c r="G1353">
        <f t="shared" ca="1" si="87"/>
        <v>8</v>
      </c>
      <c r="H1353" s="11">
        <f ca="1">IF(Table1[[#This Row],[Category]]="Electronics",Table1[[#This Row],[Sales]]*0.6,
IF(Table1[[#This Row],[Category]]="Furniture",Table1[[#This Row],[Sales]]*0.75,
IF(Table1[[#This Row],[Category]]="Clothing",Table1[[#This Row],[Sales]]*0.65,
Table1[[#This Row],[Sales]]*0.7)))</f>
        <v>5323.2</v>
      </c>
      <c r="I1353" s="11">
        <f ca="1">Table1[[#This Row],[Sales]]-H1353</f>
        <v>3548.8</v>
      </c>
      <c r="J1353" s="2">
        <f ca="1">Table1[[#This Row],[Profit]]/Table1[[#This Row],[Sales]]</f>
        <v>0.4</v>
      </c>
      <c r="K1353" t="str">
        <f ca="1">TEXT(Table1[[#This Row],[Order_Date]],"mmm")</f>
        <v>Feb</v>
      </c>
      <c r="L1353">
        <f ca="1">YEAR(Table1[[#This Row],[Order_Date]])</f>
        <v>2023</v>
      </c>
    </row>
    <row r="1354" spans="1:12" x14ac:dyDescent="0.3">
      <c r="A1354">
        <f t="shared" si="84"/>
        <v>1353</v>
      </c>
      <c r="B1354" s="1">
        <f t="shared" ca="1" si="85"/>
        <v>45053</v>
      </c>
      <c r="C1354" t="s">
        <v>7</v>
      </c>
      <c r="D1354" t="str">
        <f t="shared" ca="1" si="86"/>
        <v>Clothing</v>
      </c>
      <c r="E1354" t="s">
        <v>38</v>
      </c>
      <c r="F1354" s="11">
        <v>5425</v>
      </c>
      <c r="G1354">
        <f t="shared" ca="1" si="87"/>
        <v>5</v>
      </c>
      <c r="H1354" s="11">
        <f ca="1">IF(Table1[[#This Row],[Category]]="Electronics",Table1[[#This Row],[Sales]]*0.6,
IF(Table1[[#This Row],[Category]]="Furniture",Table1[[#This Row],[Sales]]*0.75,
IF(Table1[[#This Row],[Category]]="Clothing",Table1[[#This Row],[Sales]]*0.65,
Table1[[#This Row],[Sales]]*0.7)))</f>
        <v>3526.25</v>
      </c>
      <c r="I1354" s="11">
        <f ca="1">Table1[[#This Row],[Sales]]-H1354</f>
        <v>1898.75</v>
      </c>
      <c r="J1354" s="2">
        <f ca="1">Table1[[#This Row],[Profit]]/Table1[[#This Row],[Sales]]</f>
        <v>0.35</v>
      </c>
      <c r="K1354" t="str">
        <f ca="1">TEXT(Table1[[#This Row],[Order_Date]],"mmm")</f>
        <v>May</v>
      </c>
      <c r="L1354">
        <f ca="1">YEAR(Table1[[#This Row],[Order_Date]])</f>
        <v>2023</v>
      </c>
    </row>
    <row r="1355" spans="1:12" x14ac:dyDescent="0.3">
      <c r="A1355">
        <f t="shared" si="84"/>
        <v>1354</v>
      </c>
      <c r="B1355" s="1">
        <f t="shared" ca="1" si="85"/>
        <v>45214</v>
      </c>
      <c r="C1355" t="s">
        <v>8</v>
      </c>
      <c r="D1355" t="str">
        <f t="shared" ca="1" si="86"/>
        <v>Electronics</v>
      </c>
      <c r="E1355" t="s">
        <v>82</v>
      </c>
      <c r="F1355" s="11">
        <v>1213</v>
      </c>
      <c r="G1355">
        <f t="shared" ca="1" si="87"/>
        <v>2</v>
      </c>
      <c r="H1355" s="11">
        <f ca="1">IF(Table1[[#This Row],[Category]]="Electronics",Table1[[#This Row],[Sales]]*0.6,
IF(Table1[[#This Row],[Category]]="Furniture",Table1[[#This Row],[Sales]]*0.75,
IF(Table1[[#This Row],[Category]]="Clothing",Table1[[#This Row],[Sales]]*0.65,
Table1[[#This Row],[Sales]]*0.7)))</f>
        <v>727.8</v>
      </c>
      <c r="I1355" s="11">
        <f ca="1">Table1[[#This Row],[Sales]]-H1355</f>
        <v>485.20000000000005</v>
      </c>
      <c r="J1355" s="2">
        <f ca="1">Table1[[#This Row],[Profit]]/Table1[[#This Row],[Sales]]</f>
        <v>0.4</v>
      </c>
      <c r="K1355" t="str">
        <f ca="1">TEXT(Table1[[#This Row],[Order_Date]],"mmm")</f>
        <v>Oct</v>
      </c>
      <c r="L1355">
        <f ca="1">YEAR(Table1[[#This Row],[Order_Date]])</f>
        <v>2023</v>
      </c>
    </row>
    <row r="1356" spans="1:12" x14ac:dyDescent="0.3">
      <c r="A1356">
        <f t="shared" si="84"/>
        <v>1355</v>
      </c>
      <c r="B1356" s="1">
        <f t="shared" ca="1" si="85"/>
        <v>44953</v>
      </c>
      <c r="C1356" t="s">
        <v>9</v>
      </c>
      <c r="D1356" t="str">
        <f t="shared" ca="1" si="86"/>
        <v>Clothing</v>
      </c>
      <c r="E1356" t="s">
        <v>41</v>
      </c>
      <c r="F1356" s="11">
        <v>16167</v>
      </c>
      <c r="G1356">
        <f t="shared" ca="1" si="87"/>
        <v>7</v>
      </c>
      <c r="H1356" s="11">
        <f ca="1">IF(Table1[[#This Row],[Category]]="Electronics",Table1[[#This Row],[Sales]]*0.6,
IF(Table1[[#This Row],[Category]]="Furniture",Table1[[#This Row],[Sales]]*0.75,
IF(Table1[[#This Row],[Category]]="Clothing",Table1[[#This Row],[Sales]]*0.65,
Table1[[#This Row],[Sales]]*0.7)))</f>
        <v>10508.550000000001</v>
      </c>
      <c r="I1356" s="11">
        <f ca="1">Table1[[#This Row],[Sales]]-H1356</f>
        <v>5658.4499999999989</v>
      </c>
      <c r="J1356" s="2">
        <f ca="1">Table1[[#This Row],[Profit]]/Table1[[#This Row],[Sales]]</f>
        <v>0.34999999999999992</v>
      </c>
      <c r="K1356" t="str">
        <f ca="1">TEXT(Table1[[#This Row],[Order_Date]],"mmm")</f>
        <v>Jan</v>
      </c>
      <c r="L1356">
        <f ca="1">YEAR(Table1[[#This Row],[Order_Date]])</f>
        <v>2023</v>
      </c>
    </row>
    <row r="1357" spans="1:12" x14ac:dyDescent="0.3">
      <c r="A1357">
        <f t="shared" si="84"/>
        <v>1356</v>
      </c>
      <c r="B1357" s="1">
        <f t="shared" ca="1" si="85"/>
        <v>45197</v>
      </c>
      <c r="C1357" t="s">
        <v>10</v>
      </c>
      <c r="D1357" t="str">
        <f t="shared" ca="1" si="86"/>
        <v>Electronics</v>
      </c>
      <c r="E1357" t="s">
        <v>65</v>
      </c>
      <c r="F1357" s="11">
        <v>9553</v>
      </c>
      <c r="G1357">
        <f t="shared" ca="1" si="87"/>
        <v>3</v>
      </c>
      <c r="H1357" s="11">
        <f ca="1">IF(Table1[[#This Row],[Category]]="Electronics",Table1[[#This Row],[Sales]]*0.6,
IF(Table1[[#This Row],[Category]]="Furniture",Table1[[#This Row],[Sales]]*0.75,
IF(Table1[[#This Row],[Category]]="Clothing",Table1[[#This Row],[Sales]]*0.65,
Table1[[#This Row],[Sales]]*0.7)))</f>
        <v>5731.8</v>
      </c>
      <c r="I1357" s="11">
        <f ca="1">Table1[[#This Row],[Sales]]-H1357</f>
        <v>3821.2</v>
      </c>
      <c r="J1357" s="2">
        <f ca="1">Table1[[#This Row],[Profit]]/Table1[[#This Row],[Sales]]</f>
        <v>0.39999999999999997</v>
      </c>
      <c r="K1357" t="str">
        <f ca="1">TEXT(Table1[[#This Row],[Order_Date]],"mmm")</f>
        <v>Sep</v>
      </c>
      <c r="L1357">
        <f ca="1">YEAR(Table1[[#This Row],[Order_Date]])</f>
        <v>2023</v>
      </c>
    </row>
    <row r="1358" spans="1:12" x14ac:dyDescent="0.3">
      <c r="A1358">
        <f t="shared" si="84"/>
        <v>1357</v>
      </c>
      <c r="B1358" s="1">
        <f t="shared" ca="1" si="85"/>
        <v>45133</v>
      </c>
      <c r="C1358" t="s">
        <v>7</v>
      </c>
      <c r="D1358" t="str">
        <f t="shared" ca="1" si="86"/>
        <v>Office Supplies</v>
      </c>
      <c r="E1358" t="s">
        <v>63</v>
      </c>
      <c r="F1358" s="11">
        <v>12905</v>
      </c>
      <c r="G1358">
        <f t="shared" ca="1" si="87"/>
        <v>5</v>
      </c>
      <c r="H1358" s="11">
        <f ca="1">IF(Table1[[#This Row],[Category]]="Electronics",Table1[[#This Row],[Sales]]*0.6,
IF(Table1[[#This Row],[Category]]="Furniture",Table1[[#This Row],[Sales]]*0.75,
IF(Table1[[#This Row],[Category]]="Clothing",Table1[[#This Row],[Sales]]*0.65,
Table1[[#This Row],[Sales]]*0.7)))</f>
        <v>9033.5</v>
      </c>
      <c r="I1358" s="11">
        <f ca="1">Table1[[#This Row],[Sales]]-H1358</f>
        <v>3871.5</v>
      </c>
      <c r="J1358" s="2">
        <f ca="1">Table1[[#This Row],[Profit]]/Table1[[#This Row],[Sales]]</f>
        <v>0.3</v>
      </c>
      <c r="K1358" t="str">
        <f ca="1">TEXT(Table1[[#This Row],[Order_Date]],"mmm")</f>
        <v>Jul</v>
      </c>
      <c r="L1358">
        <f ca="1">YEAR(Table1[[#This Row],[Order_Date]])</f>
        <v>2023</v>
      </c>
    </row>
    <row r="1359" spans="1:12" x14ac:dyDescent="0.3">
      <c r="A1359">
        <f t="shared" si="84"/>
        <v>1358</v>
      </c>
      <c r="B1359" s="1">
        <f t="shared" ca="1" si="85"/>
        <v>45084</v>
      </c>
      <c r="C1359" t="s">
        <v>8</v>
      </c>
      <c r="D1359" t="str">
        <f t="shared" ca="1" si="86"/>
        <v>Furniture</v>
      </c>
      <c r="E1359" t="s">
        <v>36</v>
      </c>
      <c r="F1359" s="11">
        <v>7072</v>
      </c>
      <c r="G1359">
        <f t="shared" ca="1" si="87"/>
        <v>2</v>
      </c>
      <c r="H1359" s="11">
        <f ca="1">IF(Table1[[#This Row],[Category]]="Electronics",Table1[[#This Row],[Sales]]*0.6,
IF(Table1[[#This Row],[Category]]="Furniture",Table1[[#This Row],[Sales]]*0.75,
IF(Table1[[#This Row],[Category]]="Clothing",Table1[[#This Row],[Sales]]*0.65,
Table1[[#This Row],[Sales]]*0.7)))</f>
        <v>5304</v>
      </c>
      <c r="I1359" s="11">
        <f ca="1">Table1[[#This Row],[Sales]]-H1359</f>
        <v>1768</v>
      </c>
      <c r="J1359" s="2">
        <f ca="1">Table1[[#This Row],[Profit]]/Table1[[#This Row],[Sales]]</f>
        <v>0.25</v>
      </c>
      <c r="K1359" t="str">
        <f ca="1">TEXT(Table1[[#This Row],[Order_Date]],"mmm")</f>
        <v>Jun</v>
      </c>
      <c r="L1359">
        <f ca="1">YEAR(Table1[[#This Row],[Order_Date]])</f>
        <v>2023</v>
      </c>
    </row>
    <row r="1360" spans="1:12" x14ac:dyDescent="0.3">
      <c r="A1360">
        <f t="shared" si="84"/>
        <v>1359</v>
      </c>
      <c r="B1360" s="1">
        <f t="shared" ca="1" si="85"/>
        <v>44977</v>
      </c>
      <c r="C1360" t="s">
        <v>9</v>
      </c>
      <c r="D1360" t="str">
        <f t="shared" ca="1" si="86"/>
        <v>Clothing</v>
      </c>
      <c r="E1360" t="s">
        <v>76</v>
      </c>
      <c r="F1360" s="11">
        <v>7681</v>
      </c>
      <c r="G1360">
        <f t="shared" ca="1" si="87"/>
        <v>4</v>
      </c>
      <c r="H1360" s="11">
        <f ca="1">IF(Table1[[#This Row],[Category]]="Electronics",Table1[[#This Row],[Sales]]*0.6,
IF(Table1[[#This Row],[Category]]="Furniture",Table1[[#This Row],[Sales]]*0.75,
IF(Table1[[#This Row],[Category]]="Clothing",Table1[[#This Row],[Sales]]*0.65,
Table1[[#This Row],[Sales]]*0.7)))</f>
        <v>4992.6500000000005</v>
      </c>
      <c r="I1360" s="11">
        <f ca="1">Table1[[#This Row],[Sales]]-H1360</f>
        <v>2688.3499999999995</v>
      </c>
      <c r="J1360" s="2">
        <f ca="1">Table1[[#This Row],[Profit]]/Table1[[#This Row],[Sales]]</f>
        <v>0.34999999999999992</v>
      </c>
      <c r="K1360" t="str">
        <f ca="1">TEXT(Table1[[#This Row],[Order_Date]],"mmm")</f>
        <v>Feb</v>
      </c>
      <c r="L1360">
        <f ca="1">YEAR(Table1[[#This Row],[Order_Date]])</f>
        <v>2023</v>
      </c>
    </row>
    <row r="1361" spans="1:12" x14ac:dyDescent="0.3">
      <c r="A1361">
        <f t="shared" si="84"/>
        <v>1360</v>
      </c>
      <c r="B1361" s="1">
        <f t="shared" ca="1" si="85"/>
        <v>45170</v>
      </c>
      <c r="C1361" t="s">
        <v>10</v>
      </c>
      <c r="D1361" t="str">
        <f t="shared" ca="1" si="86"/>
        <v>Clothing</v>
      </c>
      <c r="E1361" t="s">
        <v>73</v>
      </c>
      <c r="F1361" s="11">
        <v>18994</v>
      </c>
      <c r="G1361">
        <f t="shared" ca="1" si="87"/>
        <v>9</v>
      </c>
      <c r="H1361" s="11">
        <f ca="1">IF(Table1[[#This Row],[Category]]="Electronics",Table1[[#This Row],[Sales]]*0.6,
IF(Table1[[#This Row],[Category]]="Furniture",Table1[[#This Row],[Sales]]*0.75,
IF(Table1[[#This Row],[Category]]="Clothing",Table1[[#This Row],[Sales]]*0.65,
Table1[[#This Row],[Sales]]*0.7)))</f>
        <v>12346.1</v>
      </c>
      <c r="I1361" s="11">
        <f ca="1">Table1[[#This Row],[Sales]]-H1361</f>
        <v>6647.9</v>
      </c>
      <c r="J1361" s="2">
        <f ca="1">Table1[[#This Row],[Profit]]/Table1[[#This Row],[Sales]]</f>
        <v>0.35</v>
      </c>
      <c r="K1361" t="str">
        <f ca="1">TEXT(Table1[[#This Row],[Order_Date]],"mmm")</f>
        <v>Sep</v>
      </c>
      <c r="L1361">
        <f ca="1">YEAR(Table1[[#This Row],[Order_Date]])</f>
        <v>2023</v>
      </c>
    </row>
    <row r="1362" spans="1:12" x14ac:dyDescent="0.3">
      <c r="A1362">
        <f t="shared" si="84"/>
        <v>1361</v>
      </c>
      <c r="B1362" s="1">
        <f t="shared" ca="1" si="85"/>
        <v>45149</v>
      </c>
      <c r="C1362" t="s">
        <v>7</v>
      </c>
      <c r="D1362" t="str">
        <f t="shared" ca="1" si="86"/>
        <v>Furniture</v>
      </c>
      <c r="E1362" t="s">
        <v>85</v>
      </c>
      <c r="F1362" s="11">
        <v>7341</v>
      </c>
      <c r="G1362">
        <f t="shared" ca="1" si="87"/>
        <v>9</v>
      </c>
      <c r="H1362" s="11">
        <f ca="1">IF(Table1[[#This Row],[Category]]="Electronics",Table1[[#This Row],[Sales]]*0.6,
IF(Table1[[#This Row],[Category]]="Furniture",Table1[[#This Row],[Sales]]*0.75,
IF(Table1[[#This Row],[Category]]="Clothing",Table1[[#This Row],[Sales]]*0.65,
Table1[[#This Row],[Sales]]*0.7)))</f>
        <v>5505.75</v>
      </c>
      <c r="I1362" s="11">
        <f ca="1">Table1[[#This Row],[Sales]]-H1362</f>
        <v>1835.25</v>
      </c>
      <c r="J1362" s="2">
        <f ca="1">Table1[[#This Row],[Profit]]/Table1[[#This Row],[Sales]]</f>
        <v>0.25</v>
      </c>
      <c r="K1362" t="str">
        <f ca="1">TEXT(Table1[[#This Row],[Order_Date]],"mmm")</f>
        <v>Aug</v>
      </c>
      <c r="L1362">
        <f ca="1">YEAR(Table1[[#This Row],[Order_Date]])</f>
        <v>2023</v>
      </c>
    </row>
    <row r="1363" spans="1:12" x14ac:dyDescent="0.3">
      <c r="A1363">
        <f t="shared" si="84"/>
        <v>1362</v>
      </c>
      <c r="B1363" s="1">
        <f t="shared" ca="1" si="85"/>
        <v>45166</v>
      </c>
      <c r="C1363" t="s">
        <v>8</v>
      </c>
      <c r="D1363" t="str">
        <f t="shared" ca="1" si="86"/>
        <v>Office Supplies</v>
      </c>
      <c r="E1363" t="s">
        <v>53</v>
      </c>
      <c r="F1363" s="11">
        <v>4266</v>
      </c>
      <c r="G1363">
        <f t="shared" ca="1" si="87"/>
        <v>3</v>
      </c>
      <c r="H1363" s="11">
        <f ca="1">IF(Table1[[#This Row],[Category]]="Electronics",Table1[[#This Row],[Sales]]*0.6,
IF(Table1[[#This Row],[Category]]="Furniture",Table1[[#This Row],[Sales]]*0.75,
IF(Table1[[#This Row],[Category]]="Clothing",Table1[[#This Row],[Sales]]*0.65,
Table1[[#This Row],[Sales]]*0.7)))</f>
        <v>2986.2</v>
      </c>
      <c r="I1363" s="11">
        <f ca="1">Table1[[#This Row],[Sales]]-H1363</f>
        <v>1279.8000000000002</v>
      </c>
      <c r="J1363" s="2">
        <f ca="1">Table1[[#This Row],[Profit]]/Table1[[#This Row],[Sales]]</f>
        <v>0.30000000000000004</v>
      </c>
      <c r="K1363" t="str">
        <f ca="1">TEXT(Table1[[#This Row],[Order_Date]],"mmm")</f>
        <v>Aug</v>
      </c>
      <c r="L1363">
        <f ca="1">YEAR(Table1[[#This Row],[Order_Date]])</f>
        <v>2023</v>
      </c>
    </row>
    <row r="1364" spans="1:12" x14ac:dyDescent="0.3">
      <c r="A1364">
        <f t="shared" si="84"/>
        <v>1363</v>
      </c>
      <c r="B1364" s="1">
        <f t="shared" ca="1" si="85"/>
        <v>45255</v>
      </c>
      <c r="C1364" t="s">
        <v>9</v>
      </c>
      <c r="D1364" t="str">
        <f t="shared" ca="1" si="86"/>
        <v>Furniture</v>
      </c>
      <c r="E1364" t="s">
        <v>70</v>
      </c>
      <c r="F1364" s="11">
        <v>18481</v>
      </c>
      <c r="G1364">
        <f t="shared" ca="1" si="87"/>
        <v>10</v>
      </c>
      <c r="H1364" s="11">
        <f ca="1">IF(Table1[[#This Row],[Category]]="Electronics",Table1[[#This Row],[Sales]]*0.6,
IF(Table1[[#This Row],[Category]]="Furniture",Table1[[#This Row],[Sales]]*0.75,
IF(Table1[[#This Row],[Category]]="Clothing",Table1[[#This Row],[Sales]]*0.65,
Table1[[#This Row],[Sales]]*0.7)))</f>
        <v>13860.75</v>
      </c>
      <c r="I1364" s="11">
        <f ca="1">Table1[[#This Row],[Sales]]-H1364</f>
        <v>4620.25</v>
      </c>
      <c r="J1364" s="2">
        <f ca="1">Table1[[#This Row],[Profit]]/Table1[[#This Row],[Sales]]</f>
        <v>0.25</v>
      </c>
      <c r="K1364" t="str">
        <f ca="1">TEXT(Table1[[#This Row],[Order_Date]],"mmm")</f>
        <v>Nov</v>
      </c>
      <c r="L1364">
        <f ca="1">YEAR(Table1[[#This Row],[Order_Date]])</f>
        <v>2023</v>
      </c>
    </row>
    <row r="1365" spans="1:12" x14ac:dyDescent="0.3">
      <c r="A1365">
        <f t="shared" si="84"/>
        <v>1364</v>
      </c>
      <c r="B1365" s="1">
        <f t="shared" ca="1" si="85"/>
        <v>44965</v>
      </c>
      <c r="C1365" t="s">
        <v>10</v>
      </c>
      <c r="D1365" t="str">
        <f t="shared" ca="1" si="86"/>
        <v>Electronics</v>
      </c>
      <c r="E1365" t="s">
        <v>69</v>
      </c>
      <c r="F1365" s="11">
        <v>17013</v>
      </c>
      <c r="G1365">
        <f t="shared" ca="1" si="87"/>
        <v>9</v>
      </c>
      <c r="H1365" s="11">
        <f ca="1">IF(Table1[[#This Row],[Category]]="Electronics",Table1[[#This Row],[Sales]]*0.6,
IF(Table1[[#This Row],[Category]]="Furniture",Table1[[#This Row],[Sales]]*0.75,
IF(Table1[[#This Row],[Category]]="Clothing",Table1[[#This Row],[Sales]]*0.65,
Table1[[#This Row],[Sales]]*0.7)))</f>
        <v>10207.799999999999</v>
      </c>
      <c r="I1365" s="11">
        <f ca="1">Table1[[#This Row],[Sales]]-H1365</f>
        <v>6805.2000000000007</v>
      </c>
      <c r="J1365" s="2">
        <f ca="1">Table1[[#This Row],[Profit]]/Table1[[#This Row],[Sales]]</f>
        <v>0.4</v>
      </c>
      <c r="K1365" t="str">
        <f ca="1">TEXT(Table1[[#This Row],[Order_Date]],"mmm")</f>
        <v>Feb</v>
      </c>
      <c r="L1365">
        <f ca="1">YEAR(Table1[[#This Row],[Order_Date]])</f>
        <v>2023</v>
      </c>
    </row>
    <row r="1366" spans="1:12" x14ac:dyDescent="0.3">
      <c r="A1366">
        <f t="shared" si="84"/>
        <v>1365</v>
      </c>
      <c r="B1366" s="1">
        <f t="shared" ca="1" si="85"/>
        <v>45130</v>
      </c>
      <c r="C1366" t="s">
        <v>7</v>
      </c>
      <c r="D1366" t="str">
        <f t="shared" ca="1" si="86"/>
        <v>Clothing</v>
      </c>
      <c r="E1366" t="s">
        <v>68</v>
      </c>
      <c r="F1366" s="11">
        <v>12021</v>
      </c>
      <c r="G1366">
        <f t="shared" ca="1" si="87"/>
        <v>10</v>
      </c>
      <c r="H1366" s="11">
        <f ca="1">IF(Table1[[#This Row],[Category]]="Electronics",Table1[[#This Row],[Sales]]*0.6,
IF(Table1[[#This Row],[Category]]="Furniture",Table1[[#This Row],[Sales]]*0.75,
IF(Table1[[#This Row],[Category]]="Clothing",Table1[[#This Row],[Sales]]*0.65,
Table1[[#This Row],[Sales]]*0.7)))</f>
        <v>7813.6500000000005</v>
      </c>
      <c r="I1366" s="11">
        <f ca="1">Table1[[#This Row],[Sales]]-H1366</f>
        <v>4207.3499999999995</v>
      </c>
      <c r="J1366" s="2">
        <f ca="1">Table1[[#This Row],[Profit]]/Table1[[#This Row],[Sales]]</f>
        <v>0.35</v>
      </c>
      <c r="K1366" t="str">
        <f ca="1">TEXT(Table1[[#This Row],[Order_Date]],"mmm")</f>
        <v>Jul</v>
      </c>
      <c r="L1366">
        <f ca="1">YEAR(Table1[[#This Row],[Order_Date]])</f>
        <v>2023</v>
      </c>
    </row>
    <row r="1367" spans="1:12" x14ac:dyDescent="0.3">
      <c r="A1367">
        <f t="shared" si="84"/>
        <v>1366</v>
      </c>
      <c r="B1367" s="1">
        <f t="shared" ca="1" si="85"/>
        <v>44994</v>
      </c>
      <c r="C1367" t="s">
        <v>8</v>
      </c>
      <c r="D1367" t="str">
        <f t="shared" ca="1" si="86"/>
        <v>Electronics</v>
      </c>
      <c r="E1367" t="s">
        <v>46</v>
      </c>
      <c r="F1367" s="11">
        <v>5069</v>
      </c>
      <c r="G1367">
        <f t="shared" ca="1" si="87"/>
        <v>8</v>
      </c>
      <c r="H1367" s="11">
        <f ca="1">IF(Table1[[#This Row],[Category]]="Electronics",Table1[[#This Row],[Sales]]*0.6,
IF(Table1[[#This Row],[Category]]="Furniture",Table1[[#This Row],[Sales]]*0.75,
IF(Table1[[#This Row],[Category]]="Clothing",Table1[[#This Row],[Sales]]*0.65,
Table1[[#This Row],[Sales]]*0.7)))</f>
        <v>3041.4</v>
      </c>
      <c r="I1367" s="11">
        <f ca="1">Table1[[#This Row],[Sales]]-H1367</f>
        <v>2027.6</v>
      </c>
      <c r="J1367" s="2">
        <f ca="1">Table1[[#This Row],[Profit]]/Table1[[#This Row],[Sales]]</f>
        <v>0.39999999999999997</v>
      </c>
      <c r="K1367" t="str">
        <f ca="1">TEXT(Table1[[#This Row],[Order_Date]],"mmm")</f>
        <v>Mar</v>
      </c>
      <c r="L1367">
        <f ca="1">YEAR(Table1[[#This Row],[Order_Date]])</f>
        <v>2023</v>
      </c>
    </row>
    <row r="1368" spans="1:12" x14ac:dyDescent="0.3">
      <c r="A1368">
        <f t="shared" si="84"/>
        <v>1367</v>
      </c>
      <c r="B1368" s="1">
        <f t="shared" ca="1" si="85"/>
        <v>45103</v>
      </c>
      <c r="C1368" t="s">
        <v>9</v>
      </c>
      <c r="D1368" t="str">
        <f t="shared" ca="1" si="86"/>
        <v>Office Supplies</v>
      </c>
      <c r="E1368" t="s">
        <v>36</v>
      </c>
      <c r="F1368" s="11">
        <v>4440</v>
      </c>
      <c r="G1368">
        <f t="shared" ca="1" si="87"/>
        <v>9</v>
      </c>
      <c r="H1368" s="11">
        <f ca="1">IF(Table1[[#This Row],[Category]]="Electronics",Table1[[#This Row],[Sales]]*0.6,
IF(Table1[[#This Row],[Category]]="Furniture",Table1[[#This Row],[Sales]]*0.75,
IF(Table1[[#This Row],[Category]]="Clothing",Table1[[#This Row],[Sales]]*0.65,
Table1[[#This Row],[Sales]]*0.7)))</f>
        <v>3108</v>
      </c>
      <c r="I1368" s="11">
        <f ca="1">Table1[[#This Row],[Sales]]-H1368</f>
        <v>1332</v>
      </c>
      <c r="J1368" s="2">
        <f ca="1">Table1[[#This Row],[Profit]]/Table1[[#This Row],[Sales]]</f>
        <v>0.3</v>
      </c>
      <c r="K1368" t="str">
        <f ca="1">TEXT(Table1[[#This Row],[Order_Date]],"mmm")</f>
        <v>Jun</v>
      </c>
      <c r="L1368">
        <f ca="1">YEAR(Table1[[#This Row],[Order_Date]])</f>
        <v>2023</v>
      </c>
    </row>
    <row r="1369" spans="1:12" x14ac:dyDescent="0.3">
      <c r="A1369">
        <f t="shared" si="84"/>
        <v>1368</v>
      </c>
      <c r="B1369" s="1">
        <f t="shared" ca="1" si="85"/>
        <v>45134</v>
      </c>
      <c r="C1369" t="s">
        <v>10</v>
      </c>
      <c r="D1369" t="str">
        <f t="shared" ca="1" si="86"/>
        <v>Furniture</v>
      </c>
      <c r="E1369" t="s">
        <v>36</v>
      </c>
      <c r="F1369" s="11">
        <v>15910</v>
      </c>
      <c r="G1369">
        <f t="shared" ca="1" si="87"/>
        <v>6</v>
      </c>
      <c r="H1369" s="11">
        <f ca="1">IF(Table1[[#This Row],[Category]]="Electronics",Table1[[#This Row],[Sales]]*0.6,
IF(Table1[[#This Row],[Category]]="Furniture",Table1[[#This Row],[Sales]]*0.75,
IF(Table1[[#This Row],[Category]]="Clothing",Table1[[#This Row],[Sales]]*0.65,
Table1[[#This Row],[Sales]]*0.7)))</f>
        <v>11932.5</v>
      </c>
      <c r="I1369" s="11">
        <f ca="1">Table1[[#This Row],[Sales]]-H1369</f>
        <v>3977.5</v>
      </c>
      <c r="J1369" s="2">
        <f ca="1">Table1[[#This Row],[Profit]]/Table1[[#This Row],[Sales]]</f>
        <v>0.25</v>
      </c>
      <c r="K1369" t="str">
        <f ca="1">TEXT(Table1[[#This Row],[Order_Date]],"mmm")</f>
        <v>Jul</v>
      </c>
      <c r="L1369">
        <f ca="1">YEAR(Table1[[#This Row],[Order_Date]])</f>
        <v>2023</v>
      </c>
    </row>
    <row r="1370" spans="1:12" x14ac:dyDescent="0.3">
      <c r="A1370">
        <f t="shared" si="84"/>
        <v>1369</v>
      </c>
      <c r="B1370" s="1">
        <f t="shared" ca="1" si="85"/>
        <v>45255</v>
      </c>
      <c r="C1370" t="s">
        <v>7</v>
      </c>
      <c r="D1370" t="str">
        <f t="shared" ca="1" si="86"/>
        <v>Clothing</v>
      </c>
      <c r="E1370" t="s">
        <v>74</v>
      </c>
      <c r="F1370" s="11">
        <v>10338</v>
      </c>
      <c r="G1370">
        <f t="shared" ca="1" si="87"/>
        <v>6</v>
      </c>
      <c r="H1370" s="11">
        <f ca="1">IF(Table1[[#This Row],[Category]]="Electronics",Table1[[#This Row],[Sales]]*0.6,
IF(Table1[[#This Row],[Category]]="Furniture",Table1[[#This Row],[Sales]]*0.75,
IF(Table1[[#This Row],[Category]]="Clothing",Table1[[#This Row],[Sales]]*0.65,
Table1[[#This Row],[Sales]]*0.7)))</f>
        <v>6719.7</v>
      </c>
      <c r="I1370" s="11">
        <f ca="1">Table1[[#This Row],[Sales]]-H1370</f>
        <v>3618.3</v>
      </c>
      <c r="J1370" s="2">
        <f ca="1">Table1[[#This Row],[Profit]]/Table1[[#This Row],[Sales]]</f>
        <v>0.35000000000000003</v>
      </c>
      <c r="K1370" t="str">
        <f ca="1">TEXT(Table1[[#This Row],[Order_Date]],"mmm")</f>
        <v>Nov</v>
      </c>
      <c r="L1370">
        <f ca="1">YEAR(Table1[[#This Row],[Order_Date]])</f>
        <v>2023</v>
      </c>
    </row>
    <row r="1371" spans="1:12" x14ac:dyDescent="0.3">
      <c r="A1371">
        <f t="shared" si="84"/>
        <v>1370</v>
      </c>
      <c r="B1371" s="1">
        <f t="shared" ca="1" si="85"/>
        <v>45236</v>
      </c>
      <c r="C1371" t="s">
        <v>8</v>
      </c>
      <c r="D1371" t="str">
        <f t="shared" ca="1" si="86"/>
        <v>Electronics</v>
      </c>
      <c r="E1371" t="s">
        <v>74</v>
      </c>
      <c r="F1371" s="11">
        <v>18521</v>
      </c>
      <c r="G1371">
        <f t="shared" ca="1" si="87"/>
        <v>10</v>
      </c>
      <c r="H1371" s="11">
        <f ca="1">IF(Table1[[#This Row],[Category]]="Electronics",Table1[[#This Row],[Sales]]*0.6,
IF(Table1[[#This Row],[Category]]="Furniture",Table1[[#This Row],[Sales]]*0.75,
IF(Table1[[#This Row],[Category]]="Clothing",Table1[[#This Row],[Sales]]*0.65,
Table1[[#This Row],[Sales]]*0.7)))</f>
        <v>11112.6</v>
      </c>
      <c r="I1371" s="11">
        <f ca="1">Table1[[#This Row],[Sales]]-H1371</f>
        <v>7408.4</v>
      </c>
      <c r="J1371" s="2">
        <f ca="1">Table1[[#This Row],[Profit]]/Table1[[#This Row],[Sales]]</f>
        <v>0.39999999999999997</v>
      </c>
      <c r="K1371" t="str">
        <f ca="1">TEXT(Table1[[#This Row],[Order_Date]],"mmm")</f>
        <v>Nov</v>
      </c>
      <c r="L1371">
        <f ca="1">YEAR(Table1[[#This Row],[Order_Date]])</f>
        <v>2023</v>
      </c>
    </row>
    <row r="1372" spans="1:12" x14ac:dyDescent="0.3">
      <c r="A1372">
        <f t="shared" si="84"/>
        <v>1371</v>
      </c>
      <c r="B1372" s="1">
        <f t="shared" ca="1" si="85"/>
        <v>45156</v>
      </c>
      <c r="C1372" t="s">
        <v>9</v>
      </c>
      <c r="D1372" t="str">
        <f t="shared" ca="1" si="86"/>
        <v>Office Supplies</v>
      </c>
      <c r="E1372" t="s">
        <v>62</v>
      </c>
      <c r="F1372" s="11">
        <v>8098</v>
      </c>
      <c r="G1372">
        <f t="shared" ca="1" si="87"/>
        <v>3</v>
      </c>
      <c r="H1372" s="11">
        <f ca="1">IF(Table1[[#This Row],[Category]]="Electronics",Table1[[#This Row],[Sales]]*0.6,
IF(Table1[[#This Row],[Category]]="Furniture",Table1[[#This Row],[Sales]]*0.75,
IF(Table1[[#This Row],[Category]]="Clothing",Table1[[#This Row],[Sales]]*0.65,
Table1[[#This Row],[Sales]]*0.7)))</f>
        <v>5668.5999999999995</v>
      </c>
      <c r="I1372" s="11">
        <f ca="1">Table1[[#This Row],[Sales]]-H1372</f>
        <v>2429.4000000000005</v>
      </c>
      <c r="J1372" s="2">
        <f ca="1">Table1[[#This Row],[Profit]]/Table1[[#This Row],[Sales]]</f>
        <v>0.30000000000000004</v>
      </c>
      <c r="K1372" t="str">
        <f ca="1">TEXT(Table1[[#This Row],[Order_Date]],"mmm")</f>
        <v>Aug</v>
      </c>
      <c r="L1372">
        <f ca="1">YEAR(Table1[[#This Row],[Order_Date]])</f>
        <v>2023</v>
      </c>
    </row>
    <row r="1373" spans="1:12" x14ac:dyDescent="0.3">
      <c r="A1373">
        <f t="shared" si="84"/>
        <v>1372</v>
      </c>
      <c r="B1373" s="1">
        <f t="shared" ca="1" si="85"/>
        <v>44949</v>
      </c>
      <c r="C1373" t="s">
        <v>10</v>
      </c>
      <c r="D1373" t="str">
        <f t="shared" ca="1" si="86"/>
        <v>Clothing</v>
      </c>
      <c r="E1373" t="s">
        <v>41</v>
      </c>
      <c r="F1373" s="11">
        <v>10824</v>
      </c>
      <c r="G1373">
        <f t="shared" ca="1" si="87"/>
        <v>10</v>
      </c>
      <c r="H1373" s="11">
        <f ca="1">IF(Table1[[#This Row],[Category]]="Electronics",Table1[[#This Row],[Sales]]*0.6,
IF(Table1[[#This Row],[Category]]="Furniture",Table1[[#This Row],[Sales]]*0.75,
IF(Table1[[#This Row],[Category]]="Clothing",Table1[[#This Row],[Sales]]*0.65,
Table1[[#This Row],[Sales]]*0.7)))</f>
        <v>7035.6</v>
      </c>
      <c r="I1373" s="11">
        <f ca="1">Table1[[#This Row],[Sales]]-H1373</f>
        <v>3788.3999999999996</v>
      </c>
      <c r="J1373" s="2">
        <f ca="1">Table1[[#This Row],[Profit]]/Table1[[#This Row],[Sales]]</f>
        <v>0.35</v>
      </c>
      <c r="K1373" t="str">
        <f ca="1">TEXT(Table1[[#This Row],[Order_Date]],"mmm")</f>
        <v>Jan</v>
      </c>
      <c r="L1373">
        <f ca="1">YEAR(Table1[[#This Row],[Order_Date]])</f>
        <v>2023</v>
      </c>
    </row>
    <row r="1374" spans="1:12" x14ac:dyDescent="0.3">
      <c r="A1374">
        <f t="shared" si="84"/>
        <v>1373</v>
      </c>
      <c r="B1374" s="1">
        <f t="shared" ca="1" si="85"/>
        <v>44981</v>
      </c>
      <c r="C1374" t="s">
        <v>7</v>
      </c>
      <c r="D1374" t="str">
        <f t="shared" ca="1" si="86"/>
        <v>Electronics</v>
      </c>
      <c r="E1374" t="s">
        <v>49</v>
      </c>
      <c r="F1374" s="11">
        <v>4980</v>
      </c>
      <c r="G1374">
        <f t="shared" ca="1" si="87"/>
        <v>9</v>
      </c>
      <c r="H1374" s="11">
        <f ca="1">IF(Table1[[#This Row],[Category]]="Electronics",Table1[[#This Row],[Sales]]*0.6,
IF(Table1[[#This Row],[Category]]="Furniture",Table1[[#This Row],[Sales]]*0.75,
IF(Table1[[#This Row],[Category]]="Clothing",Table1[[#This Row],[Sales]]*0.65,
Table1[[#This Row],[Sales]]*0.7)))</f>
        <v>2988</v>
      </c>
      <c r="I1374" s="11">
        <f ca="1">Table1[[#This Row],[Sales]]-H1374</f>
        <v>1992</v>
      </c>
      <c r="J1374" s="2">
        <f ca="1">Table1[[#This Row],[Profit]]/Table1[[#This Row],[Sales]]</f>
        <v>0.4</v>
      </c>
      <c r="K1374" t="str">
        <f ca="1">TEXT(Table1[[#This Row],[Order_Date]],"mmm")</f>
        <v>Feb</v>
      </c>
      <c r="L1374">
        <f ca="1">YEAR(Table1[[#This Row],[Order_Date]])</f>
        <v>2023</v>
      </c>
    </row>
    <row r="1375" spans="1:12" x14ac:dyDescent="0.3">
      <c r="A1375">
        <f t="shared" si="84"/>
        <v>1374</v>
      </c>
      <c r="B1375" s="1">
        <f t="shared" ca="1" si="85"/>
        <v>45126</v>
      </c>
      <c r="C1375" t="s">
        <v>8</v>
      </c>
      <c r="D1375" t="str">
        <f t="shared" ca="1" si="86"/>
        <v>Electronics</v>
      </c>
      <c r="E1375" t="s">
        <v>38</v>
      </c>
      <c r="F1375" s="11">
        <v>18543</v>
      </c>
      <c r="G1375">
        <f t="shared" ca="1" si="87"/>
        <v>8</v>
      </c>
      <c r="H1375" s="11">
        <f ca="1">IF(Table1[[#This Row],[Category]]="Electronics",Table1[[#This Row],[Sales]]*0.6,
IF(Table1[[#This Row],[Category]]="Furniture",Table1[[#This Row],[Sales]]*0.75,
IF(Table1[[#This Row],[Category]]="Clothing",Table1[[#This Row],[Sales]]*0.65,
Table1[[#This Row],[Sales]]*0.7)))</f>
        <v>11125.8</v>
      </c>
      <c r="I1375" s="11">
        <f ca="1">Table1[[#This Row],[Sales]]-H1375</f>
        <v>7417.2000000000007</v>
      </c>
      <c r="J1375" s="2">
        <f ca="1">Table1[[#This Row],[Profit]]/Table1[[#This Row],[Sales]]</f>
        <v>0.4</v>
      </c>
      <c r="K1375" t="str">
        <f ca="1">TEXT(Table1[[#This Row],[Order_Date]],"mmm")</f>
        <v>Jul</v>
      </c>
      <c r="L1375">
        <f ca="1">YEAR(Table1[[#This Row],[Order_Date]])</f>
        <v>2023</v>
      </c>
    </row>
    <row r="1376" spans="1:12" x14ac:dyDescent="0.3">
      <c r="A1376">
        <f t="shared" si="84"/>
        <v>1375</v>
      </c>
      <c r="B1376" s="1">
        <f t="shared" ca="1" si="85"/>
        <v>45062</v>
      </c>
      <c r="C1376" t="s">
        <v>9</v>
      </c>
      <c r="D1376" t="str">
        <f t="shared" ca="1" si="86"/>
        <v>Electronics</v>
      </c>
      <c r="E1376" t="s">
        <v>46</v>
      </c>
      <c r="F1376" s="11">
        <v>18464</v>
      </c>
      <c r="G1376">
        <f t="shared" ca="1" si="87"/>
        <v>1</v>
      </c>
      <c r="H1376" s="11">
        <f ca="1">IF(Table1[[#This Row],[Category]]="Electronics",Table1[[#This Row],[Sales]]*0.6,
IF(Table1[[#This Row],[Category]]="Furniture",Table1[[#This Row],[Sales]]*0.75,
IF(Table1[[#This Row],[Category]]="Clothing",Table1[[#This Row],[Sales]]*0.65,
Table1[[#This Row],[Sales]]*0.7)))</f>
        <v>11078.4</v>
      </c>
      <c r="I1376" s="11">
        <f ca="1">Table1[[#This Row],[Sales]]-H1376</f>
        <v>7385.6</v>
      </c>
      <c r="J1376" s="2">
        <f ca="1">Table1[[#This Row],[Profit]]/Table1[[#This Row],[Sales]]</f>
        <v>0.4</v>
      </c>
      <c r="K1376" t="str">
        <f ca="1">TEXT(Table1[[#This Row],[Order_Date]],"mmm")</f>
        <v>May</v>
      </c>
      <c r="L1376">
        <f ca="1">YEAR(Table1[[#This Row],[Order_Date]])</f>
        <v>2023</v>
      </c>
    </row>
    <row r="1377" spans="1:12" x14ac:dyDescent="0.3">
      <c r="A1377">
        <f t="shared" si="84"/>
        <v>1376</v>
      </c>
      <c r="B1377" s="1">
        <f t="shared" ca="1" si="85"/>
        <v>45008</v>
      </c>
      <c r="C1377" t="s">
        <v>10</v>
      </c>
      <c r="D1377" t="str">
        <f t="shared" ca="1" si="86"/>
        <v>Clothing</v>
      </c>
      <c r="E1377" t="s">
        <v>77</v>
      </c>
      <c r="F1377" s="11">
        <v>9972</v>
      </c>
      <c r="G1377">
        <f t="shared" ca="1" si="87"/>
        <v>4</v>
      </c>
      <c r="H1377" s="11">
        <f ca="1">IF(Table1[[#This Row],[Category]]="Electronics",Table1[[#This Row],[Sales]]*0.6,
IF(Table1[[#This Row],[Category]]="Furniture",Table1[[#This Row],[Sales]]*0.75,
IF(Table1[[#This Row],[Category]]="Clothing",Table1[[#This Row],[Sales]]*0.65,
Table1[[#This Row],[Sales]]*0.7)))</f>
        <v>6481.8</v>
      </c>
      <c r="I1377" s="11">
        <f ca="1">Table1[[#This Row],[Sales]]-H1377</f>
        <v>3490.2</v>
      </c>
      <c r="J1377" s="2">
        <f ca="1">Table1[[#This Row],[Profit]]/Table1[[#This Row],[Sales]]</f>
        <v>0.35</v>
      </c>
      <c r="K1377" t="str">
        <f ca="1">TEXT(Table1[[#This Row],[Order_Date]],"mmm")</f>
        <v>Mar</v>
      </c>
      <c r="L1377">
        <f ca="1">YEAR(Table1[[#This Row],[Order_Date]])</f>
        <v>2023</v>
      </c>
    </row>
    <row r="1378" spans="1:12" x14ac:dyDescent="0.3">
      <c r="A1378">
        <f t="shared" si="84"/>
        <v>1377</v>
      </c>
      <c r="B1378" s="1">
        <f t="shared" ca="1" si="85"/>
        <v>45213</v>
      </c>
      <c r="C1378" t="s">
        <v>7</v>
      </c>
      <c r="D1378" t="str">
        <f t="shared" ca="1" si="86"/>
        <v>Electronics</v>
      </c>
      <c r="E1378" t="s">
        <v>76</v>
      </c>
      <c r="F1378" s="11">
        <v>12978</v>
      </c>
      <c r="G1378">
        <f t="shared" ca="1" si="87"/>
        <v>7</v>
      </c>
      <c r="H1378" s="11">
        <f ca="1">IF(Table1[[#This Row],[Category]]="Electronics",Table1[[#This Row],[Sales]]*0.6,
IF(Table1[[#This Row],[Category]]="Furniture",Table1[[#This Row],[Sales]]*0.75,
IF(Table1[[#This Row],[Category]]="Clothing",Table1[[#This Row],[Sales]]*0.65,
Table1[[#This Row],[Sales]]*0.7)))</f>
        <v>7786.7999999999993</v>
      </c>
      <c r="I1378" s="11">
        <f ca="1">Table1[[#This Row],[Sales]]-H1378</f>
        <v>5191.2000000000007</v>
      </c>
      <c r="J1378" s="2">
        <f ca="1">Table1[[#This Row],[Profit]]/Table1[[#This Row],[Sales]]</f>
        <v>0.40000000000000008</v>
      </c>
      <c r="K1378" t="str">
        <f ca="1">TEXT(Table1[[#This Row],[Order_Date]],"mmm")</f>
        <v>Oct</v>
      </c>
      <c r="L1378">
        <f ca="1">YEAR(Table1[[#This Row],[Order_Date]])</f>
        <v>2023</v>
      </c>
    </row>
    <row r="1379" spans="1:12" x14ac:dyDescent="0.3">
      <c r="A1379">
        <f t="shared" si="84"/>
        <v>1378</v>
      </c>
      <c r="B1379" s="1">
        <f t="shared" ca="1" si="85"/>
        <v>45056</v>
      </c>
      <c r="C1379" t="s">
        <v>8</v>
      </c>
      <c r="D1379" t="str">
        <f t="shared" ca="1" si="86"/>
        <v>Clothing</v>
      </c>
      <c r="E1379" t="s">
        <v>50</v>
      </c>
      <c r="F1379" s="11">
        <v>5945</v>
      </c>
      <c r="G1379">
        <f t="shared" ca="1" si="87"/>
        <v>3</v>
      </c>
      <c r="H1379" s="11">
        <f ca="1">IF(Table1[[#This Row],[Category]]="Electronics",Table1[[#This Row],[Sales]]*0.6,
IF(Table1[[#This Row],[Category]]="Furniture",Table1[[#This Row],[Sales]]*0.75,
IF(Table1[[#This Row],[Category]]="Clothing",Table1[[#This Row],[Sales]]*0.65,
Table1[[#This Row],[Sales]]*0.7)))</f>
        <v>3864.25</v>
      </c>
      <c r="I1379" s="11">
        <f ca="1">Table1[[#This Row],[Sales]]-H1379</f>
        <v>2080.75</v>
      </c>
      <c r="J1379" s="2">
        <f ca="1">Table1[[#This Row],[Profit]]/Table1[[#This Row],[Sales]]</f>
        <v>0.35</v>
      </c>
      <c r="K1379" t="str">
        <f ca="1">TEXT(Table1[[#This Row],[Order_Date]],"mmm")</f>
        <v>May</v>
      </c>
      <c r="L1379">
        <f ca="1">YEAR(Table1[[#This Row],[Order_Date]])</f>
        <v>2023</v>
      </c>
    </row>
    <row r="1380" spans="1:12" x14ac:dyDescent="0.3">
      <c r="A1380">
        <f t="shared" si="84"/>
        <v>1379</v>
      </c>
      <c r="B1380" s="1">
        <f t="shared" ca="1" si="85"/>
        <v>44960</v>
      </c>
      <c r="C1380" t="s">
        <v>9</v>
      </c>
      <c r="D1380" t="str">
        <f t="shared" ca="1" si="86"/>
        <v>Office Supplies</v>
      </c>
      <c r="E1380" t="s">
        <v>51</v>
      </c>
      <c r="F1380" s="11">
        <v>3689</v>
      </c>
      <c r="G1380">
        <f t="shared" ca="1" si="87"/>
        <v>4</v>
      </c>
      <c r="H1380" s="11">
        <f ca="1">IF(Table1[[#This Row],[Category]]="Electronics",Table1[[#This Row],[Sales]]*0.6,
IF(Table1[[#This Row],[Category]]="Furniture",Table1[[#This Row],[Sales]]*0.75,
IF(Table1[[#This Row],[Category]]="Clothing",Table1[[#This Row],[Sales]]*0.65,
Table1[[#This Row],[Sales]]*0.7)))</f>
        <v>2582.2999999999997</v>
      </c>
      <c r="I1380" s="11">
        <f ca="1">Table1[[#This Row],[Sales]]-H1380</f>
        <v>1106.7000000000003</v>
      </c>
      <c r="J1380" s="2">
        <f ca="1">Table1[[#This Row],[Profit]]/Table1[[#This Row],[Sales]]</f>
        <v>0.3000000000000001</v>
      </c>
      <c r="K1380" t="str">
        <f ca="1">TEXT(Table1[[#This Row],[Order_Date]],"mmm")</f>
        <v>Feb</v>
      </c>
      <c r="L1380">
        <f ca="1">YEAR(Table1[[#This Row],[Order_Date]])</f>
        <v>2023</v>
      </c>
    </row>
    <row r="1381" spans="1:12" x14ac:dyDescent="0.3">
      <c r="A1381">
        <f t="shared" si="84"/>
        <v>1380</v>
      </c>
      <c r="B1381" s="1">
        <f t="shared" ca="1" si="85"/>
        <v>45287</v>
      </c>
      <c r="C1381" t="s">
        <v>10</v>
      </c>
      <c r="D1381" t="str">
        <f t="shared" ca="1" si="86"/>
        <v>Office Supplies</v>
      </c>
      <c r="E1381" t="s">
        <v>58</v>
      </c>
      <c r="F1381" s="11">
        <v>8485</v>
      </c>
      <c r="G1381">
        <f t="shared" ca="1" si="87"/>
        <v>3</v>
      </c>
      <c r="H1381" s="11">
        <f ca="1">IF(Table1[[#This Row],[Category]]="Electronics",Table1[[#This Row],[Sales]]*0.6,
IF(Table1[[#This Row],[Category]]="Furniture",Table1[[#This Row],[Sales]]*0.75,
IF(Table1[[#This Row],[Category]]="Clothing",Table1[[#This Row],[Sales]]*0.65,
Table1[[#This Row],[Sales]]*0.7)))</f>
        <v>5939.5</v>
      </c>
      <c r="I1381" s="11">
        <f ca="1">Table1[[#This Row],[Sales]]-H1381</f>
        <v>2545.5</v>
      </c>
      <c r="J1381" s="2">
        <f ca="1">Table1[[#This Row],[Profit]]/Table1[[#This Row],[Sales]]</f>
        <v>0.3</v>
      </c>
      <c r="K1381" t="str">
        <f ca="1">TEXT(Table1[[#This Row],[Order_Date]],"mmm")</f>
        <v>Dec</v>
      </c>
      <c r="L1381">
        <f ca="1">YEAR(Table1[[#This Row],[Order_Date]])</f>
        <v>2023</v>
      </c>
    </row>
    <row r="1382" spans="1:12" x14ac:dyDescent="0.3">
      <c r="A1382">
        <f t="shared" si="84"/>
        <v>1381</v>
      </c>
      <c r="B1382" s="1">
        <f t="shared" ca="1" si="85"/>
        <v>45258</v>
      </c>
      <c r="C1382" t="s">
        <v>7</v>
      </c>
      <c r="D1382" t="str">
        <f t="shared" ca="1" si="86"/>
        <v>Electronics</v>
      </c>
      <c r="E1382" t="s">
        <v>42</v>
      </c>
      <c r="F1382" s="11">
        <v>16895</v>
      </c>
      <c r="G1382">
        <f t="shared" ca="1" si="87"/>
        <v>6</v>
      </c>
      <c r="H1382" s="11">
        <f ca="1">IF(Table1[[#This Row],[Category]]="Electronics",Table1[[#This Row],[Sales]]*0.6,
IF(Table1[[#This Row],[Category]]="Furniture",Table1[[#This Row],[Sales]]*0.75,
IF(Table1[[#This Row],[Category]]="Clothing",Table1[[#This Row],[Sales]]*0.65,
Table1[[#This Row],[Sales]]*0.7)))</f>
        <v>10137</v>
      </c>
      <c r="I1382" s="11">
        <f ca="1">Table1[[#This Row],[Sales]]-H1382</f>
        <v>6758</v>
      </c>
      <c r="J1382" s="2">
        <f ca="1">Table1[[#This Row],[Profit]]/Table1[[#This Row],[Sales]]</f>
        <v>0.4</v>
      </c>
      <c r="K1382" t="str">
        <f ca="1">TEXT(Table1[[#This Row],[Order_Date]],"mmm")</f>
        <v>Nov</v>
      </c>
      <c r="L1382">
        <f ca="1">YEAR(Table1[[#This Row],[Order_Date]])</f>
        <v>2023</v>
      </c>
    </row>
    <row r="1383" spans="1:12" x14ac:dyDescent="0.3">
      <c r="A1383">
        <f t="shared" si="84"/>
        <v>1382</v>
      </c>
      <c r="B1383" s="1">
        <f t="shared" ca="1" si="85"/>
        <v>45125</v>
      </c>
      <c r="C1383" t="s">
        <v>8</v>
      </c>
      <c r="D1383" t="str">
        <f t="shared" ca="1" si="86"/>
        <v>Office Supplies</v>
      </c>
      <c r="E1383" t="s">
        <v>60</v>
      </c>
      <c r="F1383" s="11">
        <v>13556</v>
      </c>
      <c r="G1383">
        <f t="shared" ca="1" si="87"/>
        <v>8</v>
      </c>
      <c r="H1383" s="11">
        <f ca="1">IF(Table1[[#This Row],[Category]]="Electronics",Table1[[#This Row],[Sales]]*0.6,
IF(Table1[[#This Row],[Category]]="Furniture",Table1[[#This Row],[Sales]]*0.75,
IF(Table1[[#This Row],[Category]]="Clothing",Table1[[#This Row],[Sales]]*0.65,
Table1[[#This Row],[Sales]]*0.7)))</f>
        <v>9489.1999999999989</v>
      </c>
      <c r="I1383" s="11">
        <f ca="1">Table1[[#This Row],[Sales]]-H1383</f>
        <v>4066.8000000000011</v>
      </c>
      <c r="J1383" s="2">
        <f ca="1">Table1[[#This Row],[Profit]]/Table1[[#This Row],[Sales]]</f>
        <v>0.3000000000000001</v>
      </c>
      <c r="K1383" t="str">
        <f ca="1">TEXT(Table1[[#This Row],[Order_Date]],"mmm")</f>
        <v>Jul</v>
      </c>
      <c r="L1383">
        <f ca="1">YEAR(Table1[[#This Row],[Order_Date]])</f>
        <v>2023</v>
      </c>
    </row>
    <row r="1384" spans="1:12" x14ac:dyDescent="0.3">
      <c r="A1384">
        <f t="shared" si="84"/>
        <v>1383</v>
      </c>
      <c r="B1384" s="1">
        <f t="shared" ca="1" si="85"/>
        <v>45072</v>
      </c>
      <c r="C1384" t="s">
        <v>9</v>
      </c>
      <c r="D1384" t="str">
        <f t="shared" ca="1" si="86"/>
        <v>Clothing</v>
      </c>
      <c r="E1384" t="s">
        <v>80</v>
      </c>
      <c r="F1384" s="11">
        <v>18519</v>
      </c>
      <c r="G1384">
        <f t="shared" ca="1" si="87"/>
        <v>3</v>
      </c>
      <c r="H1384" s="11">
        <f ca="1">IF(Table1[[#This Row],[Category]]="Electronics",Table1[[#This Row],[Sales]]*0.6,
IF(Table1[[#This Row],[Category]]="Furniture",Table1[[#This Row],[Sales]]*0.75,
IF(Table1[[#This Row],[Category]]="Clothing",Table1[[#This Row],[Sales]]*0.65,
Table1[[#This Row],[Sales]]*0.7)))</f>
        <v>12037.35</v>
      </c>
      <c r="I1384" s="11">
        <f ca="1">Table1[[#This Row],[Sales]]-H1384</f>
        <v>6481.65</v>
      </c>
      <c r="J1384" s="2">
        <f ca="1">Table1[[#This Row],[Profit]]/Table1[[#This Row],[Sales]]</f>
        <v>0.35</v>
      </c>
      <c r="K1384" t="str">
        <f ca="1">TEXT(Table1[[#This Row],[Order_Date]],"mmm")</f>
        <v>May</v>
      </c>
      <c r="L1384">
        <f ca="1">YEAR(Table1[[#This Row],[Order_Date]])</f>
        <v>2023</v>
      </c>
    </row>
    <row r="1385" spans="1:12" x14ac:dyDescent="0.3">
      <c r="A1385">
        <f t="shared" si="84"/>
        <v>1384</v>
      </c>
      <c r="B1385" s="1">
        <f t="shared" ca="1" si="85"/>
        <v>45165</v>
      </c>
      <c r="C1385" t="s">
        <v>10</v>
      </c>
      <c r="D1385" t="str">
        <f t="shared" ca="1" si="86"/>
        <v>Electronics</v>
      </c>
      <c r="E1385" t="s">
        <v>56</v>
      </c>
      <c r="F1385" s="11">
        <v>4022</v>
      </c>
      <c r="G1385">
        <f t="shared" ca="1" si="87"/>
        <v>3</v>
      </c>
      <c r="H1385" s="11">
        <f ca="1">IF(Table1[[#This Row],[Category]]="Electronics",Table1[[#This Row],[Sales]]*0.6,
IF(Table1[[#This Row],[Category]]="Furniture",Table1[[#This Row],[Sales]]*0.75,
IF(Table1[[#This Row],[Category]]="Clothing",Table1[[#This Row],[Sales]]*0.65,
Table1[[#This Row],[Sales]]*0.7)))</f>
        <v>2413.1999999999998</v>
      </c>
      <c r="I1385" s="11">
        <f ca="1">Table1[[#This Row],[Sales]]-H1385</f>
        <v>1608.8000000000002</v>
      </c>
      <c r="J1385" s="2">
        <f ca="1">Table1[[#This Row],[Profit]]/Table1[[#This Row],[Sales]]</f>
        <v>0.4</v>
      </c>
      <c r="K1385" t="str">
        <f ca="1">TEXT(Table1[[#This Row],[Order_Date]],"mmm")</f>
        <v>Aug</v>
      </c>
      <c r="L1385">
        <f ca="1">YEAR(Table1[[#This Row],[Order_Date]])</f>
        <v>2023</v>
      </c>
    </row>
    <row r="1386" spans="1:12" x14ac:dyDescent="0.3">
      <c r="A1386">
        <f t="shared" si="84"/>
        <v>1385</v>
      </c>
      <c r="B1386" s="1">
        <f t="shared" ca="1" si="85"/>
        <v>44974</v>
      </c>
      <c r="C1386" t="s">
        <v>7</v>
      </c>
      <c r="D1386" t="str">
        <f t="shared" ca="1" si="86"/>
        <v>Electronics</v>
      </c>
      <c r="E1386" t="s">
        <v>78</v>
      </c>
      <c r="F1386" s="11">
        <v>1930</v>
      </c>
      <c r="G1386">
        <f t="shared" ca="1" si="87"/>
        <v>8</v>
      </c>
      <c r="H1386" s="11">
        <f ca="1">IF(Table1[[#This Row],[Category]]="Electronics",Table1[[#This Row],[Sales]]*0.6,
IF(Table1[[#This Row],[Category]]="Furniture",Table1[[#This Row],[Sales]]*0.75,
IF(Table1[[#This Row],[Category]]="Clothing",Table1[[#This Row],[Sales]]*0.65,
Table1[[#This Row],[Sales]]*0.7)))</f>
        <v>1158</v>
      </c>
      <c r="I1386" s="11">
        <f ca="1">Table1[[#This Row],[Sales]]-H1386</f>
        <v>772</v>
      </c>
      <c r="J1386" s="2">
        <f ca="1">Table1[[#This Row],[Profit]]/Table1[[#This Row],[Sales]]</f>
        <v>0.4</v>
      </c>
      <c r="K1386" t="str">
        <f ca="1">TEXT(Table1[[#This Row],[Order_Date]],"mmm")</f>
        <v>Feb</v>
      </c>
      <c r="L1386">
        <f ca="1">YEAR(Table1[[#This Row],[Order_Date]])</f>
        <v>2023</v>
      </c>
    </row>
    <row r="1387" spans="1:12" x14ac:dyDescent="0.3">
      <c r="A1387">
        <f t="shared" si="84"/>
        <v>1386</v>
      </c>
      <c r="B1387" s="1">
        <f t="shared" ca="1" si="85"/>
        <v>45285</v>
      </c>
      <c r="C1387" t="s">
        <v>8</v>
      </c>
      <c r="D1387" t="str">
        <f t="shared" ca="1" si="86"/>
        <v>Electronics</v>
      </c>
      <c r="E1387" t="s">
        <v>46</v>
      </c>
      <c r="F1387" s="11">
        <v>9937</v>
      </c>
      <c r="G1387">
        <f t="shared" ca="1" si="87"/>
        <v>3</v>
      </c>
      <c r="H1387" s="11">
        <f ca="1">IF(Table1[[#This Row],[Category]]="Electronics",Table1[[#This Row],[Sales]]*0.6,
IF(Table1[[#This Row],[Category]]="Furniture",Table1[[#This Row],[Sales]]*0.75,
IF(Table1[[#This Row],[Category]]="Clothing",Table1[[#This Row],[Sales]]*0.65,
Table1[[#This Row],[Sales]]*0.7)))</f>
        <v>5962.2</v>
      </c>
      <c r="I1387" s="11">
        <f ca="1">Table1[[#This Row],[Sales]]-H1387</f>
        <v>3974.8</v>
      </c>
      <c r="J1387" s="2">
        <f ca="1">Table1[[#This Row],[Profit]]/Table1[[#This Row],[Sales]]</f>
        <v>0.4</v>
      </c>
      <c r="K1387" t="str">
        <f ca="1">TEXT(Table1[[#This Row],[Order_Date]],"mmm")</f>
        <v>Dec</v>
      </c>
      <c r="L1387">
        <f ca="1">YEAR(Table1[[#This Row],[Order_Date]])</f>
        <v>2023</v>
      </c>
    </row>
    <row r="1388" spans="1:12" x14ac:dyDescent="0.3">
      <c r="A1388">
        <f t="shared" si="84"/>
        <v>1387</v>
      </c>
      <c r="B1388" s="1">
        <f t="shared" ca="1" si="85"/>
        <v>45033</v>
      </c>
      <c r="C1388" t="s">
        <v>9</v>
      </c>
      <c r="D1388" t="str">
        <f t="shared" ca="1" si="86"/>
        <v>Office Supplies</v>
      </c>
      <c r="E1388" t="s">
        <v>75</v>
      </c>
      <c r="F1388" s="11">
        <v>14849</v>
      </c>
      <c r="G1388">
        <f t="shared" ca="1" si="87"/>
        <v>7</v>
      </c>
      <c r="H1388" s="11">
        <f ca="1">IF(Table1[[#This Row],[Category]]="Electronics",Table1[[#This Row],[Sales]]*0.6,
IF(Table1[[#This Row],[Category]]="Furniture",Table1[[#This Row],[Sales]]*0.75,
IF(Table1[[#This Row],[Category]]="Clothing",Table1[[#This Row],[Sales]]*0.65,
Table1[[#This Row],[Sales]]*0.7)))</f>
        <v>10394.299999999999</v>
      </c>
      <c r="I1388" s="11">
        <f ca="1">Table1[[#This Row],[Sales]]-H1388</f>
        <v>4454.7000000000007</v>
      </c>
      <c r="J1388" s="2">
        <f ca="1">Table1[[#This Row],[Profit]]/Table1[[#This Row],[Sales]]</f>
        <v>0.30000000000000004</v>
      </c>
      <c r="K1388" t="str">
        <f ca="1">TEXT(Table1[[#This Row],[Order_Date]],"mmm")</f>
        <v>Apr</v>
      </c>
      <c r="L1388">
        <f ca="1">YEAR(Table1[[#This Row],[Order_Date]])</f>
        <v>2023</v>
      </c>
    </row>
    <row r="1389" spans="1:12" x14ac:dyDescent="0.3">
      <c r="A1389">
        <f t="shared" si="84"/>
        <v>1388</v>
      </c>
      <c r="B1389" s="1">
        <f t="shared" ca="1" si="85"/>
        <v>45071</v>
      </c>
      <c r="C1389" t="s">
        <v>10</v>
      </c>
      <c r="D1389" t="str">
        <f t="shared" ca="1" si="86"/>
        <v>Furniture</v>
      </c>
      <c r="E1389" t="s">
        <v>46</v>
      </c>
      <c r="F1389" s="11">
        <v>18135</v>
      </c>
      <c r="G1389">
        <f t="shared" ca="1" si="87"/>
        <v>5</v>
      </c>
      <c r="H1389" s="11">
        <f ca="1">IF(Table1[[#This Row],[Category]]="Electronics",Table1[[#This Row],[Sales]]*0.6,
IF(Table1[[#This Row],[Category]]="Furniture",Table1[[#This Row],[Sales]]*0.75,
IF(Table1[[#This Row],[Category]]="Clothing",Table1[[#This Row],[Sales]]*0.65,
Table1[[#This Row],[Sales]]*0.7)))</f>
        <v>13601.25</v>
      </c>
      <c r="I1389" s="11">
        <f ca="1">Table1[[#This Row],[Sales]]-H1389</f>
        <v>4533.75</v>
      </c>
      <c r="J1389" s="2">
        <f ca="1">Table1[[#This Row],[Profit]]/Table1[[#This Row],[Sales]]</f>
        <v>0.25</v>
      </c>
      <c r="K1389" t="str">
        <f ca="1">TEXT(Table1[[#This Row],[Order_Date]],"mmm")</f>
        <v>May</v>
      </c>
      <c r="L1389">
        <f ca="1">YEAR(Table1[[#This Row],[Order_Date]])</f>
        <v>2023</v>
      </c>
    </row>
    <row r="1390" spans="1:12" x14ac:dyDescent="0.3">
      <c r="A1390">
        <f t="shared" si="84"/>
        <v>1389</v>
      </c>
      <c r="B1390" s="1">
        <f t="shared" ca="1" si="85"/>
        <v>45149</v>
      </c>
      <c r="C1390" t="s">
        <v>7</v>
      </c>
      <c r="D1390" t="str">
        <f t="shared" ca="1" si="86"/>
        <v>Clothing</v>
      </c>
      <c r="E1390" t="s">
        <v>60</v>
      </c>
      <c r="F1390" s="11">
        <v>2167</v>
      </c>
      <c r="G1390">
        <f t="shared" ca="1" si="87"/>
        <v>9</v>
      </c>
      <c r="H1390" s="11">
        <f ca="1">IF(Table1[[#This Row],[Category]]="Electronics",Table1[[#This Row],[Sales]]*0.6,
IF(Table1[[#This Row],[Category]]="Furniture",Table1[[#This Row],[Sales]]*0.75,
IF(Table1[[#This Row],[Category]]="Clothing",Table1[[#This Row],[Sales]]*0.65,
Table1[[#This Row],[Sales]]*0.7)))</f>
        <v>1408.55</v>
      </c>
      <c r="I1390" s="11">
        <f ca="1">Table1[[#This Row],[Sales]]-H1390</f>
        <v>758.45</v>
      </c>
      <c r="J1390" s="2">
        <f ca="1">Table1[[#This Row],[Profit]]/Table1[[#This Row],[Sales]]</f>
        <v>0.35000000000000003</v>
      </c>
      <c r="K1390" t="str">
        <f ca="1">TEXT(Table1[[#This Row],[Order_Date]],"mmm")</f>
        <v>Aug</v>
      </c>
      <c r="L1390">
        <f ca="1">YEAR(Table1[[#This Row],[Order_Date]])</f>
        <v>2023</v>
      </c>
    </row>
    <row r="1391" spans="1:12" x14ac:dyDescent="0.3">
      <c r="A1391">
        <f t="shared" si="84"/>
        <v>1390</v>
      </c>
      <c r="B1391" s="1">
        <f t="shared" ca="1" si="85"/>
        <v>45203</v>
      </c>
      <c r="C1391" t="s">
        <v>8</v>
      </c>
      <c r="D1391" t="str">
        <f t="shared" ca="1" si="86"/>
        <v>Clothing</v>
      </c>
      <c r="E1391" t="s">
        <v>74</v>
      </c>
      <c r="F1391" s="11">
        <v>17752</v>
      </c>
      <c r="G1391">
        <f t="shared" ca="1" si="87"/>
        <v>8</v>
      </c>
      <c r="H1391" s="11">
        <f ca="1">IF(Table1[[#This Row],[Category]]="Electronics",Table1[[#This Row],[Sales]]*0.6,
IF(Table1[[#This Row],[Category]]="Furniture",Table1[[#This Row],[Sales]]*0.75,
IF(Table1[[#This Row],[Category]]="Clothing",Table1[[#This Row],[Sales]]*0.65,
Table1[[#This Row],[Sales]]*0.7)))</f>
        <v>11538.800000000001</v>
      </c>
      <c r="I1391" s="11">
        <f ca="1">Table1[[#This Row],[Sales]]-H1391</f>
        <v>6213.1999999999989</v>
      </c>
      <c r="J1391" s="2">
        <f ca="1">Table1[[#This Row],[Profit]]/Table1[[#This Row],[Sales]]</f>
        <v>0.34999999999999992</v>
      </c>
      <c r="K1391" t="str">
        <f ca="1">TEXT(Table1[[#This Row],[Order_Date]],"mmm")</f>
        <v>Oct</v>
      </c>
      <c r="L1391">
        <f ca="1">YEAR(Table1[[#This Row],[Order_Date]])</f>
        <v>2023</v>
      </c>
    </row>
    <row r="1392" spans="1:12" x14ac:dyDescent="0.3">
      <c r="A1392">
        <f t="shared" si="84"/>
        <v>1391</v>
      </c>
      <c r="B1392" s="1">
        <f t="shared" ca="1" si="85"/>
        <v>44991</v>
      </c>
      <c r="C1392" t="s">
        <v>9</v>
      </c>
      <c r="D1392" t="str">
        <f t="shared" ca="1" si="86"/>
        <v>Office Supplies</v>
      </c>
      <c r="E1392" t="s">
        <v>65</v>
      </c>
      <c r="F1392" s="11">
        <v>12535</v>
      </c>
      <c r="G1392">
        <f t="shared" ca="1" si="87"/>
        <v>3</v>
      </c>
      <c r="H1392" s="11">
        <f ca="1">IF(Table1[[#This Row],[Category]]="Electronics",Table1[[#This Row],[Sales]]*0.6,
IF(Table1[[#This Row],[Category]]="Furniture",Table1[[#This Row],[Sales]]*0.75,
IF(Table1[[#This Row],[Category]]="Clothing",Table1[[#This Row],[Sales]]*0.65,
Table1[[#This Row],[Sales]]*0.7)))</f>
        <v>8774.5</v>
      </c>
      <c r="I1392" s="11">
        <f ca="1">Table1[[#This Row],[Sales]]-H1392</f>
        <v>3760.5</v>
      </c>
      <c r="J1392" s="2">
        <f ca="1">Table1[[#This Row],[Profit]]/Table1[[#This Row],[Sales]]</f>
        <v>0.3</v>
      </c>
      <c r="K1392" t="str">
        <f ca="1">TEXT(Table1[[#This Row],[Order_Date]],"mmm")</f>
        <v>Mar</v>
      </c>
      <c r="L1392">
        <f ca="1">YEAR(Table1[[#This Row],[Order_Date]])</f>
        <v>2023</v>
      </c>
    </row>
    <row r="1393" spans="1:12" x14ac:dyDescent="0.3">
      <c r="A1393">
        <f t="shared" si="84"/>
        <v>1392</v>
      </c>
      <c r="B1393" s="1">
        <f t="shared" ca="1" si="85"/>
        <v>44982</v>
      </c>
      <c r="C1393" t="s">
        <v>10</v>
      </c>
      <c r="D1393" t="str">
        <f t="shared" ca="1" si="86"/>
        <v>Office Supplies</v>
      </c>
      <c r="E1393" t="s">
        <v>76</v>
      </c>
      <c r="F1393" s="11">
        <v>8094</v>
      </c>
      <c r="G1393">
        <f t="shared" ca="1" si="87"/>
        <v>1</v>
      </c>
      <c r="H1393" s="11">
        <f ca="1">IF(Table1[[#This Row],[Category]]="Electronics",Table1[[#This Row],[Sales]]*0.6,
IF(Table1[[#This Row],[Category]]="Furniture",Table1[[#This Row],[Sales]]*0.75,
IF(Table1[[#This Row],[Category]]="Clothing",Table1[[#This Row],[Sales]]*0.65,
Table1[[#This Row],[Sales]]*0.7)))</f>
        <v>5665.7999999999993</v>
      </c>
      <c r="I1393" s="11">
        <f ca="1">Table1[[#This Row],[Sales]]-H1393</f>
        <v>2428.2000000000007</v>
      </c>
      <c r="J1393" s="2">
        <f ca="1">Table1[[#This Row],[Profit]]/Table1[[#This Row],[Sales]]</f>
        <v>0.3000000000000001</v>
      </c>
      <c r="K1393" t="str">
        <f ca="1">TEXT(Table1[[#This Row],[Order_Date]],"mmm")</f>
        <v>Feb</v>
      </c>
      <c r="L1393">
        <f ca="1">YEAR(Table1[[#This Row],[Order_Date]])</f>
        <v>2023</v>
      </c>
    </row>
    <row r="1394" spans="1:12" x14ac:dyDescent="0.3">
      <c r="A1394">
        <f t="shared" si="84"/>
        <v>1393</v>
      </c>
      <c r="B1394" s="1">
        <f t="shared" ca="1" si="85"/>
        <v>45146</v>
      </c>
      <c r="C1394" t="s">
        <v>7</v>
      </c>
      <c r="D1394" t="str">
        <f t="shared" ca="1" si="86"/>
        <v>Office Supplies</v>
      </c>
      <c r="E1394" t="s">
        <v>71</v>
      </c>
      <c r="F1394" s="11">
        <v>8317</v>
      </c>
      <c r="G1394">
        <f t="shared" ca="1" si="87"/>
        <v>5</v>
      </c>
      <c r="H1394" s="11">
        <f ca="1">IF(Table1[[#This Row],[Category]]="Electronics",Table1[[#This Row],[Sales]]*0.6,
IF(Table1[[#This Row],[Category]]="Furniture",Table1[[#This Row],[Sales]]*0.75,
IF(Table1[[#This Row],[Category]]="Clothing",Table1[[#This Row],[Sales]]*0.65,
Table1[[#This Row],[Sales]]*0.7)))</f>
        <v>5821.9</v>
      </c>
      <c r="I1394" s="11">
        <f ca="1">Table1[[#This Row],[Sales]]-H1394</f>
        <v>2495.1000000000004</v>
      </c>
      <c r="J1394" s="2">
        <f ca="1">Table1[[#This Row],[Profit]]/Table1[[#This Row],[Sales]]</f>
        <v>0.30000000000000004</v>
      </c>
      <c r="K1394" t="str">
        <f ca="1">TEXT(Table1[[#This Row],[Order_Date]],"mmm")</f>
        <v>Aug</v>
      </c>
      <c r="L1394">
        <f ca="1">YEAR(Table1[[#This Row],[Order_Date]])</f>
        <v>2023</v>
      </c>
    </row>
    <row r="1395" spans="1:12" x14ac:dyDescent="0.3">
      <c r="A1395">
        <f t="shared" si="84"/>
        <v>1394</v>
      </c>
      <c r="B1395" s="1">
        <f t="shared" ca="1" si="85"/>
        <v>45285</v>
      </c>
      <c r="C1395" t="s">
        <v>8</v>
      </c>
      <c r="D1395" t="str">
        <f t="shared" ca="1" si="86"/>
        <v>Office Supplies</v>
      </c>
      <c r="E1395" t="s">
        <v>67</v>
      </c>
      <c r="F1395" s="11">
        <v>16373</v>
      </c>
      <c r="G1395">
        <f t="shared" ca="1" si="87"/>
        <v>4</v>
      </c>
      <c r="H1395" s="11">
        <f ca="1">IF(Table1[[#This Row],[Category]]="Electronics",Table1[[#This Row],[Sales]]*0.6,
IF(Table1[[#This Row],[Category]]="Furniture",Table1[[#This Row],[Sales]]*0.75,
IF(Table1[[#This Row],[Category]]="Clothing",Table1[[#This Row],[Sales]]*0.65,
Table1[[#This Row],[Sales]]*0.7)))</f>
        <v>11461.099999999999</v>
      </c>
      <c r="I1395" s="11">
        <f ca="1">Table1[[#This Row],[Sales]]-H1395</f>
        <v>4911.9000000000015</v>
      </c>
      <c r="J1395" s="2">
        <f ca="1">Table1[[#This Row],[Profit]]/Table1[[#This Row],[Sales]]</f>
        <v>0.3000000000000001</v>
      </c>
      <c r="K1395" t="str">
        <f ca="1">TEXT(Table1[[#This Row],[Order_Date]],"mmm")</f>
        <v>Dec</v>
      </c>
      <c r="L1395">
        <f ca="1">YEAR(Table1[[#This Row],[Order_Date]])</f>
        <v>2023</v>
      </c>
    </row>
    <row r="1396" spans="1:12" x14ac:dyDescent="0.3">
      <c r="A1396">
        <f t="shared" si="84"/>
        <v>1395</v>
      </c>
      <c r="B1396" s="1">
        <f t="shared" ca="1" si="85"/>
        <v>45086</v>
      </c>
      <c r="C1396" t="s">
        <v>9</v>
      </c>
      <c r="D1396" t="str">
        <f t="shared" ca="1" si="86"/>
        <v>Furniture</v>
      </c>
      <c r="E1396" t="s">
        <v>83</v>
      </c>
      <c r="F1396" s="11">
        <v>15544</v>
      </c>
      <c r="G1396">
        <f t="shared" ca="1" si="87"/>
        <v>1</v>
      </c>
      <c r="H1396" s="11">
        <f ca="1">IF(Table1[[#This Row],[Category]]="Electronics",Table1[[#This Row],[Sales]]*0.6,
IF(Table1[[#This Row],[Category]]="Furniture",Table1[[#This Row],[Sales]]*0.75,
IF(Table1[[#This Row],[Category]]="Clothing",Table1[[#This Row],[Sales]]*0.65,
Table1[[#This Row],[Sales]]*0.7)))</f>
        <v>11658</v>
      </c>
      <c r="I1396" s="11">
        <f ca="1">Table1[[#This Row],[Sales]]-H1396</f>
        <v>3886</v>
      </c>
      <c r="J1396" s="2">
        <f ca="1">Table1[[#This Row],[Profit]]/Table1[[#This Row],[Sales]]</f>
        <v>0.25</v>
      </c>
      <c r="K1396" t="str">
        <f ca="1">TEXT(Table1[[#This Row],[Order_Date]],"mmm")</f>
        <v>Jun</v>
      </c>
      <c r="L1396">
        <f ca="1">YEAR(Table1[[#This Row],[Order_Date]])</f>
        <v>2023</v>
      </c>
    </row>
    <row r="1397" spans="1:12" x14ac:dyDescent="0.3">
      <c r="A1397">
        <f t="shared" si="84"/>
        <v>1396</v>
      </c>
      <c r="B1397" s="1">
        <f t="shared" ca="1" si="85"/>
        <v>45208</v>
      </c>
      <c r="C1397" t="s">
        <v>10</v>
      </c>
      <c r="D1397" t="str">
        <f t="shared" ca="1" si="86"/>
        <v>Clothing</v>
      </c>
      <c r="E1397" t="s">
        <v>66</v>
      </c>
      <c r="F1397" s="11">
        <v>16911</v>
      </c>
      <c r="G1397">
        <f t="shared" ca="1" si="87"/>
        <v>1</v>
      </c>
      <c r="H1397" s="11">
        <f ca="1">IF(Table1[[#This Row],[Category]]="Electronics",Table1[[#This Row],[Sales]]*0.6,
IF(Table1[[#This Row],[Category]]="Furniture",Table1[[#This Row],[Sales]]*0.75,
IF(Table1[[#This Row],[Category]]="Clothing",Table1[[#This Row],[Sales]]*0.65,
Table1[[#This Row],[Sales]]*0.7)))</f>
        <v>10992.15</v>
      </c>
      <c r="I1397" s="11">
        <f ca="1">Table1[[#This Row],[Sales]]-H1397</f>
        <v>5918.85</v>
      </c>
      <c r="J1397" s="2">
        <f ca="1">Table1[[#This Row],[Profit]]/Table1[[#This Row],[Sales]]</f>
        <v>0.35000000000000003</v>
      </c>
      <c r="K1397" t="str">
        <f ca="1">TEXT(Table1[[#This Row],[Order_Date]],"mmm")</f>
        <v>Oct</v>
      </c>
      <c r="L1397">
        <f ca="1">YEAR(Table1[[#This Row],[Order_Date]])</f>
        <v>2023</v>
      </c>
    </row>
    <row r="1398" spans="1:12" x14ac:dyDescent="0.3">
      <c r="A1398">
        <f t="shared" si="84"/>
        <v>1397</v>
      </c>
      <c r="B1398" s="1">
        <f t="shared" ca="1" si="85"/>
        <v>45067</v>
      </c>
      <c r="C1398" t="s">
        <v>7</v>
      </c>
      <c r="D1398" t="str">
        <f t="shared" ca="1" si="86"/>
        <v>Office Supplies</v>
      </c>
      <c r="E1398" t="s">
        <v>82</v>
      </c>
      <c r="F1398" s="11">
        <v>18072</v>
      </c>
      <c r="G1398">
        <f t="shared" ca="1" si="87"/>
        <v>10</v>
      </c>
      <c r="H1398" s="11">
        <f ca="1">IF(Table1[[#This Row],[Category]]="Electronics",Table1[[#This Row],[Sales]]*0.6,
IF(Table1[[#This Row],[Category]]="Furniture",Table1[[#This Row],[Sales]]*0.75,
IF(Table1[[#This Row],[Category]]="Clothing",Table1[[#This Row],[Sales]]*0.65,
Table1[[#This Row],[Sales]]*0.7)))</f>
        <v>12650.4</v>
      </c>
      <c r="I1398" s="11">
        <f ca="1">Table1[[#This Row],[Sales]]-H1398</f>
        <v>5421.6</v>
      </c>
      <c r="J1398" s="2">
        <f ca="1">Table1[[#This Row],[Profit]]/Table1[[#This Row],[Sales]]</f>
        <v>0.30000000000000004</v>
      </c>
      <c r="K1398" t="str">
        <f ca="1">TEXT(Table1[[#This Row],[Order_Date]],"mmm")</f>
        <v>May</v>
      </c>
      <c r="L1398">
        <f ca="1">YEAR(Table1[[#This Row],[Order_Date]])</f>
        <v>2023</v>
      </c>
    </row>
    <row r="1399" spans="1:12" x14ac:dyDescent="0.3">
      <c r="A1399">
        <f t="shared" si="84"/>
        <v>1398</v>
      </c>
      <c r="B1399" s="1">
        <f t="shared" ca="1" si="85"/>
        <v>44961</v>
      </c>
      <c r="C1399" t="s">
        <v>8</v>
      </c>
      <c r="D1399" t="str">
        <f t="shared" ca="1" si="86"/>
        <v>Clothing</v>
      </c>
      <c r="E1399" t="s">
        <v>42</v>
      </c>
      <c r="F1399" s="11">
        <v>8650</v>
      </c>
      <c r="G1399">
        <f t="shared" ca="1" si="87"/>
        <v>4</v>
      </c>
      <c r="H1399" s="11">
        <f ca="1">IF(Table1[[#This Row],[Category]]="Electronics",Table1[[#This Row],[Sales]]*0.6,
IF(Table1[[#This Row],[Category]]="Furniture",Table1[[#This Row],[Sales]]*0.75,
IF(Table1[[#This Row],[Category]]="Clothing",Table1[[#This Row],[Sales]]*0.65,
Table1[[#This Row],[Sales]]*0.7)))</f>
        <v>5622.5</v>
      </c>
      <c r="I1399" s="11">
        <f ca="1">Table1[[#This Row],[Sales]]-H1399</f>
        <v>3027.5</v>
      </c>
      <c r="J1399" s="2">
        <f ca="1">Table1[[#This Row],[Profit]]/Table1[[#This Row],[Sales]]</f>
        <v>0.35</v>
      </c>
      <c r="K1399" t="str">
        <f ca="1">TEXT(Table1[[#This Row],[Order_Date]],"mmm")</f>
        <v>Feb</v>
      </c>
      <c r="L1399">
        <f ca="1">YEAR(Table1[[#This Row],[Order_Date]])</f>
        <v>2023</v>
      </c>
    </row>
    <row r="1400" spans="1:12" x14ac:dyDescent="0.3">
      <c r="A1400">
        <f t="shared" si="84"/>
        <v>1399</v>
      </c>
      <c r="B1400" s="1">
        <f t="shared" ca="1" si="85"/>
        <v>45008</v>
      </c>
      <c r="C1400" t="s">
        <v>9</v>
      </c>
      <c r="D1400" t="str">
        <f t="shared" ca="1" si="86"/>
        <v>Office Supplies</v>
      </c>
      <c r="E1400" t="s">
        <v>45</v>
      </c>
      <c r="F1400" s="11">
        <v>15562</v>
      </c>
      <c r="G1400">
        <f t="shared" ca="1" si="87"/>
        <v>1</v>
      </c>
      <c r="H1400" s="11">
        <f ca="1">IF(Table1[[#This Row],[Category]]="Electronics",Table1[[#This Row],[Sales]]*0.6,
IF(Table1[[#This Row],[Category]]="Furniture",Table1[[#This Row],[Sales]]*0.75,
IF(Table1[[#This Row],[Category]]="Clothing",Table1[[#This Row],[Sales]]*0.65,
Table1[[#This Row],[Sales]]*0.7)))</f>
        <v>10893.4</v>
      </c>
      <c r="I1400" s="11">
        <f ca="1">Table1[[#This Row],[Sales]]-H1400</f>
        <v>4668.6000000000004</v>
      </c>
      <c r="J1400" s="2">
        <f ca="1">Table1[[#This Row],[Profit]]/Table1[[#This Row],[Sales]]</f>
        <v>0.30000000000000004</v>
      </c>
      <c r="K1400" t="str">
        <f ca="1">TEXT(Table1[[#This Row],[Order_Date]],"mmm")</f>
        <v>Mar</v>
      </c>
      <c r="L1400">
        <f ca="1">YEAR(Table1[[#This Row],[Order_Date]])</f>
        <v>2023</v>
      </c>
    </row>
    <row r="1401" spans="1:12" x14ac:dyDescent="0.3">
      <c r="A1401">
        <f t="shared" si="84"/>
        <v>1400</v>
      </c>
      <c r="B1401" s="1">
        <f t="shared" ca="1" si="85"/>
        <v>44946</v>
      </c>
      <c r="C1401" t="s">
        <v>10</v>
      </c>
      <c r="D1401" t="str">
        <f t="shared" ca="1" si="86"/>
        <v>Office Supplies</v>
      </c>
      <c r="E1401" t="s">
        <v>36</v>
      </c>
      <c r="F1401" s="11">
        <v>14624</v>
      </c>
      <c r="G1401">
        <f t="shared" ca="1" si="87"/>
        <v>8</v>
      </c>
      <c r="H1401" s="11">
        <f ca="1">IF(Table1[[#This Row],[Category]]="Electronics",Table1[[#This Row],[Sales]]*0.6,
IF(Table1[[#This Row],[Category]]="Furniture",Table1[[#This Row],[Sales]]*0.75,
IF(Table1[[#This Row],[Category]]="Clothing",Table1[[#This Row],[Sales]]*0.65,
Table1[[#This Row],[Sales]]*0.7)))</f>
        <v>10236.799999999999</v>
      </c>
      <c r="I1401" s="11">
        <f ca="1">Table1[[#This Row],[Sales]]-H1401</f>
        <v>4387.2000000000007</v>
      </c>
      <c r="J1401" s="2">
        <f ca="1">Table1[[#This Row],[Profit]]/Table1[[#This Row],[Sales]]</f>
        <v>0.30000000000000004</v>
      </c>
      <c r="K1401" t="str">
        <f ca="1">TEXT(Table1[[#This Row],[Order_Date]],"mmm")</f>
        <v>Jan</v>
      </c>
      <c r="L1401">
        <f ca="1">YEAR(Table1[[#This Row],[Order_Date]])</f>
        <v>2023</v>
      </c>
    </row>
    <row r="1402" spans="1:12" x14ac:dyDescent="0.3">
      <c r="A1402">
        <f t="shared" si="84"/>
        <v>1401</v>
      </c>
      <c r="B1402" s="1">
        <f t="shared" ca="1" si="85"/>
        <v>45200</v>
      </c>
      <c r="C1402" t="s">
        <v>7</v>
      </c>
      <c r="D1402" t="str">
        <f t="shared" ca="1" si="86"/>
        <v>Office Supplies</v>
      </c>
      <c r="E1402" t="s">
        <v>84</v>
      </c>
      <c r="F1402" s="11">
        <v>1951</v>
      </c>
      <c r="G1402">
        <f t="shared" ca="1" si="87"/>
        <v>4</v>
      </c>
      <c r="H1402" s="11">
        <f ca="1">IF(Table1[[#This Row],[Category]]="Electronics",Table1[[#This Row],[Sales]]*0.6,
IF(Table1[[#This Row],[Category]]="Furniture",Table1[[#This Row],[Sales]]*0.75,
IF(Table1[[#This Row],[Category]]="Clothing",Table1[[#This Row],[Sales]]*0.65,
Table1[[#This Row],[Sales]]*0.7)))</f>
        <v>1365.6999999999998</v>
      </c>
      <c r="I1402" s="11">
        <f ca="1">Table1[[#This Row],[Sales]]-H1402</f>
        <v>585.30000000000018</v>
      </c>
      <c r="J1402" s="2">
        <f ca="1">Table1[[#This Row],[Profit]]/Table1[[#This Row],[Sales]]</f>
        <v>0.3000000000000001</v>
      </c>
      <c r="K1402" t="str">
        <f ca="1">TEXT(Table1[[#This Row],[Order_Date]],"mmm")</f>
        <v>Oct</v>
      </c>
      <c r="L1402">
        <f ca="1">YEAR(Table1[[#This Row],[Order_Date]])</f>
        <v>2023</v>
      </c>
    </row>
    <row r="1403" spans="1:12" x14ac:dyDescent="0.3">
      <c r="A1403">
        <f t="shared" si="84"/>
        <v>1402</v>
      </c>
      <c r="B1403" s="1">
        <f t="shared" ca="1" si="85"/>
        <v>45158</v>
      </c>
      <c r="C1403" t="s">
        <v>8</v>
      </c>
      <c r="D1403" t="str">
        <f t="shared" ca="1" si="86"/>
        <v>Electronics</v>
      </c>
      <c r="E1403" t="s">
        <v>40</v>
      </c>
      <c r="F1403" s="11">
        <v>13910</v>
      </c>
      <c r="G1403">
        <f t="shared" ca="1" si="87"/>
        <v>8</v>
      </c>
      <c r="H1403" s="11">
        <f ca="1">IF(Table1[[#This Row],[Category]]="Electronics",Table1[[#This Row],[Sales]]*0.6,
IF(Table1[[#This Row],[Category]]="Furniture",Table1[[#This Row],[Sales]]*0.75,
IF(Table1[[#This Row],[Category]]="Clothing",Table1[[#This Row],[Sales]]*0.65,
Table1[[#This Row],[Sales]]*0.7)))</f>
        <v>8346</v>
      </c>
      <c r="I1403" s="11">
        <f ca="1">Table1[[#This Row],[Sales]]-H1403</f>
        <v>5564</v>
      </c>
      <c r="J1403" s="2">
        <f ca="1">Table1[[#This Row],[Profit]]/Table1[[#This Row],[Sales]]</f>
        <v>0.4</v>
      </c>
      <c r="K1403" t="str">
        <f ca="1">TEXT(Table1[[#This Row],[Order_Date]],"mmm")</f>
        <v>Aug</v>
      </c>
      <c r="L1403">
        <f ca="1">YEAR(Table1[[#This Row],[Order_Date]])</f>
        <v>2023</v>
      </c>
    </row>
    <row r="1404" spans="1:12" x14ac:dyDescent="0.3">
      <c r="A1404">
        <f t="shared" si="84"/>
        <v>1403</v>
      </c>
      <c r="B1404" s="1">
        <f t="shared" ca="1" si="85"/>
        <v>45224</v>
      </c>
      <c r="C1404" t="s">
        <v>9</v>
      </c>
      <c r="D1404" t="str">
        <f t="shared" ca="1" si="86"/>
        <v>Clothing</v>
      </c>
      <c r="E1404" t="s">
        <v>62</v>
      </c>
      <c r="F1404" s="11">
        <v>14146</v>
      </c>
      <c r="G1404">
        <f t="shared" ca="1" si="87"/>
        <v>3</v>
      </c>
      <c r="H1404" s="11">
        <f ca="1">IF(Table1[[#This Row],[Category]]="Electronics",Table1[[#This Row],[Sales]]*0.6,
IF(Table1[[#This Row],[Category]]="Furniture",Table1[[#This Row],[Sales]]*0.75,
IF(Table1[[#This Row],[Category]]="Clothing",Table1[[#This Row],[Sales]]*0.65,
Table1[[#This Row],[Sales]]*0.7)))</f>
        <v>9194.9</v>
      </c>
      <c r="I1404" s="11">
        <f ca="1">Table1[[#This Row],[Sales]]-H1404</f>
        <v>4951.1000000000004</v>
      </c>
      <c r="J1404" s="2">
        <f ca="1">Table1[[#This Row],[Profit]]/Table1[[#This Row],[Sales]]</f>
        <v>0.35000000000000003</v>
      </c>
      <c r="K1404" t="str">
        <f ca="1">TEXT(Table1[[#This Row],[Order_Date]],"mmm")</f>
        <v>Oct</v>
      </c>
      <c r="L1404">
        <f ca="1">YEAR(Table1[[#This Row],[Order_Date]])</f>
        <v>2023</v>
      </c>
    </row>
    <row r="1405" spans="1:12" x14ac:dyDescent="0.3">
      <c r="A1405">
        <f t="shared" si="84"/>
        <v>1404</v>
      </c>
      <c r="B1405" s="1">
        <f t="shared" ca="1" si="85"/>
        <v>45156</v>
      </c>
      <c r="C1405" t="s">
        <v>10</v>
      </c>
      <c r="D1405" t="str">
        <f t="shared" ca="1" si="86"/>
        <v>Office Supplies</v>
      </c>
      <c r="E1405" t="s">
        <v>44</v>
      </c>
      <c r="F1405" s="11">
        <v>4331</v>
      </c>
      <c r="G1405">
        <f t="shared" ca="1" si="87"/>
        <v>9</v>
      </c>
      <c r="H1405" s="11">
        <f ca="1">IF(Table1[[#This Row],[Category]]="Electronics",Table1[[#This Row],[Sales]]*0.6,
IF(Table1[[#This Row],[Category]]="Furniture",Table1[[#This Row],[Sales]]*0.75,
IF(Table1[[#This Row],[Category]]="Clothing",Table1[[#This Row],[Sales]]*0.65,
Table1[[#This Row],[Sales]]*0.7)))</f>
        <v>3031.7</v>
      </c>
      <c r="I1405" s="11">
        <f ca="1">Table1[[#This Row],[Sales]]-H1405</f>
        <v>1299.3000000000002</v>
      </c>
      <c r="J1405" s="2">
        <f ca="1">Table1[[#This Row],[Profit]]/Table1[[#This Row],[Sales]]</f>
        <v>0.30000000000000004</v>
      </c>
      <c r="K1405" t="str">
        <f ca="1">TEXT(Table1[[#This Row],[Order_Date]],"mmm")</f>
        <v>Aug</v>
      </c>
      <c r="L1405">
        <f ca="1">YEAR(Table1[[#This Row],[Order_Date]])</f>
        <v>2023</v>
      </c>
    </row>
    <row r="1406" spans="1:12" x14ac:dyDescent="0.3">
      <c r="A1406">
        <f t="shared" si="84"/>
        <v>1405</v>
      </c>
      <c r="B1406" s="1">
        <f t="shared" ca="1" si="85"/>
        <v>45129</v>
      </c>
      <c r="C1406" t="s">
        <v>7</v>
      </c>
      <c r="D1406" t="str">
        <f t="shared" ca="1" si="86"/>
        <v>Office Supplies</v>
      </c>
      <c r="E1406" t="s">
        <v>76</v>
      </c>
      <c r="F1406" s="11">
        <v>10311</v>
      </c>
      <c r="G1406">
        <f t="shared" ca="1" si="87"/>
        <v>9</v>
      </c>
      <c r="H1406" s="11">
        <f ca="1">IF(Table1[[#This Row],[Category]]="Electronics",Table1[[#This Row],[Sales]]*0.6,
IF(Table1[[#This Row],[Category]]="Furniture",Table1[[#This Row],[Sales]]*0.75,
IF(Table1[[#This Row],[Category]]="Clothing",Table1[[#This Row],[Sales]]*0.65,
Table1[[#This Row],[Sales]]*0.7)))</f>
        <v>7217.7</v>
      </c>
      <c r="I1406" s="11">
        <f ca="1">Table1[[#This Row],[Sales]]-H1406</f>
        <v>3093.3</v>
      </c>
      <c r="J1406" s="2">
        <f ca="1">Table1[[#This Row],[Profit]]/Table1[[#This Row],[Sales]]</f>
        <v>0.30000000000000004</v>
      </c>
      <c r="K1406" t="str">
        <f ca="1">TEXT(Table1[[#This Row],[Order_Date]],"mmm")</f>
        <v>Jul</v>
      </c>
      <c r="L1406">
        <f ca="1">YEAR(Table1[[#This Row],[Order_Date]])</f>
        <v>2023</v>
      </c>
    </row>
    <row r="1407" spans="1:12" x14ac:dyDescent="0.3">
      <c r="A1407">
        <f t="shared" si="84"/>
        <v>1406</v>
      </c>
      <c r="B1407" s="1">
        <f t="shared" ca="1" si="85"/>
        <v>45039</v>
      </c>
      <c r="C1407" t="s">
        <v>8</v>
      </c>
      <c r="D1407" t="str">
        <f t="shared" ca="1" si="86"/>
        <v>Office Supplies</v>
      </c>
      <c r="E1407" t="s">
        <v>55</v>
      </c>
      <c r="F1407" s="11">
        <v>3165</v>
      </c>
      <c r="G1407">
        <f t="shared" ca="1" si="87"/>
        <v>7</v>
      </c>
      <c r="H1407" s="11">
        <f ca="1">IF(Table1[[#This Row],[Category]]="Electronics",Table1[[#This Row],[Sales]]*0.6,
IF(Table1[[#This Row],[Category]]="Furniture",Table1[[#This Row],[Sales]]*0.75,
IF(Table1[[#This Row],[Category]]="Clothing",Table1[[#This Row],[Sales]]*0.65,
Table1[[#This Row],[Sales]]*0.7)))</f>
        <v>2215.5</v>
      </c>
      <c r="I1407" s="11">
        <f ca="1">Table1[[#This Row],[Sales]]-H1407</f>
        <v>949.5</v>
      </c>
      <c r="J1407" s="2">
        <f ca="1">Table1[[#This Row],[Profit]]/Table1[[#This Row],[Sales]]</f>
        <v>0.3</v>
      </c>
      <c r="K1407" t="str">
        <f ca="1">TEXT(Table1[[#This Row],[Order_Date]],"mmm")</f>
        <v>Apr</v>
      </c>
      <c r="L1407">
        <f ca="1">YEAR(Table1[[#This Row],[Order_Date]])</f>
        <v>2023</v>
      </c>
    </row>
    <row r="1408" spans="1:12" x14ac:dyDescent="0.3">
      <c r="A1408">
        <f t="shared" si="84"/>
        <v>1407</v>
      </c>
      <c r="B1408" s="1">
        <f t="shared" ca="1" si="85"/>
        <v>45165</v>
      </c>
      <c r="C1408" t="s">
        <v>9</v>
      </c>
      <c r="D1408" t="str">
        <f t="shared" ca="1" si="86"/>
        <v>Clothing</v>
      </c>
      <c r="E1408" t="s">
        <v>79</v>
      </c>
      <c r="F1408" s="11">
        <v>2151</v>
      </c>
      <c r="G1408">
        <f t="shared" ca="1" si="87"/>
        <v>1</v>
      </c>
      <c r="H1408" s="11">
        <f ca="1">IF(Table1[[#This Row],[Category]]="Electronics",Table1[[#This Row],[Sales]]*0.6,
IF(Table1[[#This Row],[Category]]="Furniture",Table1[[#This Row],[Sales]]*0.75,
IF(Table1[[#This Row],[Category]]="Clothing",Table1[[#This Row],[Sales]]*0.65,
Table1[[#This Row],[Sales]]*0.7)))</f>
        <v>1398.15</v>
      </c>
      <c r="I1408" s="11">
        <f ca="1">Table1[[#This Row],[Sales]]-H1408</f>
        <v>752.84999999999991</v>
      </c>
      <c r="J1408" s="2">
        <f ca="1">Table1[[#This Row],[Profit]]/Table1[[#This Row],[Sales]]</f>
        <v>0.35</v>
      </c>
      <c r="K1408" t="str">
        <f ca="1">TEXT(Table1[[#This Row],[Order_Date]],"mmm")</f>
        <v>Aug</v>
      </c>
      <c r="L1408">
        <f ca="1">YEAR(Table1[[#This Row],[Order_Date]])</f>
        <v>2023</v>
      </c>
    </row>
    <row r="1409" spans="1:12" x14ac:dyDescent="0.3">
      <c r="A1409">
        <f t="shared" si="84"/>
        <v>1408</v>
      </c>
      <c r="B1409" s="1">
        <f t="shared" ca="1" si="85"/>
        <v>45245</v>
      </c>
      <c r="C1409" t="s">
        <v>10</v>
      </c>
      <c r="D1409" t="str">
        <f t="shared" ca="1" si="86"/>
        <v>Electronics</v>
      </c>
      <c r="E1409" t="s">
        <v>75</v>
      </c>
      <c r="F1409" s="11">
        <v>17692</v>
      </c>
      <c r="G1409">
        <f t="shared" ca="1" si="87"/>
        <v>3</v>
      </c>
      <c r="H1409" s="11">
        <f ca="1">IF(Table1[[#This Row],[Category]]="Electronics",Table1[[#This Row],[Sales]]*0.6,
IF(Table1[[#This Row],[Category]]="Furniture",Table1[[#This Row],[Sales]]*0.75,
IF(Table1[[#This Row],[Category]]="Clothing",Table1[[#This Row],[Sales]]*0.65,
Table1[[#This Row],[Sales]]*0.7)))</f>
        <v>10615.199999999999</v>
      </c>
      <c r="I1409" s="11">
        <f ca="1">Table1[[#This Row],[Sales]]-H1409</f>
        <v>7076.8000000000011</v>
      </c>
      <c r="J1409" s="2">
        <f ca="1">Table1[[#This Row],[Profit]]/Table1[[#This Row],[Sales]]</f>
        <v>0.40000000000000008</v>
      </c>
      <c r="K1409" t="str">
        <f ca="1">TEXT(Table1[[#This Row],[Order_Date]],"mmm")</f>
        <v>Nov</v>
      </c>
      <c r="L1409">
        <f ca="1">YEAR(Table1[[#This Row],[Order_Date]])</f>
        <v>2023</v>
      </c>
    </row>
    <row r="1410" spans="1:12" x14ac:dyDescent="0.3">
      <c r="A1410">
        <f t="shared" si="84"/>
        <v>1409</v>
      </c>
      <c r="B1410" s="1">
        <f t="shared" ca="1" si="85"/>
        <v>45086</v>
      </c>
      <c r="C1410" t="s">
        <v>7</v>
      </c>
      <c r="D1410" t="str">
        <f t="shared" ca="1" si="86"/>
        <v>Clothing</v>
      </c>
      <c r="E1410" t="s">
        <v>84</v>
      </c>
      <c r="F1410" s="11">
        <v>18749</v>
      </c>
      <c r="G1410">
        <f t="shared" ca="1" si="87"/>
        <v>3</v>
      </c>
      <c r="H1410" s="11">
        <f ca="1">IF(Table1[[#This Row],[Category]]="Electronics",Table1[[#This Row],[Sales]]*0.6,
IF(Table1[[#This Row],[Category]]="Furniture",Table1[[#This Row],[Sales]]*0.75,
IF(Table1[[#This Row],[Category]]="Clothing",Table1[[#This Row],[Sales]]*0.65,
Table1[[#This Row],[Sales]]*0.7)))</f>
        <v>12186.85</v>
      </c>
      <c r="I1410" s="11">
        <f ca="1">Table1[[#This Row],[Sales]]-H1410</f>
        <v>6562.15</v>
      </c>
      <c r="J1410" s="2">
        <f ca="1">Table1[[#This Row],[Profit]]/Table1[[#This Row],[Sales]]</f>
        <v>0.35</v>
      </c>
      <c r="K1410" t="str">
        <f ca="1">TEXT(Table1[[#This Row],[Order_Date]],"mmm")</f>
        <v>Jun</v>
      </c>
      <c r="L1410">
        <f ca="1">YEAR(Table1[[#This Row],[Order_Date]])</f>
        <v>2023</v>
      </c>
    </row>
    <row r="1411" spans="1:12" x14ac:dyDescent="0.3">
      <c r="A1411">
        <f t="shared" ref="A1411:A1474" si="88">ROW()-1</f>
        <v>1410</v>
      </c>
      <c r="B1411" s="1">
        <f t="shared" ref="B1411:B1474" ca="1" si="89">DATE(2023, RANDBETWEEN(1,12), RANDBETWEEN(1,28))</f>
        <v>45194</v>
      </c>
      <c r="C1411" t="s">
        <v>8</v>
      </c>
      <c r="D1411" t="str">
        <f t="shared" ref="D1411:D1474" ca="1" si="90">CHOOSE(RANDBETWEEN(1,4),"Electronics","Furniture","Clothing","Office Supplies")</f>
        <v>Clothing</v>
      </c>
      <c r="E1411" t="s">
        <v>36</v>
      </c>
      <c r="F1411" s="11">
        <v>4391</v>
      </c>
      <c r="G1411">
        <f t="shared" ref="G1411:G1474" ca="1" si="91">RANDBETWEEN(1,10)</f>
        <v>1</v>
      </c>
      <c r="H1411" s="11">
        <f ca="1">IF(Table1[[#This Row],[Category]]="Electronics",Table1[[#This Row],[Sales]]*0.6,
IF(Table1[[#This Row],[Category]]="Furniture",Table1[[#This Row],[Sales]]*0.75,
IF(Table1[[#This Row],[Category]]="Clothing",Table1[[#This Row],[Sales]]*0.65,
Table1[[#This Row],[Sales]]*0.7)))</f>
        <v>2854.15</v>
      </c>
      <c r="I1411" s="11">
        <f ca="1">Table1[[#This Row],[Sales]]-H1411</f>
        <v>1536.85</v>
      </c>
      <c r="J1411" s="2">
        <f ca="1">Table1[[#This Row],[Profit]]/Table1[[#This Row],[Sales]]</f>
        <v>0.35</v>
      </c>
      <c r="K1411" t="str">
        <f ca="1">TEXT(Table1[[#This Row],[Order_Date]],"mmm")</f>
        <v>Sep</v>
      </c>
      <c r="L1411">
        <f ca="1">YEAR(Table1[[#This Row],[Order_Date]])</f>
        <v>2023</v>
      </c>
    </row>
    <row r="1412" spans="1:12" x14ac:dyDescent="0.3">
      <c r="A1412">
        <f t="shared" si="88"/>
        <v>1411</v>
      </c>
      <c r="B1412" s="1">
        <f t="shared" ca="1" si="89"/>
        <v>45153</v>
      </c>
      <c r="C1412" t="s">
        <v>9</v>
      </c>
      <c r="D1412" t="str">
        <f t="shared" ca="1" si="90"/>
        <v>Office Supplies</v>
      </c>
      <c r="E1412" t="s">
        <v>61</v>
      </c>
      <c r="F1412" s="11">
        <v>7228</v>
      </c>
      <c r="G1412">
        <f t="shared" ca="1" si="91"/>
        <v>1</v>
      </c>
      <c r="H1412" s="11">
        <f ca="1">IF(Table1[[#This Row],[Category]]="Electronics",Table1[[#This Row],[Sales]]*0.6,
IF(Table1[[#This Row],[Category]]="Furniture",Table1[[#This Row],[Sales]]*0.75,
IF(Table1[[#This Row],[Category]]="Clothing",Table1[[#This Row],[Sales]]*0.65,
Table1[[#This Row],[Sales]]*0.7)))</f>
        <v>5059.5999999999995</v>
      </c>
      <c r="I1412" s="11">
        <f ca="1">Table1[[#This Row],[Sales]]-H1412</f>
        <v>2168.4000000000005</v>
      </c>
      <c r="J1412" s="2">
        <f ca="1">Table1[[#This Row],[Profit]]/Table1[[#This Row],[Sales]]</f>
        <v>0.3000000000000001</v>
      </c>
      <c r="K1412" t="str">
        <f ca="1">TEXT(Table1[[#This Row],[Order_Date]],"mmm")</f>
        <v>Aug</v>
      </c>
      <c r="L1412">
        <f ca="1">YEAR(Table1[[#This Row],[Order_Date]])</f>
        <v>2023</v>
      </c>
    </row>
    <row r="1413" spans="1:12" x14ac:dyDescent="0.3">
      <c r="A1413">
        <f t="shared" si="88"/>
        <v>1412</v>
      </c>
      <c r="B1413" s="1">
        <f t="shared" ca="1" si="89"/>
        <v>45181</v>
      </c>
      <c r="C1413" t="s">
        <v>10</v>
      </c>
      <c r="D1413" t="str">
        <f t="shared" ca="1" si="90"/>
        <v>Furniture</v>
      </c>
      <c r="E1413" t="s">
        <v>71</v>
      </c>
      <c r="F1413" s="11">
        <v>8229</v>
      </c>
      <c r="G1413">
        <f t="shared" ca="1" si="91"/>
        <v>7</v>
      </c>
      <c r="H1413" s="11">
        <f ca="1">IF(Table1[[#This Row],[Category]]="Electronics",Table1[[#This Row],[Sales]]*0.6,
IF(Table1[[#This Row],[Category]]="Furniture",Table1[[#This Row],[Sales]]*0.75,
IF(Table1[[#This Row],[Category]]="Clothing",Table1[[#This Row],[Sales]]*0.65,
Table1[[#This Row],[Sales]]*0.7)))</f>
        <v>6171.75</v>
      </c>
      <c r="I1413" s="11">
        <f ca="1">Table1[[#This Row],[Sales]]-H1413</f>
        <v>2057.25</v>
      </c>
      <c r="J1413" s="2">
        <f ca="1">Table1[[#This Row],[Profit]]/Table1[[#This Row],[Sales]]</f>
        <v>0.25</v>
      </c>
      <c r="K1413" t="str">
        <f ca="1">TEXT(Table1[[#This Row],[Order_Date]],"mmm")</f>
        <v>Sep</v>
      </c>
      <c r="L1413">
        <f ca="1">YEAR(Table1[[#This Row],[Order_Date]])</f>
        <v>2023</v>
      </c>
    </row>
    <row r="1414" spans="1:12" x14ac:dyDescent="0.3">
      <c r="A1414">
        <f t="shared" si="88"/>
        <v>1413</v>
      </c>
      <c r="B1414" s="1">
        <f t="shared" ca="1" si="89"/>
        <v>45200</v>
      </c>
      <c r="C1414" t="s">
        <v>7</v>
      </c>
      <c r="D1414" t="str">
        <f t="shared" ca="1" si="90"/>
        <v>Furniture</v>
      </c>
      <c r="E1414" t="s">
        <v>59</v>
      </c>
      <c r="F1414" s="11">
        <v>9970</v>
      </c>
      <c r="G1414">
        <f t="shared" ca="1" si="91"/>
        <v>3</v>
      </c>
      <c r="H1414" s="11">
        <f ca="1">IF(Table1[[#This Row],[Category]]="Electronics",Table1[[#This Row],[Sales]]*0.6,
IF(Table1[[#This Row],[Category]]="Furniture",Table1[[#This Row],[Sales]]*0.75,
IF(Table1[[#This Row],[Category]]="Clothing",Table1[[#This Row],[Sales]]*0.65,
Table1[[#This Row],[Sales]]*0.7)))</f>
        <v>7477.5</v>
      </c>
      <c r="I1414" s="11">
        <f ca="1">Table1[[#This Row],[Sales]]-H1414</f>
        <v>2492.5</v>
      </c>
      <c r="J1414" s="2">
        <f ca="1">Table1[[#This Row],[Profit]]/Table1[[#This Row],[Sales]]</f>
        <v>0.25</v>
      </c>
      <c r="K1414" t="str">
        <f ca="1">TEXT(Table1[[#This Row],[Order_Date]],"mmm")</f>
        <v>Oct</v>
      </c>
      <c r="L1414">
        <f ca="1">YEAR(Table1[[#This Row],[Order_Date]])</f>
        <v>2023</v>
      </c>
    </row>
    <row r="1415" spans="1:12" x14ac:dyDescent="0.3">
      <c r="A1415">
        <f t="shared" si="88"/>
        <v>1414</v>
      </c>
      <c r="B1415" s="1">
        <f t="shared" ca="1" si="89"/>
        <v>45140</v>
      </c>
      <c r="C1415" t="s">
        <v>8</v>
      </c>
      <c r="D1415" t="str">
        <f t="shared" ca="1" si="90"/>
        <v>Furniture</v>
      </c>
      <c r="E1415" t="s">
        <v>73</v>
      </c>
      <c r="F1415" s="11">
        <v>3809</v>
      </c>
      <c r="G1415">
        <f t="shared" ca="1" si="91"/>
        <v>10</v>
      </c>
      <c r="H1415" s="11">
        <f ca="1">IF(Table1[[#This Row],[Category]]="Electronics",Table1[[#This Row],[Sales]]*0.6,
IF(Table1[[#This Row],[Category]]="Furniture",Table1[[#This Row],[Sales]]*0.75,
IF(Table1[[#This Row],[Category]]="Clothing",Table1[[#This Row],[Sales]]*0.65,
Table1[[#This Row],[Sales]]*0.7)))</f>
        <v>2856.75</v>
      </c>
      <c r="I1415" s="11">
        <f ca="1">Table1[[#This Row],[Sales]]-H1415</f>
        <v>952.25</v>
      </c>
      <c r="J1415" s="2">
        <f ca="1">Table1[[#This Row],[Profit]]/Table1[[#This Row],[Sales]]</f>
        <v>0.25</v>
      </c>
      <c r="K1415" t="str">
        <f ca="1">TEXT(Table1[[#This Row],[Order_Date]],"mmm")</f>
        <v>Aug</v>
      </c>
      <c r="L1415">
        <f ca="1">YEAR(Table1[[#This Row],[Order_Date]])</f>
        <v>2023</v>
      </c>
    </row>
    <row r="1416" spans="1:12" x14ac:dyDescent="0.3">
      <c r="A1416">
        <f t="shared" si="88"/>
        <v>1415</v>
      </c>
      <c r="B1416" s="1">
        <f t="shared" ca="1" si="89"/>
        <v>45240</v>
      </c>
      <c r="C1416" t="s">
        <v>9</v>
      </c>
      <c r="D1416" t="str">
        <f t="shared" ca="1" si="90"/>
        <v>Furniture</v>
      </c>
      <c r="E1416" t="s">
        <v>44</v>
      </c>
      <c r="F1416" s="11">
        <v>3635</v>
      </c>
      <c r="G1416">
        <f t="shared" ca="1" si="91"/>
        <v>4</v>
      </c>
      <c r="H1416" s="11">
        <f ca="1">IF(Table1[[#This Row],[Category]]="Electronics",Table1[[#This Row],[Sales]]*0.6,
IF(Table1[[#This Row],[Category]]="Furniture",Table1[[#This Row],[Sales]]*0.75,
IF(Table1[[#This Row],[Category]]="Clothing",Table1[[#This Row],[Sales]]*0.65,
Table1[[#This Row],[Sales]]*0.7)))</f>
        <v>2726.25</v>
      </c>
      <c r="I1416" s="11">
        <f ca="1">Table1[[#This Row],[Sales]]-H1416</f>
        <v>908.75</v>
      </c>
      <c r="J1416" s="2">
        <f ca="1">Table1[[#This Row],[Profit]]/Table1[[#This Row],[Sales]]</f>
        <v>0.25</v>
      </c>
      <c r="K1416" t="str">
        <f ca="1">TEXT(Table1[[#This Row],[Order_Date]],"mmm")</f>
        <v>Nov</v>
      </c>
      <c r="L1416">
        <f ca="1">YEAR(Table1[[#This Row],[Order_Date]])</f>
        <v>2023</v>
      </c>
    </row>
    <row r="1417" spans="1:12" x14ac:dyDescent="0.3">
      <c r="A1417">
        <f t="shared" si="88"/>
        <v>1416</v>
      </c>
      <c r="B1417" s="1">
        <f t="shared" ca="1" si="89"/>
        <v>45039</v>
      </c>
      <c r="C1417" t="s">
        <v>10</v>
      </c>
      <c r="D1417" t="str">
        <f t="shared" ca="1" si="90"/>
        <v>Electronics</v>
      </c>
      <c r="E1417" t="s">
        <v>64</v>
      </c>
      <c r="F1417" s="11">
        <v>13807</v>
      </c>
      <c r="G1417">
        <f t="shared" ca="1" si="91"/>
        <v>1</v>
      </c>
      <c r="H1417" s="11">
        <f ca="1">IF(Table1[[#This Row],[Category]]="Electronics",Table1[[#This Row],[Sales]]*0.6,
IF(Table1[[#This Row],[Category]]="Furniture",Table1[[#This Row],[Sales]]*0.75,
IF(Table1[[#This Row],[Category]]="Clothing",Table1[[#This Row],[Sales]]*0.65,
Table1[[#This Row],[Sales]]*0.7)))</f>
        <v>8284.1999999999989</v>
      </c>
      <c r="I1417" s="11">
        <f ca="1">Table1[[#This Row],[Sales]]-H1417</f>
        <v>5522.8000000000011</v>
      </c>
      <c r="J1417" s="2">
        <f ca="1">Table1[[#This Row],[Profit]]/Table1[[#This Row],[Sales]]</f>
        <v>0.40000000000000008</v>
      </c>
      <c r="K1417" t="str">
        <f ca="1">TEXT(Table1[[#This Row],[Order_Date]],"mmm")</f>
        <v>Apr</v>
      </c>
      <c r="L1417">
        <f ca="1">YEAR(Table1[[#This Row],[Order_Date]])</f>
        <v>2023</v>
      </c>
    </row>
    <row r="1418" spans="1:12" x14ac:dyDescent="0.3">
      <c r="A1418">
        <f t="shared" si="88"/>
        <v>1417</v>
      </c>
      <c r="B1418" s="1">
        <f t="shared" ca="1" si="89"/>
        <v>45094</v>
      </c>
      <c r="C1418" t="s">
        <v>7</v>
      </c>
      <c r="D1418" t="str">
        <f t="shared" ca="1" si="90"/>
        <v>Furniture</v>
      </c>
      <c r="E1418" t="s">
        <v>45</v>
      </c>
      <c r="F1418" s="11">
        <v>8428</v>
      </c>
      <c r="G1418">
        <f t="shared" ca="1" si="91"/>
        <v>3</v>
      </c>
      <c r="H1418" s="11">
        <f ca="1">IF(Table1[[#This Row],[Category]]="Electronics",Table1[[#This Row],[Sales]]*0.6,
IF(Table1[[#This Row],[Category]]="Furniture",Table1[[#This Row],[Sales]]*0.75,
IF(Table1[[#This Row],[Category]]="Clothing",Table1[[#This Row],[Sales]]*0.65,
Table1[[#This Row],[Sales]]*0.7)))</f>
        <v>6321</v>
      </c>
      <c r="I1418" s="11">
        <f ca="1">Table1[[#This Row],[Sales]]-H1418</f>
        <v>2107</v>
      </c>
      <c r="J1418" s="2">
        <f ca="1">Table1[[#This Row],[Profit]]/Table1[[#This Row],[Sales]]</f>
        <v>0.25</v>
      </c>
      <c r="K1418" t="str">
        <f ca="1">TEXT(Table1[[#This Row],[Order_Date]],"mmm")</f>
        <v>Jun</v>
      </c>
      <c r="L1418">
        <f ca="1">YEAR(Table1[[#This Row],[Order_Date]])</f>
        <v>2023</v>
      </c>
    </row>
    <row r="1419" spans="1:12" x14ac:dyDescent="0.3">
      <c r="A1419">
        <f t="shared" si="88"/>
        <v>1418</v>
      </c>
      <c r="B1419" s="1">
        <f t="shared" ca="1" si="89"/>
        <v>45049</v>
      </c>
      <c r="C1419" t="s">
        <v>8</v>
      </c>
      <c r="D1419" t="str">
        <f t="shared" ca="1" si="90"/>
        <v>Clothing</v>
      </c>
      <c r="E1419" t="s">
        <v>36</v>
      </c>
      <c r="F1419" s="11">
        <v>7421</v>
      </c>
      <c r="G1419">
        <f t="shared" ca="1" si="91"/>
        <v>5</v>
      </c>
      <c r="H1419" s="11">
        <f ca="1">IF(Table1[[#This Row],[Category]]="Electronics",Table1[[#This Row],[Sales]]*0.6,
IF(Table1[[#This Row],[Category]]="Furniture",Table1[[#This Row],[Sales]]*0.75,
IF(Table1[[#This Row],[Category]]="Clothing",Table1[[#This Row],[Sales]]*0.65,
Table1[[#This Row],[Sales]]*0.7)))</f>
        <v>4823.6500000000005</v>
      </c>
      <c r="I1419" s="11">
        <f ca="1">Table1[[#This Row],[Sales]]-H1419</f>
        <v>2597.3499999999995</v>
      </c>
      <c r="J1419" s="2">
        <f ca="1">Table1[[#This Row],[Profit]]/Table1[[#This Row],[Sales]]</f>
        <v>0.34999999999999992</v>
      </c>
      <c r="K1419" t="str">
        <f ca="1">TEXT(Table1[[#This Row],[Order_Date]],"mmm")</f>
        <v>May</v>
      </c>
      <c r="L1419">
        <f ca="1">YEAR(Table1[[#This Row],[Order_Date]])</f>
        <v>2023</v>
      </c>
    </row>
    <row r="1420" spans="1:12" x14ac:dyDescent="0.3">
      <c r="A1420">
        <f t="shared" si="88"/>
        <v>1419</v>
      </c>
      <c r="B1420" s="1">
        <f t="shared" ca="1" si="89"/>
        <v>45085</v>
      </c>
      <c r="C1420" t="s">
        <v>9</v>
      </c>
      <c r="D1420" t="str">
        <f t="shared" ca="1" si="90"/>
        <v>Clothing</v>
      </c>
      <c r="E1420" t="s">
        <v>51</v>
      </c>
      <c r="F1420" s="11">
        <v>10221</v>
      </c>
      <c r="G1420">
        <f t="shared" ca="1" si="91"/>
        <v>10</v>
      </c>
      <c r="H1420" s="11">
        <f ca="1">IF(Table1[[#This Row],[Category]]="Electronics",Table1[[#This Row],[Sales]]*0.6,
IF(Table1[[#This Row],[Category]]="Furniture",Table1[[#This Row],[Sales]]*0.75,
IF(Table1[[#This Row],[Category]]="Clothing",Table1[[#This Row],[Sales]]*0.65,
Table1[[#This Row],[Sales]]*0.7)))</f>
        <v>6643.6500000000005</v>
      </c>
      <c r="I1420" s="11">
        <f ca="1">Table1[[#This Row],[Sales]]-H1420</f>
        <v>3577.3499999999995</v>
      </c>
      <c r="J1420" s="2">
        <f ca="1">Table1[[#This Row],[Profit]]/Table1[[#This Row],[Sales]]</f>
        <v>0.34999999999999992</v>
      </c>
      <c r="K1420" t="str">
        <f ca="1">TEXT(Table1[[#This Row],[Order_Date]],"mmm")</f>
        <v>Jun</v>
      </c>
      <c r="L1420">
        <f ca="1">YEAR(Table1[[#This Row],[Order_Date]])</f>
        <v>2023</v>
      </c>
    </row>
    <row r="1421" spans="1:12" x14ac:dyDescent="0.3">
      <c r="A1421">
        <f t="shared" si="88"/>
        <v>1420</v>
      </c>
      <c r="B1421" s="1">
        <f t="shared" ca="1" si="89"/>
        <v>44953</v>
      </c>
      <c r="C1421" t="s">
        <v>10</v>
      </c>
      <c r="D1421" t="str">
        <f t="shared" ca="1" si="90"/>
        <v>Furniture</v>
      </c>
      <c r="E1421" t="s">
        <v>67</v>
      </c>
      <c r="F1421" s="11">
        <v>17875</v>
      </c>
      <c r="G1421">
        <f t="shared" ca="1" si="91"/>
        <v>6</v>
      </c>
      <c r="H1421" s="11">
        <f ca="1">IF(Table1[[#This Row],[Category]]="Electronics",Table1[[#This Row],[Sales]]*0.6,
IF(Table1[[#This Row],[Category]]="Furniture",Table1[[#This Row],[Sales]]*0.75,
IF(Table1[[#This Row],[Category]]="Clothing",Table1[[#This Row],[Sales]]*0.65,
Table1[[#This Row],[Sales]]*0.7)))</f>
        <v>13406.25</v>
      </c>
      <c r="I1421" s="11">
        <f ca="1">Table1[[#This Row],[Sales]]-H1421</f>
        <v>4468.75</v>
      </c>
      <c r="J1421" s="2">
        <f ca="1">Table1[[#This Row],[Profit]]/Table1[[#This Row],[Sales]]</f>
        <v>0.25</v>
      </c>
      <c r="K1421" t="str">
        <f ca="1">TEXT(Table1[[#This Row],[Order_Date]],"mmm")</f>
        <v>Jan</v>
      </c>
      <c r="L1421">
        <f ca="1">YEAR(Table1[[#This Row],[Order_Date]])</f>
        <v>2023</v>
      </c>
    </row>
    <row r="1422" spans="1:12" x14ac:dyDescent="0.3">
      <c r="A1422">
        <f t="shared" si="88"/>
        <v>1421</v>
      </c>
      <c r="B1422" s="1">
        <f t="shared" ca="1" si="89"/>
        <v>45007</v>
      </c>
      <c r="C1422" t="s">
        <v>7</v>
      </c>
      <c r="D1422" t="str">
        <f t="shared" ca="1" si="90"/>
        <v>Electronics</v>
      </c>
      <c r="E1422" t="s">
        <v>78</v>
      </c>
      <c r="F1422" s="11">
        <v>16519</v>
      </c>
      <c r="G1422">
        <f t="shared" ca="1" si="91"/>
        <v>7</v>
      </c>
      <c r="H1422" s="11">
        <f ca="1">IF(Table1[[#This Row],[Category]]="Electronics",Table1[[#This Row],[Sales]]*0.6,
IF(Table1[[#This Row],[Category]]="Furniture",Table1[[#This Row],[Sales]]*0.75,
IF(Table1[[#This Row],[Category]]="Clothing",Table1[[#This Row],[Sales]]*0.65,
Table1[[#This Row],[Sales]]*0.7)))</f>
        <v>9911.4</v>
      </c>
      <c r="I1422" s="11">
        <f ca="1">Table1[[#This Row],[Sales]]-H1422</f>
        <v>6607.6</v>
      </c>
      <c r="J1422" s="2">
        <f ca="1">Table1[[#This Row],[Profit]]/Table1[[#This Row],[Sales]]</f>
        <v>0.4</v>
      </c>
      <c r="K1422" t="str">
        <f ca="1">TEXT(Table1[[#This Row],[Order_Date]],"mmm")</f>
        <v>Mar</v>
      </c>
      <c r="L1422">
        <f ca="1">YEAR(Table1[[#This Row],[Order_Date]])</f>
        <v>2023</v>
      </c>
    </row>
    <row r="1423" spans="1:12" x14ac:dyDescent="0.3">
      <c r="A1423">
        <f t="shared" si="88"/>
        <v>1422</v>
      </c>
      <c r="B1423" s="1">
        <f t="shared" ca="1" si="89"/>
        <v>44940</v>
      </c>
      <c r="C1423" t="s">
        <v>8</v>
      </c>
      <c r="D1423" t="str">
        <f t="shared" ca="1" si="90"/>
        <v>Furniture</v>
      </c>
      <c r="E1423" t="s">
        <v>67</v>
      </c>
      <c r="F1423" s="11">
        <v>18063</v>
      </c>
      <c r="G1423">
        <f t="shared" ca="1" si="91"/>
        <v>8</v>
      </c>
      <c r="H1423" s="11">
        <f ca="1">IF(Table1[[#This Row],[Category]]="Electronics",Table1[[#This Row],[Sales]]*0.6,
IF(Table1[[#This Row],[Category]]="Furniture",Table1[[#This Row],[Sales]]*0.75,
IF(Table1[[#This Row],[Category]]="Clothing",Table1[[#This Row],[Sales]]*0.65,
Table1[[#This Row],[Sales]]*0.7)))</f>
        <v>13547.25</v>
      </c>
      <c r="I1423" s="11">
        <f ca="1">Table1[[#This Row],[Sales]]-H1423</f>
        <v>4515.75</v>
      </c>
      <c r="J1423" s="2">
        <f ca="1">Table1[[#This Row],[Profit]]/Table1[[#This Row],[Sales]]</f>
        <v>0.25</v>
      </c>
      <c r="K1423" t="str">
        <f ca="1">TEXT(Table1[[#This Row],[Order_Date]],"mmm")</f>
        <v>Jan</v>
      </c>
      <c r="L1423">
        <f ca="1">YEAR(Table1[[#This Row],[Order_Date]])</f>
        <v>2023</v>
      </c>
    </row>
    <row r="1424" spans="1:12" x14ac:dyDescent="0.3">
      <c r="A1424">
        <f t="shared" si="88"/>
        <v>1423</v>
      </c>
      <c r="B1424" s="1">
        <f t="shared" ca="1" si="89"/>
        <v>45134</v>
      </c>
      <c r="C1424" t="s">
        <v>9</v>
      </c>
      <c r="D1424" t="str">
        <f t="shared" ca="1" si="90"/>
        <v>Furniture</v>
      </c>
      <c r="E1424" t="s">
        <v>65</v>
      </c>
      <c r="F1424" s="11">
        <v>4259</v>
      </c>
      <c r="G1424">
        <f t="shared" ca="1" si="91"/>
        <v>4</v>
      </c>
      <c r="H1424" s="11">
        <f ca="1">IF(Table1[[#This Row],[Category]]="Electronics",Table1[[#This Row],[Sales]]*0.6,
IF(Table1[[#This Row],[Category]]="Furniture",Table1[[#This Row],[Sales]]*0.75,
IF(Table1[[#This Row],[Category]]="Clothing",Table1[[#This Row],[Sales]]*0.65,
Table1[[#This Row],[Sales]]*0.7)))</f>
        <v>3194.25</v>
      </c>
      <c r="I1424" s="11">
        <f ca="1">Table1[[#This Row],[Sales]]-H1424</f>
        <v>1064.75</v>
      </c>
      <c r="J1424" s="2">
        <f ca="1">Table1[[#This Row],[Profit]]/Table1[[#This Row],[Sales]]</f>
        <v>0.25</v>
      </c>
      <c r="K1424" t="str">
        <f ca="1">TEXT(Table1[[#This Row],[Order_Date]],"mmm")</f>
        <v>Jul</v>
      </c>
      <c r="L1424">
        <f ca="1">YEAR(Table1[[#This Row],[Order_Date]])</f>
        <v>2023</v>
      </c>
    </row>
    <row r="1425" spans="1:12" x14ac:dyDescent="0.3">
      <c r="A1425">
        <f t="shared" si="88"/>
        <v>1424</v>
      </c>
      <c r="B1425" s="1">
        <f t="shared" ca="1" si="89"/>
        <v>44927</v>
      </c>
      <c r="C1425" t="s">
        <v>10</v>
      </c>
      <c r="D1425" t="str">
        <f t="shared" ca="1" si="90"/>
        <v>Office Supplies</v>
      </c>
      <c r="E1425" t="s">
        <v>82</v>
      </c>
      <c r="F1425" s="11">
        <v>5499</v>
      </c>
      <c r="G1425">
        <f t="shared" ca="1" si="91"/>
        <v>4</v>
      </c>
      <c r="H1425" s="11">
        <f ca="1">IF(Table1[[#This Row],[Category]]="Electronics",Table1[[#This Row],[Sales]]*0.6,
IF(Table1[[#This Row],[Category]]="Furniture",Table1[[#This Row],[Sales]]*0.75,
IF(Table1[[#This Row],[Category]]="Clothing",Table1[[#This Row],[Sales]]*0.65,
Table1[[#This Row],[Sales]]*0.7)))</f>
        <v>3849.2999999999997</v>
      </c>
      <c r="I1425" s="11">
        <f ca="1">Table1[[#This Row],[Sales]]-H1425</f>
        <v>1649.7000000000003</v>
      </c>
      <c r="J1425" s="2">
        <f ca="1">Table1[[#This Row],[Profit]]/Table1[[#This Row],[Sales]]</f>
        <v>0.30000000000000004</v>
      </c>
      <c r="K1425" t="str">
        <f ca="1">TEXT(Table1[[#This Row],[Order_Date]],"mmm")</f>
        <v>Jan</v>
      </c>
      <c r="L1425">
        <f ca="1">YEAR(Table1[[#This Row],[Order_Date]])</f>
        <v>2023</v>
      </c>
    </row>
    <row r="1426" spans="1:12" x14ac:dyDescent="0.3">
      <c r="A1426">
        <f t="shared" si="88"/>
        <v>1425</v>
      </c>
      <c r="B1426" s="1">
        <f t="shared" ca="1" si="89"/>
        <v>45187</v>
      </c>
      <c r="C1426" t="s">
        <v>7</v>
      </c>
      <c r="D1426" t="str">
        <f t="shared" ca="1" si="90"/>
        <v>Furniture</v>
      </c>
      <c r="E1426" t="s">
        <v>61</v>
      </c>
      <c r="F1426" s="11">
        <v>4736</v>
      </c>
      <c r="G1426">
        <f t="shared" ca="1" si="91"/>
        <v>8</v>
      </c>
      <c r="H1426" s="11">
        <f ca="1">IF(Table1[[#This Row],[Category]]="Electronics",Table1[[#This Row],[Sales]]*0.6,
IF(Table1[[#This Row],[Category]]="Furniture",Table1[[#This Row],[Sales]]*0.75,
IF(Table1[[#This Row],[Category]]="Clothing",Table1[[#This Row],[Sales]]*0.65,
Table1[[#This Row],[Sales]]*0.7)))</f>
        <v>3552</v>
      </c>
      <c r="I1426" s="11">
        <f ca="1">Table1[[#This Row],[Sales]]-H1426</f>
        <v>1184</v>
      </c>
      <c r="J1426" s="2">
        <f ca="1">Table1[[#This Row],[Profit]]/Table1[[#This Row],[Sales]]</f>
        <v>0.25</v>
      </c>
      <c r="K1426" t="str">
        <f ca="1">TEXT(Table1[[#This Row],[Order_Date]],"mmm")</f>
        <v>Sep</v>
      </c>
      <c r="L1426">
        <f ca="1">YEAR(Table1[[#This Row],[Order_Date]])</f>
        <v>2023</v>
      </c>
    </row>
    <row r="1427" spans="1:12" x14ac:dyDescent="0.3">
      <c r="A1427">
        <f t="shared" si="88"/>
        <v>1426</v>
      </c>
      <c r="B1427" s="1">
        <f t="shared" ca="1" si="89"/>
        <v>45095</v>
      </c>
      <c r="C1427" t="s">
        <v>8</v>
      </c>
      <c r="D1427" t="str">
        <f t="shared" ca="1" si="90"/>
        <v>Electronics</v>
      </c>
      <c r="E1427" t="s">
        <v>45</v>
      </c>
      <c r="F1427" s="11">
        <v>12476</v>
      </c>
      <c r="G1427">
        <f t="shared" ca="1" si="91"/>
        <v>1</v>
      </c>
      <c r="H1427" s="11">
        <f ca="1">IF(Table1[[#This Row],[Category]]="Electronics",Table1[[#This Row],[Sales]]*0.6,
IF(Table1[[#This Row],[Category]]="Furniture",Table1[[#This Row],[Sales]]*0.75,
IF(Table1[[#This Row],[Category]]="Clothing",Table1[[#This Row],[Sales]]*0.65,
Table1[[#This Row],[Sales]]*0.7)))</f>
        <v>7485.5999999999995</v>
      </c>
      <c r="I1427" s="11">
        <f ca="1">Table1[[#This Row],[Sales]]-H1427</f>
        <v>4990.4000000000005</v>
      </c>
      <c r="J1427" s="2">
        <f ca="1">Table1[[#This Row],[Profit]]/Table1[[#This Row],[Sales]]</f>
        <v>0.4</v>
      </c>
      <c r="K1427" t="str">
        <f ca="1">TEXT(Table1[[#This Row],[Order_Date]],"mmm")</f>
        <v>Jun</v>
      </c>
      <c r="L1427">
        <f ca="1">YEAR(Table1[[#This Row],[Order_Date]])</f>
        <v>2023</v>
      </c>
    </row>
    <row r="1428" spans="1:12" x14ac:dyDescent="0.3">
      <c r="A1428">
        <f t="shared" si="88"/>
        <v>1427</v>
      </c>
      <c r="B1428" s="1">
        <f t="shared" ca="1" si="89"/>
        <v>44970</v>
      </c>
      <c r="C1428" t="s">
        <v>9</v>
      </c>
      <c r="D1428" t="str">
        <f t="shared" ca="1" si="90"/>
        <v>Electronics</v>
      </c>
      <c r="E1428" t="s">
        <v>55</v>
      </c>
      <c r="F1428" s="11">
        <v>4138</v>
      </c>
      <c r="G1428">
        <f t="shared" ca="1" si="91"/>
        <v>6</v>
      </c>
      <c r="H1428" s="11">
        <f ca="1">IF(Table1[[#This Row],[Category]]="Electronics",Table1[[#This Row],[Sales]]*0.6,
IF(Table1[[#This Row],[Category]]="Furniture",Table1[[#This Row],[Sales]]*0.75,
IF(Table1[[#This Row],[Category]]="Clothing",Table1[[#This Row],[Sales]]*0.65,
Table1[[#This Row],[Sales]]*0.7)))</f>
        <v>2482.7999999999997</v>
      </c>
      <c r="I1428" s="11">
        <f ca="1">Table1[[#This Row],[Sales]]-H1428</f>
        <v>1655.2000000000003</v>
      </c>
      <c r="J1428" s="2">
        <f ca="1">Table1[[#This Row],[Profit]]/Table1[[#This Row],[Sales]]</f>
        <v>0.40000000000000008</v>
      </c>
      <c r="K1428" t="str">
        <f ca="1">TEXT(Table1[[#This Row],[Order_Date]],"mmm")</f>
        <v>Feb</v>
      </c>
      <c r="L1428">
        <f ca="1">YEAR(Table1[[#This Row],[Order_Date]])</f>
        <v>2023</v>
      </c>
    </row>
    <row r="1429" spans="1:12" x14ac:dyDescent="0.3">
      <c r="A1429">
        <f t="shared" si="88"/>
        <v>1428</v>
      </c>
      <c r="B1429" s="1">
        <f t="shared" ca="1" si="89"/>
        <v>44965</v>
      </c>
      <c r="C1429" t="s">
        <v>10</v>
      </c>
      <c r="D1429" t="str">
        <f t="shared" ca="1" si="90"/>
        <v>Office Supplies</v>
      </c>
      <c r="E1429" t="s">
        <v>47</v>
      </c>
      <c r="F1429" s="11">
        <v>1768</v>
      </c>
      <c r="G1429">
        <f t="shared" ca="1" si="91"/>
        <v>2</v>
      </c>
      <c r="H1429" s="11">
        <f ca="1">IF(Table1[[#This Row],[Category]]="Electronics",Table1[[#This Row],[Sales]]*0.6,
IF(Table1[[#This Row],[Category]]="Furniture",Table1[[#This Row],[Sales]]*0.75,
IF(Table1[[#This Row],[Category]]="Clothing",Table1[[#This Row],[Sales]]*0.65,
Table1[[#This Row],[Sales]]*0.7)))</f>
        <v>1237.5999999999999</v>
      </c>
      <c r="I1429" s="11">
        <f ca="1">Table1[[#This Row],[Sales]]-H1429</f>
        <v>530.40000000000009</v>
      </c>
      <c r="J1429" s="2">
        <f ca="1">Table1[[#This Row],[Profit]]/Table1[[#This Row],[Sales]]</f>
        <v>0.30000000000000004</v>
      </c>
      <c r="K1429" t="str">
        <f ca="1">TEXT(Table1[[#This Row],[Order_Date]],"mmm")</f>
        <v>Feb</v>
      </c>
      <c r="L1429">
        <f ca="1">YEAR(Table1[[#This Row],[Order_Date]])</f>
        <v>2023</v>
      </c>
    </row>
    <row r="1430" spans="1:12" x14ac:dyDescent="0.3">
      <c r="A1430">
        <f t="shared" si="88"/>
        <v>1429</v>
      </c>
      <c r="B1430" s="1">
        <f t="shared" ca="1" si="89"/>
        <v>45023</v>
      </c>
      <c r="C1430" t="s">
        <v>7</v>
      </c>
      <c r="D1430" t="str">
        <f t="shared" ca="1" si="90"/>
        <v>Clothing</v>
      </c>
      <c r="E1430" t="s">
        <v>62</v>
      </c>
      <c r="F1430" s="11">
        <v>6704</v>
      </c>
      <c r="G1430">
        <f t="shared" ca="1" si="91"/>
        <v>1</v>
      </c>
      <c r="H1430" s="11">
        <f ca="1">IF(Table1[[#This Row],[Category]]="Electronics",Table1[[#This Row],[Sales]]*0.6,
IF(Table1[[#This Row],[Category]]="Furniture",Table1[[#This Row],[Sales]]*0.75,
IF(Table1[[#This Row],[Category]]="Clothing",Table1[[#This Row],[Sales]]*0.65,
Table1[[#This Row],[Sales]]*0.7)))</f>
        <v>4357.6000000000004</v>
      </c>
      <c r="I1430" s="11">
        <f ca="1">Table1[[#This Row],[Sales]]-H1430</f>
        <v>2346.3999999999996</v>
      </c>
      <c r="J1430" s="2">
        <f ca="1">Table1[[#This Row],[Profit]]/Table1[[#This Row],[Sales]]</f>
        <v>0.34999999999999992</v>
      </c>
      <c r="K1430" t="str">
        <f ca="1">TEXT(Table1[[#This Row],[Order_Date]],"mmm")</f>
        <v>Apr</v>
      </c>
      <c r="L1430">
        <f ca="1">YEAR(Table1[[#This Row],[Order_Date]])</f>
        <v>2023</v>
      </c>
    </row>
    <row r="1431" spans="1:12" x14ac:dyDescent="0.3">
      <c r="A1431">
        <f t="shared" si="88"/>
        <v>1430</v>
      </c>
      <c r="B1431" s="1">
        <f t="shared" ca="1" si="89"/>
        <v>45252</v>
      </c>
      <c r="C1431" t="s">
        <v>8</v>
      </c>
      <c r="D1431" t="str">
        <f t="shared" ca="1" si="90"/>
        <v>Clothing</v>
      </c>
      <c r="E1431" t="s">
        <v>77</v>
      </c>
      <c r="F1431" s="11">
        <v>3642</v>
      </c>
      <c r="G1431">
        <f t="shared" ca="1" si="91"/>
        <v>4</v>
      </c>
      <c r="H1431" s="11">
        <f ca="1">IF(Table1[[#This Row],[Category]]="Electronics",Table1[[#This Row],[Sales]]*0.6,
IF(Table1[[#This Row],[Category]]="Furniture",Table1[[#This Row],[Sales]]*0.75,
IF(Table1[[#This Row],[Category]]="Clothing",Table1[[#This Row],[Sales]]*0.65,
Table1[[#This Row],[Sales]]*0.7)))</f>
        <v>2367.3000000000002</v>
      </c>
      <c r="I1431" s="11">
        <f ca="1">Table1[[#This Row],[Sales]]-H1431</f>
        <v>1274.6999999999998</v>
      </c>
      <c r="J1431" s="2">
        <f ca="1">Table1[[#This Row],[Profit]]/Table1[[#This Row],[Sales]]</f>
        <v>0.35</v>
      </c>
      <c r="K1431" t="str">
        <f ca="1">TEXT(Table1[[#This Row],[Order_Date]],"mmm")</f>
        <v>Nov</v>
      </c>
      <c r="L1431">
        <f ca="1">YEAR(Table1[[#This Row],[Order_Date]])</f>
        <v>2023</v>
      </c>
    </row>
    <row r="1432" spans="1:12" x14ac:dyDescent="0.3">
      <c r="A1432">
        <f t="shared" si="88"/>
        <v>1431</v>
      </c>
      <c r="B1432" s="1">
        <f t="shared" ca="1" si="89"/>
        <v>45098</v>
      </c>
      <c r="C1432" t="s">
        <v>9</v>
      </c>
      <c r="D1432" t="str">
        <f t="shared" ca="1" si="90"/>
        <v>Office Supplies</v>
      </c>
      <c r="E1432" t="s">
        <v>41</v>
      </c>
      <c r="F1432" s="11">
        <v>2428</v>
      </c>
      <c r="G1432">
        <f t="shared" ca="1" si="91"/>
        <v>3</v>
      </c>
      <c r="H1432" s="11">
        <f ca="1">IF(Table1[[#This Row],[Category]]="Electronics",Table1[[#This Row],[Sales]]*0.6,
IF(Table1[[#This Row],[Category]]="Furniture",Table1[[#This Row],[Sales]]*0.75,
IF(Table1[[#This Row],[Category]]="Clothing",Table1[[#This Row],[Sales]]*0.65,
Table1[[#This Row],[Sales]]*0.7)))</f>
        <v>1699.6</v>
      </c>
      <c r="I1432" s="11">
        <f ca="1">Table1[[#This Row],[Sales]]-H1432</f>
        <v>728.40000000000009</v>
      </c>
      <c r="J1432" s="2">
        <f ca="1">Table1[[#This Row],[Profit]]/Table1[[#This Row],[Sales]]</f>
        <v>0.30000000000000004</v>
      </c>
      <c r="K1432" t="str">
        <f ca="1">TEXT(Table1[[#This Row],[Order_Date]],"mmm")</f>
        <v>Jun</v>
      </c>
      <c r="L1432">
        <f ca="1">YEAR(Table1[[#This Row],[Order_Date]])</f>
        <v>2023</v>
      </c>
    </row>
    <row r="1433" spans="1:12" x14ac:dyDescent="0.3">
      <c r="A1433">
        <f t="shared" si="88"/>
        <v>1432</v>
      </c>
      <c r="B1433" s="1">
        <f t="shared" ca="1" si="89"/>
        <v>45059</v>
      </c>
      <c r="C1433" t="s">
        <v>10</v>
      </c>
      <c r="D1433" t="str">
        <f t="shared" ca="1" si="90"/>
        <v>Clothing</v>
      </c>
      <c r="E1433" t="s">
        <v>84</v>
      </c>
      <c r="F1433" s="11">
        <v>3490</v>
      </c>
      <c r="G1433">
        <f t="shared" ca="1" si="91"/>
        <v>5</v>
      </c>
      <c r="H1433" s="11">
        <f ca="1">IF(Table1[[#This Row],[Category]]="Electronics",Table1[[#This Row],[Sales]]*0.6,
IF(Table1[[#This Row],[Category]]="Furniture",Table1[[#This Row],[Sales]]*0.75,
IF(Table1[[#This Row],[Category]]="Clothing",Table1[[#This Row],[Sales]]*0.65,
Table1[[#This Row],[Sales]]*0.7)))</f>
        <v>2268.5</v>
      </c>
      <c r="I1433" s="11">
        <f ca="1">Table1[[#This Row],[Sales]]-H1433</f>
        <v>1221.5</v>
      </c>
      <c r="J1433" s="2">
        <f ca="1">Table1[[#This Row],[Profit]]/Table1[[#This Row],[Sales]]</f>
        <v>0.35</v>
      </c>
      <c r="K1433" t="str">
        <f ca="1">TEXT(Table1[[#This Row],[Order_Date]],"mmm")</f>
        <v>May</v>
      </c>
      <c r="L1433">
        <f ca="1">YEAR(Table1[[#This Row],[Order_Date]])</f>
        <v>2023</v>
      </c>
    </row>
    <row r="1434" spans="1:12" x14ac:dyDescent="0.3">
      <c r="A1434">
        <f t="shared" si="88"/>
        <v>1433</v>
      </c>
      <c r="B1434" s="1">
        <f t="shared" ca="1" si="89"/>
        <v>45123</v>
      </c>
      <c r="C1434" t="s">
        <v>7</v>
      </c>
      <c r="D1434" t="str">
        <f t="shared" ca="1" si="90"/>
        <v>Electronics</v>
      </c>
      <c r="E1434" t="s">
        <v>54</v>
      </c>
      <c r="F1434" s="11">
        <v>7993</v>
      </c>
      <c r="G1434">
        <f t="shared" ca="1" si="91"/>
        <v>10</v>
      </c>
      <c r="H1434" s="11">
        <f ca="1">IF(Table1[[#This Row],[Category]]="Electronics",Table1[[#This Row],[Sales]]*0.6,
IF(Table1[[#This Row],[Category]]="Furniture",Table1[[#This Row],[Sales]]*0.75,
IF(Table1[[#This Row],[Category]]="Clothing",Table1[[#This Row],[Sales]]*0.65,
Table1[[#This Row],[Sales]]*0.7)))</f>
        <v>4795.8</v>
      </c>
      <c r="I1434" s="11">
        <f ca="1">Table1[[#This Row],[Sales]]-H1434</f>
        <v>3197.2</v>
      </c>
      <c r="J1434" s="2">
        <f ca="1">Table1[[#This Row],[Profit]]/Table1[[#This Row],[Sales]]</f>
        <v>0.39999999999999997</v>
      </c>
      <c r="K1434" t="str">
        <f ca="1">TEXT(Table1[[#This Row],[Order_Date]],"mmm")</f>
        <v>Jul</v>
      </c>
      <c r="L1434">
        <f ca="1">YEAR(Table1[[#This Row],[Order_Date]])</f>
        <v>2023</v>
      </c>
    </row>
    <row r="1435" spans="1:12" x14ac:dyDescent="0.3">
      <c r="A1435">
        <f t="shared" si="88"/>
        <v>1434</v>
      </c>
      <c r="B1435" s="1">
        <f t="shared" ca="1" si="89"/>
        <v>45193</v>
      </c>
      <c r="C1435" t="s">
        <v>8</v>
      </c>
      <c r="D1435" t="str">
        <f t="shared" ca="1" si="90"/>
        <v>Clothing</v>
      </c>
      <c r="E1435" t="s">
        <v>38</v>
      </c>
      <c r="F1435" s="11">
        <v>18494</v>
      </c>
      <c r="G1435">
        <f t="shared" ca="1" si="91"/>
        <v>3</v>
      </c>
      <c r="H1435" s="11">
        <f ca="1">IF(Table1[[#This Row],[Category]]="Electronics",Table1[[#This Row],[Sales]]*0.6,
IF(Table1[[#This Row],[Category]]="Furniture",Table1[[#This Row],[Sales]]*0.75,
IF(Table1[[#This Row],[Category]]="Clothing",Table1[[#This Row],[Sales]]*0.65,
Table1[[#This Row],[Sales]]*0.7)))</f>
        <v>12021.1</v>
      </c>
      <c r="I1435" s="11">
        <f ca="1">Table1[[#This Row],[Sales]]-H1435</f>
        <v>6472.9</v>
      </c>
      <c r="J1435" s="2">
        <f ca="1">Table1[[#This Row],[Profit]]/Table1[[#This Row],[Sales]]</f>
        <v>0.35</v>
      </c>
      <c r="K1435" t="str">
        <f ca="1">TEXT(Table1[[#This Row],[Order_Date]],"mmm")</f>
        <v>Sep</v>
      </c>
      <c r="L1435">
        <f ca="1">YEAR(Table1[[#This Row],[Order_Date]])</f>
        <v>2023</v>
      </c>
    </row>
    <row r="1436" spans="1:12" x14ac:dyDescent="0.3">
      <c r="A1436">
        <f t="shared" si="88"/>
        <v>1435</v>
      </c>
      <c r="B1436" s="1">
        <f t="shared" ca="1" si="89"/>
        <v>45001</v>
      </c>
      <c r="C1436" t="s">
        <v>9</v>
      </c>
      <c r="D1436" t="str">
        <f t="shared" ca="1" si="90"/>
        <v>Office Supplies</v>
      </c>
      <c r="E1436" t="s">
        <v>67</v>
      </c>
      <c r="F1436" s="11">
        <v>9269</v>
      </c>
      <c r="G1436">
        <f t="shared" ca="1" si="91"/>
        <v>10</v>
      </c>
      <c r="H1436" s="11">
        <f ca="1">IF(Table1[[#This Row],[Category]]="Electronics",Table1[[#This Row],[Sales]]*0.6,
IF(Table1[[#This Row],[Category]]="Furniture",Table1[[#This Row],[Sales]]*0.75,
IF(Table1[[#This Row],[Category]]="Clothing",Table1[[#This Row],[Sales]]*0.65,
Table1[[#This Row],[Sales]]*0.7)))</f>
        <v>6488.2999999999993</v>
      </c>
      <c r="I1436" s="11">
        <f ca="1">Table1[[#This Row],[Sales]]-H1436</f>
        <v>2780.7000000000007</v>
      </c>
      <c r="J1436" s="2">
        <f ca="1">Table1[[#This Row],[Profit]]/Table1[[#This Row],[Sales]]</f>
        <v>0.3000000000000001</v>
      </c>
      <c r="K1436" t="str">
        <f ca="1">TEXT(Table1[[#This Row],[Order_Date]],"mmm")</f>
        <v>Mar</v>
      </c>
      <c r="L1436">
        <f ca="1">YEAR(Table1[[#This Row],[Order_Date]])</f>
        <v>2023</v>
      </c>
    </row>
    <row r="1437" spans="1:12" x14ac:dyDescent="0.3">
      <c r="A1437">
        <f t="shared" si="88"/>
        <v>1436</v>
      </c>
      <c r="B1437" s="1">
        <f t="shared" ca="1" si="89"/>
        <v>45245</v>
      </c>
      <c r="C1437" t="s">
        <v>10</v>
      </c>
      <c r="D1437" t="str">
        <f t="shared" ca="1" si="90"/>
        <v>Office Supplies</v>
      </c>
      <c r="E1437" t="s">
        <v>85</v>
      </c>
      <c r="F1437" s="11">
        <v>2668</v>
      </c>
      <c r="G1437">
        <f t="shared" ca="1" si="91"/>
        <v>2</v>
      </c>
      <c r="H1437" s="11">
        <f ca="1">IF(Table1[[#This Row],[Category]]="Electronics",Table1[[#This Row],[Sales]]*0.6,
IF(Table1[[#This Row],[Category]]="Furniture",Table1[[#This Row],[Sales]]*0.75,
IF(Table1[[#This Row],[Category]]="Clothing",Table1[[#This Row],[Sales]]*0.65,
Table1[[#This Row],[Sales]]*0.7)))</f>
        <v>1867.6</v>
      </c>
      <c r="I1437" s="11">
        <f ca="1">Table1[[#This Row],[Sales]]-H1437</f>
        <v>800.40000000000009</v>
      </c>
      <c r="J1437" s="2">
        <f ca="1">Table1[[#This Row],[Profit]]/Table1[[#This Row],[Sales]]</f>
        <v>0.30000000000000004</v>
      </c>
      <c r="K1437" t="str">
        <f ca="1">TEXT(Table1[[#This Row],[Order_Date]],"mmm")</f>
        <v>Nov</v>
      </c>
      <c r="L1437">
        <f ca="1">YEAR(Table1[[#This Row],[Order_Date]])</f>
        <v>2023</v>
      </c>
    </row>
    <row r="1438" spans="1:12" x14ac:dyDescent="0.3">
      <c r="A1438">
        <f t="shared" si="88"/>
        <v>1437</v>
      </c>
      <c r="B1438" s="1">
        <f t="shared" ca="1" si="89"/>
        <v>45056</v>
      </c>
      <c r="C1438" t="s">
        <v>7</v>
      </c>
      <c r="D1438" t="str">
        <f t="shared" ca="1" si="90"/>
        <v>Office Supplies</v>
      </c>
      <c r="E1438" t="s">
        <v>67</v>
      </c>
      <c r="F1438" s="11">
        <v>1442</v>
      </c>
      <c r="G1438">
        <f t="shared" ca="1" si="91"/>
        <v>10</v>
      </c>
      <c r="H1438" s="11">
        <f ca="1">IF(Table1[[#This Row],[Category]]="Electronics",Table1[[#This Row],[Sales]]*0.6,
IF(Table1[[#This Row],[Category]]="Furniture",Table1[[#This Row],[Sales]]*0.75,
IF(Table1[[#This Row],[Category]]="Clothing",Table1[[#This Row],[Sales]]*0.65,
Table1[[#This Row],[Sales]]*0.7)))</f>
        <v>1009.4</v>
      </c>
      <c r="I1438" s="11">
        <f ca="1">Table1[[#This Row],[Sales]]-H1438</f>
        <v>432.6</v>
      </c>
      <c r="J1438" s="2">
        <f ca="1">Table1[[#This Row],[Profit]]/Table1[[#This Row],[Sales]]</f>
        <v>0.3</v>
      </c>
      <c r="K1438" t="str">
        <f ca="1">TEXT(Table1[[#This Row],[Order_Date]],"mmm")</f>
        <v>May</v>
      </c>
      <c r="L1438">
        <f ca="1">YEAR(Table1[[#This Row],[Order_Date]])</f>
        <v>2023</v>
      </c>
    </row>
    <row r="1439" spans="1:12" x14ac:dyDescent="0.3">
      <c r="A1439">
        <f t="shared" si="88"/>
        <v>1438</v>
      </c>
      <c r="B1439" s="1">
        <f t="shared" ca="1" si="89"/>
        <v>45135</v>
      </c>
      <c r="C1439" t="s">
        <v>8</v>
      </c>
      <c r="D1439" t="str">
        <f t="shared" ca="1" si="90"/>
        <v>Clothing</v>
      </c>
      <c r="E1439" t="s">
        <v>69</v>
      </c>
      <c r="F1439" s="11">
        <v>10003</v>
      </c>
      <c r="G1439">
        <f t="shared" ca="1" si="91"/>
        <v>4</v>
      </c>
      <c r="H1439" s="11">
        <f ca="1">IF(Table1[[#This Row],[Category]]="Electronics",Table1[[#This Row],[Sales]]*0.6,
IF(Table1[[#This Row],[Category]]="Furniture",Table1[[#This Row],[Sales]]*0.75,
IF(Table1[[#This Row],[Category]]="Clothing",Table1[[#This Row],[Sales]]*0.65,
Table1[[#This Row],[Sales]]*0.7)))</f>
        <v>6501.95</v>
      </c>
      <c r="I1439" s="11">
        <f ca="1">Table1[[#This Row],[Sales]]-H1439</f>
        <v>3501.05</v>
      </c>
      <c r="J1439" s="2">
        <f ca="1">Table1[[#This Row],[Profit]]/Table1[[#This Row],[Sales]]</f>
        <v>0.35000000000000003</v>
      </c>
      <c r="K1439" t="str">
        <f ca="1">TEXT(Table1[[#This Row],[Order_Date]],"mmm")</f>
        <v>Jul</v>
      </c>
      <c r="L1439">
        <f ca="1">YEAR(Table1[[#This Row],[Order_Date]])</f>
        <v>2023</v>
      </c>
    </row>
    <row r="1440" spans="1:12" x14ac:dyDescent="0.3">
      <c r="A1440">
        <f t="shared" si="88"/>
        <v>1439</v>
      </c>
      <c r="B1440" s="1">
        <f t="shared" ca="1" si="89"/>
        <v>45192</v>
      </c>
      <c r="C1440" t="s">
        <v>9</v>
      </c>
      <c r="D1440" t="str">
        <f t="shared" ca="1" si="90"/>
        <v>Electronics</v>
      </c>
      <c r="E1440" t="s">
        <v>83</v>
      </c>
      <c r="F1440" s="11">
        <v>5573</v>
      </c>
      <c r="G1440">
        <f t="shared" ca="1" si="91"/>
        <v>2</v>
      </c>
      <c r="H1440" s="11">
        <f ca="1">IF(Table1[[#This Row],[Category]]="Electronics",Table1[[#This Row],[Sales]]*0.6,
IF(Table1[[#This Row],[Category]]="Furniture",Table1[[#This Row],[Sales]]*0.75,
IF(Table1[[#This Row],[Category]]="Clothing",Table1[[#This Row],[Sales]]*0.65,
Table1[[#This Row],[Sales]]*0.7)))</f>
        <v>3343.7999999999997</v>
      </c>
      <c r="I1440" s="11">
        <f ca="1">Table1[[#This Row],[Sales]]-H1440</f>
        <v>2229.2000000000003</v>
      </c>
      <c r="J1440" s="2">
        <f ca="1">Table1[[#This Row],[Profit]]/Table1[[#This Row],[Sales]]</f>
        <v>0.4</v>
      </c>
      <c r="K1440" t="str">
        <f ca="1">TEXT(Table1[[#This Row],[Order_Date]],"mmm")</f>
        <v>Sep</v>
      </c>
      <c r="L1440">
        <f ca="1">YEAR(Table1[[#This Row],[Order_Date]])</f>
        <v>2023</v>
      </c>
    </row>
    <row r="1441" spans="1:12" x14ac:dyDescent="0.3">
      <c r="A1441">
        <f t="shared" si="88"/>
        <v>1440</v>
      </c>
      <c r="B1441" s="1">
        <f t="shared" ca="1" si="89"/>
        <v>45063</v>
      </c>
      <c r="C1441" t="s">
        <v>10</v>
      </c>
      <c r="D1441" t="str">
        <f t="shared" ca="1" si="90"/>
        <v>Furniture</v>
      </c>
      <c r="E1441" t="s">
        <v>54</v>
      </c>
      <c r="F1441" s="11">
        <v>17647</v>
      </c>
      <c r="G1441">
        <f t="shared" ca="1" si="91"/>
        <v>5</v>
      </c>
      <c r="H1441" s="11">
        <f ca="1">IF(Table1[[#This Row],[Category]]="Electronics",Table1[[#This Row],[Sales]]*0.6,
IF(Table1[[#This Row],[Category]]="Furniture",Table1[[#This Row],[Sales]]*0.75,
IF(Table1[[#This Row],[Category]]="Clothing",Table1[[#This Row],[Sales]]*0.65,
Table1[[#This Row],[Sales]]*0.7)))</f>
        <v>13235.25</v>
      </c>
      <c r="I1441" s="11">
        <f ca="1">Table1[[#This Row],[Sales]]-H1441</f>
        <v>4411.75</v>
      </c>
      <c r="J1441" s="2">
        <f ca="1">Table1[[#This Row],[Profit]]/Table1[[#This Row],[Sales]]</f>
        <v>0.25</v>
      </c>
      <c r="K1441" t="str">
        <f ca="1">TEXT(Table1[[#This Row],[Order_Date]],"mmm")</f>
        <v>May</v>
      </c>
      <c r="L1441">
        <f ca="1">YEAR(Table1[[#This Row],[Order_Date]])</f>
        <v>2023</v>
      </c>
    </row>
    <row r="1442" spans="1:12" x14ac:dyDescent="0.3">
      <c r="A1442">
        <f t="shared" si="88"/>
        <v>1441</v>
      </c>
      <c r="B1442" s="1">
        <f t="shared" ca="1" si="89"/>
        <v>45273</v>
      </c>
      <c r="C1442" t="s">
        <v>7</v>
      </c>
      <c r="D1442" t="str">
        <f t="shared" ca="1" si="90"/>
        <v>Electronics</v>
      </c>
      <c r="E1442" t="s">
        <v>72</v>
      </c>
      <c r="F1442" s="11">
        <v>10069</v>
      </c>
      <c r="G1442">
        <f t="shared" ca="1" si="91"/>
        <v>2</v>
      </c>
      <c r="H1442" s="11">
        <f ca="1">IF(Table1[[#This Row],[Category]]="Electronics",Table1[[#This Row],[Sales]]*0.6,
IF(Table1[[#This Row],[Category]]="Furniture",Table1[[#This Row],[Sales]]*0.75,
IF(Table1[[#This Row],[Category]]="Clothing",Table1[[#This Row],[Sales]]*0.65,
Table1[[#This Row],[Sales]]*0.7)))</f>
        <v>6041.4</v>
      </c>
      <c r="I1442" s="11">
        <f ca="1">Table1[[#This Row],[Sales]]-H1442</f>
        <v>4027.6000000000004</v>
      </c>
      <c r="J1442" s="2">
        <f ca="1">Table1[[#This Row],[Profit]]/Table1[[#This Row],[Sales]]</f>
        <v>0.4</v>
      </c>
      <c r="K1442" t="str">
        <f ca="1">TEXT(Table1[[#This Row],[Order_Date]],"mmm")</f>
        <v>Dec</v>
      </c>
      <c r="L1442">
        <f ca="1">YEAR(Table1[[#This Row],[Order_Date]])</f>
        <v>2023</v>
      </c>
    </row>
    <row r="1443" spans="1:12" x14ac:dyDescent="0.3">
      <c r="A1443">
        <f t="shared" si="88"/>
        <v>1442</v>
      </c>
      <c r="B1443" s="1">
        <f t="shared" ca="1" si="89"/>
        <v>44952</v>
      </c>
      <c r="C1443" t="s">
        <v>8</v>
      </c>
      <c r="D1443" t="str">
        <f t="shared" ca="1" si="90"/>
        <v>Office Supplies</v>
      </c>
      <c r="E1443" t="s">
        <v>71</v>
      </c>
      <c r="F1443" s="11">
        <v>17691</v>
      </c>
      <c r="G1443">
        <f t="shared" ca="1" si="91"/>
        <v>2</v>
      </c>
      <c r="H1443" s="11">
        <f ca="1">IF(Table1[[#This Row],[Category]]="Electronics",Table1[[#This Row],[Sales]]*0.6,
IF(Table1[[#This Row],[Category]]="Furniture",Table1[[#This Row],[Sales]]*0.75,
IF(Table1[[#This Row],[Category]]="Clothing",Table1[[#This Row],[Sales]]*0.65,
Table1[[#This Row],[Sales]]*0.7)))</f>
        <v>12383.699999999999</v>
      </c>
      <c r="I1443" s="11">
        <f ca="1">Table1[[#This Row],[Sales]]-H1443</f>
        <v>5307.3000000000011</v>
      </c>
      <c r="J1443" s="2">
        <f ca="1">Table1[[#This Row],[Profit]]/Table1[[#This Row],[Sales]]</f>
        <v>0.30000000000000004</v>
      </c>
      <c r="K1443" t="str">
        <f ca="1">TEXT(Table1[[#This Row],[Order_Date]],"mmm")</f>
        <v>Jan</v>
      </c>
      <c r="L1443">
        <f ca="1">YEAR(Table1[[#This Row],[Order_Date]])</f>
        <v>2023</v>
      </c>
    </row>
    <row r="1444" spans="1:12" x14ac:dyDescent="0.3">
      <c r="A1444">
        <f t="shared" si="88"/>
        <v>1443</v>
      </c>
      <c r="B1444" s="1">
        <f t="shared" ca="1" si="89"/>
        <v>45179</v>
      </c>
      <c r="C1444" t="s">
        <v>9</v>
      </c>
      <c r="D1444" t="str">
        <f t="shared" ca="1" si="90"/>
        <v>Clothing</v>
      </c>
      <c r="E1444" t="s">
        <v>84</v>
      </c>
      <c r="F1444" s="11">
        <v>4651</v>
      </c>
      <c r="G1444">
        <f t="shared" ca="1" si="91"/>
        <v>3</v>
      </c>
      <c r="H1444" s="11">
        <f ca="1">IF(Table1[[#This Row],[Category]]="Electronics",Table1[[#This Row],[Sales]]*0.6,
IF(Table1[[#This Row],[Category]]="Furniture",Table1[[#This Row],[Sales]]*0.75,
IF(Table1[[#This Row],[Category]]="Clothing",Table1[[#This Row],[Sales]]*0.65,
Table1[[#This Row],[Sales]]*0.7)))</f>
        <v>3023.15</v>
      </c>
      <c r="I1444" s="11">
        <f ca="1">Table1[[#This Row],[Sales]]-H1444</f>
        <v>1627.85</v>
      </c>
      <c r="J1444" s="2">
        <f ca="1">Table1[[#This Row],[Profit]]/Table1[[#This Row],[Sales]]</f>
        <v>0.35</v>
      </c>
      <c r="K1444" t="str">
        <f ca="1">TEXT(Table1[[#This Row],[Order_Date]],"mmm")</f>
        <v>Sep</v>
      </c>
      <c r="L1444">
        <f ca="1">YEAR(Table1[[#This Row],[Order_Date]])</f>
        <v>2023</v>
      </c>
    </row>
    <row r="1445" spans="1:12" x14ac:dyDescent="0.3">
      <c r="A1445">
        <f t="shared" si="88"/>
        <v>1444</v>
      </c>
      <c r="B1445" s="1">
        <f t="shared" ca="1" si="89"/>
        <v>45194</v>
      </c>
      <c r="C1445" t="s">
        <v>10</v>
      </c>
      <c r="D1445" t="str">
        <f t="shared" ca="1" si="90"/>
        <v>Electronics</v>
      </c>
      <c r="E1445" t="s">
        <v>68</v>
      </c>
      <c r="F1445" s="11">
        <v>13467</v>
      </c>
      <c r="G1445">
        <f t="shared" ca="1" si="91"/>
        <v>8</v>
      </c>
      <c r="H1445" s="11">
        <f ca="1">IF(Table1[[#This Row],[Category]]="Electronics",Table1[[#This Row],[Sales]]*0.6,
IF(Table1[[#This Row],[Category]]="Furniture",Table1[[#This Row],[Sales]]*0.75,
IF(Table1[[#This Row],[Category]]="Clothing",Table1[[#This Row],[Sales]]*0.65,
Table1[[#This Row],[Sales]]*0.7)))</f>
        <v>8080.2</v>
      </c>
      <c r="I1445" s="11">
        <f ca="1">Table1[[#This Row],[Sales]]-H1445</f>
        <v>5386.8</v>
      </c>
      <c r="J1445" s="2">
        <f ca="1">Table1[[#This Row],[Profit]]/Table1[[#This Row],[Sales]]</f>
        <v>0.4</v>
      </c>
      <c r="K1445" t="str">
        <f ca="1">TEXT(Table1[[#This Row],[Order_Date]],"mmm")</f>
        <v>Sep</v>
      </c>
      <c r="L1445">
        <f ca="1">YEAR(Table1[[#This Row],[Order_Date]])</f>
        <v>2023</v>
      </c>
    </row>
    <row r="1446" spans="1:12" x14ac:dyDescent="0.3">
      <c r="A1446">
        <f t="shared" si="88"/>
        <v>1445</v>
      </c>
      <c r="B1446" s="1">
        <f t="shared" ca="1" si="89"/>
        <v>45008</v>
      </c>
      <c r="C1446" t="s">
        <v>7</v>
      </c>
      <c r="D1446" t="str">
        <f t="shared" ca="1" si="90"/>
        <v>Clothing</v>
      </c>
      <c r="E1446" t="s">
        <v>51</v>
      </c>
      <c r="F1446" s="11">
        <v>4341</v>
      </c>
      <c r="G1446">
        <f t="shared" ca="1" si="91"/>
        <v>5</v>
      </c>
      <c r="H1446" s="11">
        <f ca="1">IF(Table1[[#This Row],[Category]]="Electronics",Table1[[#This Row],[Sales]]*0.6,
IF(Table1[[#This Row],[Category]]="Furniture",Table1[[#This Row],[Sales]]*0.75,
IF(Table1[[#This Row],[Category]]="Clothing",Table1[[#This Row],[Sales]]*0.65,
Table1[[#This Row],[Sales]]*0.7)))</f>
        <v>2821.65</v>
      </c>
      <c r="I1446" s="11">
        <f ca="1">Table1[[#This Row],[Sales]]-H1446</f>
        <v>1519.35</v>
      </c>
      <c r="J1446" s="2">
        <f ca="1">Table1[[#This Row],[Profit]]/Table1[[#This Row],[Sales]]</f>
        <v>0.35</v>
      </c>
      <c r="K1446" t="str">
        <f ca="1">TEXT(Table1[[#This Row],[Order_Date]],"mmm")</f>
        <v>Mar</v>
      </c>
      <c r="L1446">
        <f ca="1">YEAR(Table1[[#This Row],[Order_Date]])</f>
        <v>2023</v>
      </c>
    </row>
    <row r="1447" spans="1:12" x14ac:dyDescent="0.3">
      <c r="A1447">
        <f t="shared" si="88"/>
        <v>1446</v>
      </c>
      <c r="B1447" s="1">
        <f t="shared" ca="1" si="89"/>
        <v>45096</v>
      </c>
      <c r="C1447" t="s">
        <v>8</v>
      </c>
      <c r="D1447" t="str">
        <f t="shared" ca="1" si="90"/>
        <v>Clothing</v>
      </c>
      <c r="E1447" t="s">
        <v>53</v>
      </c>
      <c r="F1447" s="11">
        <v>6542</v>
      </c>
      <c r="G1447">
        <f t="shared" ca="1" si="91"/>
        <v>9</v>
      </c>
      <c r="H1447" s="11">
        <f ca="1">IF(Table1[[#This Row],[Category]]="Electronics",Table1[[#This Row],[Sales]]*0.6,
IF(Table1[[#This Row],[Category]]="Furniture",Table1[[#This Row],[Sales]]*0.75,
IF(Table1[[#This Row],[Category]]="Clothing",Table1[[#This Row],[Sales]]*0.65,
Table1[[#This Row],[Sales]]*0.7)))</f>
        <v>4252.3</v>
      </c>
      <c r="I1447" s="11">
        <f ca="1">Table1[[#This Row],[Sales]]-H1447</f>
        <v>2289.6999999999998</v>
      </c>
      <c r="J1447" s="2">
        <f ca="1">Table1[[#This Row],[Profit]]/Table1[[#This Row],[Sales]]</f>
        <v>0.35</v>
      </c>
      <c r="K1447" t="str">
        <f ca="1">TEXT(Table1[[#This Row],[Order_Date]],"mmm")</f>
        <v>Jun</v>
      </c>
      <c r="L1447">
        <f ca="1">YEAR(Table1[[#This Row],[Order_Date]])</f>
        <v>2023</v>
      </c>
    </row>
    <row r="1448" spans="1:12" x14ac:dyDescent="0.3">
      <c r="A1448">
        <f t="shared" si="88"/>
        <v>1447</v>
      </c>
      <c r="B1448" s="1">
        <f t="shared" ca="1" si="89"/>
        <v>45268</v>
      </c>
      <c r="C1448" t="s">
        <v>9</v>
      </c>
      <c r="D1448" t="str">
        <f t="shared" ca="1" si="90"/>
        <v>Electronics</v>
      </c>
      <c r="E1448" t="s">
        <v>57</v>
      </c>
      <c r="F1448" s="11">
        <v>2555</v>
      </c>
      <c r="G1448">
        <f t="shared" ca="1" si="91"/>
        <v>6</v>
      </c>
      <c r="H1448" s="11">
        <f ca="1">IF(Table1[[#This Row],[Category]]="Electronics",Table1[[#This Row],[Sales]]*0.6,
IF(Table1[[#This Row],[Category]]="Furniture",Table1[[#This Row],[Sales]]*0.75,
IF(Table1[[#This Row],[Category]]="Clothing",Table1[[#This Row],[Sales]]*0.65,
Table1[[#This Row],[Sales]]*0.7)))</f>
        <v>1533</v>
      </c>
      <c r="I1448" s="11">
        <f ca="1">Table1[[#This Row],[Sales]]-H1448</f>
        <v>1022</v>
      </c>
      <c r="J1448" s="2">
        <f ca="1">Table1[[#This Row],[Profit]]/Table1[[#This Row],[Sales]]</f>
        <v>0.4</v>
      </c>
      <c r="K1448" t="str">
        <f ca="1">TEXT(Table1[[#This Row],[Order_Date]],"mmm")</f>
        <v>Dec</v>
      </c>
      <c r="L1448">
        <f ca="1">YEAR(Table1[[#This Row],[Order_Date]])</f>
        <v>2023</v>
      </c>
    </row>
    <row r="1449" spans="1:12" x14ac:dyDescent="0.3">
      <c r="A1449">
        <f t="shared" si="88"/>
        <v>1448</v>
      </c>
      <c r="B1449" s="1">
        <f t="shared" ca="1" si="89"/>
        <v>45113</v>
      </c>
      <c r="C1449" t="s">
        <v>10</v>
      </c>
      <c r="D1449" t="str">
        <f t="shared" ca="1" si="90"/>
        <v>Office Supplies</v>
      </c>
      <c r="E1449" t="s">
        <v>80</v>
      </c>
      <c r="F1449" s="11">
        <v>7976</v>
      </c>
      <c r="G1449">
        <f t="shared" ca="1" si="91"/>
        <v>2</v>
      </c>
      <c r="H1449" s="11">
        <f ca="1">IF(Table1[[#This Row],[Category]]="Electronics",Table1[[#This Row],[Sales]]*0.6,
IF(Table1[[#This Row],[Category]]="Furniture",Table1[[#This Row],[Sales]]*0.75,
IF(Table1[[#This Row],[Category]]="Clothing",Table1[[#This Row],[Sales]]*0.65,
Table1[[#This Row],[Sales]]*0.7)))</f>
        <v>5583.2</v>
      </c>
      <c r="I1449" s="11">
        <f ca="1">Table1[[#This Row],[Sales]]-H1449</f>
        <v>2392.8000000000002</v>
      </c>
      <c r="J1449" s="2">
        <f ca="1">Table1[[#This Row],[Profit]]/Table1[[#This Row],[Sales]]</f>
        <v>0.30000000000000004</v>
      </c>
      <c r="K1449" t="str">
        <f ca="1">TEXT(Table1[[#This Row],[Order_Date]],"mmm")</f>
        <v>Jul</v>
      </c>
      <c r="L1449">
        <f ca="1">YEAR(Table1[[#This Row],[Order_Date]])</f>
        <v>2023</v>
      </c>
    </row>
    <row r="1450" spans="1:12" x14ac:dyDescent="0.3">
      <c r="A1450">
        <f t="shared" si="88"/>
        <v>1449</v>
      </c>
      <c r="B1450" s="1">
        <f t="shared" ca="1" si="89"/>
        <v>45010</v>
      </c>
      <c r="C1450" t="s">
        <v>7</v>
      </c>
      <c r="D1450" t="str">
        <f t="shared" ca="1" si="90"/>
        <v>Clothing</v>
      </c>
      <c r="E1450" t="s">
        <v>40</v>
      </c>
      <c r="F1450" s="11">
        <v>1511</v>
      </c>
      <c r="G1450">
        <f t="shared" ca="1" si="91"/>
        <v>10</v>
      </c>
      <c r="H1450" s="11">
        <f ca="1">IF(Table1[[#This Row],[Category]]="Electronics",Table1[[#This Row],[Sales]]*0.6,
IF(Table1[[#This Row],[Category]]="Furniture",Table1[[#This Row],[Sales]]*0.75,
IF(Table1[[#This Row],[Category]]="Clothing",Table1[[#This Row],[Sales]]*0.65,
Table1[[#This Row],[Sales]]*0.7)))</f>
        <v>982.15</v>
      </c>
      <c r="I1450" s="11">
        <f ca="1">Table1[[#This Row],[Sales]]-H1450</f>
        <v>528.85</v>
      </c>
      <c r="J1450" s="2">
        <f ca="1">Table1[[#This Row],[Profit]]/Table1[[#This Row],[Sales]]</f>
        <v>0.35000000000000003</v>
      </c>
      <c r="K1450" t="str">
        <f ca="1">TEXT(Table1[[#This Row],[Order_Date]],"mmm")</f>
        <v>Mar</v>
      </c>
      <c r="L1450">
        <f ca="1">YEAR(Table1[[#This Row],[Order_Date]])</f>
        <v>2023</v>
      </c>
    </row>
    <row r="1451" spans="1:12" x14ac:dyDescent="0.3">
      <c r="A1451">
        <f t="shared" si="88"/>
        <v>1450</v>
      </c>
      <c r="B1451" s="1">
        <f t="shared" ca="1" si="89"/>
        <v>45092</v>
      </c>
      <c r="C1451" t="s">
        <v>8</v>
      </c>
      <c r="D1451" t="str">
        <f t="shared" ca="1" si="90"/>
        <v>Clothing</v>
      </c>
      <c r="E1451" t="s">
        <v>62</v>
      </c>
      <c r="F1451" s="11">
        <v>4260</v>
      </c>
      <c r="G1451">
        <f t="shared" ca="1" si="91"/>
        <v>3</v>
      </c>
      <c r="H1451" s="11">
        <f ca="1">IF(Table1[[#This Row],[Category]]="Electronics",Table1[[#This Row],[Sales]]*0.6,
IF(Table1[[#This Row],[Category]]="Furniture",Table1[[#This Row],[Sales]]*0.75,
IF(Table1[[#This Row],[Category]]="Clothing",Table1[[#This Row],[Sales]]*0.65,
Table1[[#This Row],[Sales]]*0.7)))</f>
        <v>2769</v>
      </c>
      <c r="I1451" s="11">
        <f ca="1">Table1[[#This Row],[Sales]]-H1451</f>
        <v>1491</v>
      </c>
      <c r="J1451" s="2">
        <f ca="1">Table1[[#This Row],[Profit]]/Table1[[#This Row],[Sales]]</f>
        <v>0.35</v>
      </c>
      <c r="K1451" t="str">
        <f ca="1">TEXT(Table1[[#This Row],[Order_Date]],"mmm")</f>
        <v>Jun</v>
      </c>
      <c r="L1451">
        <f ca="1">YEAR(Table1[[#This Row],[Order_Date]])</f>
        <v>2023</v>
      </c>
    </row>
    <row r="1452" spans="1:12" x14ac:dyDescent="0.3">
      <c r="A1452">
        <f t="shared" si="88"/>
        <v>1451</v>
      </c>
      <c r="B1452" s="1">
        <f t="shared" ca="1" si="89"/>
        <v>45087</v>
      </c>
      <c r="C1452" t="s">
        <v>9</v>
      </c>
      <c r="D1452" t="str">
        <f t="shared" ca="1" si="90"/>
        <v>Office Supplies</v>
      </c>
      <c r="E1452" t="s">
        <v>71</v>
      </c>
      <c r="F1452" s="11">
        <v>16628</v>
      </c>
      <c r="G1452">
        <f t="shared" ca="1" si="91"/>
        <v>10</v>
      </c>
      <c r="H1452" s="11">
        <f ca="1">IF(Table1[[#This Row],[Category]]="Electronics",Table1[[#This Row],[Sales]]*0.6,
IF(Table1[[#This Row],[Category]]="Furniture",Table1[[#This Row],[Sales]]*0.75,
IF(Table1[[#This Row],[Category]]="Clothing",Table1[[#This Row],[Sales]]*0.65,
Table1[[#This Row],[Sales]]*0.7)))</f>
        <v>11639.599999999999</v>
      </c>
      <c r="I1452" s="11">
        <f ca="1">Table1[[#This Row],[Sales]]-H1452</f>
        <v>4988.4000000000015</v>
      </c>
      <c r="J1452" s="2">
        <f ca="1">Table1[[#This Row],[Profit]]/Table1[[#This Row],[Sales]]</f>
        <v>0.3000000000000001</v>
      </c>
      <c r="K1452" t="str">
        <f ca="1">TEXT(Table1[[#This Row],[Order_Date]],"mmm")</f>
        <v>Jun</v>
      </c>
      <c r="L1452">
        <f ca="1">YEAR(Table1[[#This Row],[Order_Date]])</f>
        <v>2023</v>
      </c>
    </row>
    <row r="1453" spans="1:12" x14ac:dyDescent="0.3">
      <c r="A1453">
        <f t="shared" si="88"/>
        <v>1452</v>
      </c>
      <c r="B1453" s="1">
        <f t="shared" ca="1" si="89"/>
        <v>44935</v>
      </c>
      <c r="C1453" t="s">
        <v>10</v>
      </c>
      <c r="D1453" t="str">
        <f t="shared" ca="1" si="90"/>
        <v>Office Supplies</v>
      </c>
      <c r="E1453" t="s">
        <v>42</v>
      </c>
      <c r="F1453" s="11">
        <v>6028</v>
      </c>
      <c r="G1453">
        <f t="shared" ca="1" si="91"/>
        <v>9</v>
      </c>
      <c r="H1453" s="11">
        <f ca="1">IF(Table1[[#This Row],[Category]]="Electronics",Table1[[#This Row],[Sales]]*0.6,
IF(Table1[[#This Row],[Category]]="Furniture",Table1[[#This Row],[Sales]]*0.75,
IF(Table1[[#This Row],[Category]]="Clothing",Table1[[#This Row],[Sales]]*0.65,
Table1[[#This Row],[Sales]]*0.7)))</f>
        <v>4219.5999999999995</v>
      </c>
      <c r="I1453" s="11">
        <f ca="1">Table1[[#This Row],[Sales]]-H1453</f>
        <v>1808.4000000000005</v>
      </c>
      <c r="J1453" s="2">
        <f ca="1">Table1[[#This Row],[Profit]]/Table1[[#This Row],[Sales]]</f>
        <v>0.3000000000000001</v>
      </c>
      <c r="K1453" t="str">
        <f ca="1">TEXT(Table1[[#This Row],[Order_Date]],"mmm")</f>
        <v>Jan</v>
      </c>
      <c r="L1453">
        <f ca="1">YEAR(Table1[[#This Row],[Order_Date]])</f>
        <v>2023</v>
      </c>
    </row>
    <row r="1454" spans="1:12" x14ac:dyDescent="0.3">
      <c r="A1454">
        <f t="shared" si="88"/>
        <v>1453</v>
      </c>
      <c r="B1454" s="1">
        <f t="shared" ca="1" si="89"/>
        <v>45237</v>
      </c>
      <c r="C1454" t="s">
        <v>7</v>
      </c>
      <c r="D1454" t="str">
        <f t="shared" ca="1" si="90"/>
        <v>Clothing</v>
      </c>
      <c r="E1454" t="s">
        <v>36</v>
      </c>
      <c r="F1454" s="11">
        <v>18899</v>
      </c>
      <c r="G1454">
        <f t="shared" ca="1" si="91"/>
        <v>2</v>
      </c>
      <c r="H1454" s="11">
        <f ca="1">IF(Table1[[#This Row],[Category]]="Electronics",Table1[[#This Row],[Sales]]*0.6,
IF(Table1[[#This Row],[Category]]="Furniture",Table1[[#This Row],[Sales]]*0.75,
IF(Table1[[#This Row],[Category]]="Clothing",Table1[[#This Row],[Sales]]*0.65,
Table1[[#This Row],[Sales]]*0.7)))</f>
        <v>12284.35</v>
      </c>
      <c r="I1454" s="11">
        <f ca="1">Table1[[#This Row],[Sales]]-H1454</f>
        <v>6614.65</v>
      </c>
      <c r="J1454" s="2">
        <f ca="1">Table1[[#This Row],[Profit]]/Table1[[#This Row],[Sales]]</f>
        <v>0.35</v>
      </c>
      <c r="K1454" t="str">
        <f ca="1">TEXT(Table1[[#This Row],[Order_Date]],"mmm")</f>
        <v>Nov</v>
      </c>
      <c r="L1454">
        <f ca="1">YEAR(Table1[[#This Row],[Order_Date]])</f>
        <v>2023</v>
      </c>
    </row>
    <row r="1455" spans="1:12" x14ac:dyDescent="0.3">
      <c r="A1455">
        <f t="shared" si="88"/>
        <v>1454</v>
      </c>
      <c r="B1455" s="1">
        <f t="shared" ca="1" si="89"/>
        <v>45122</v>
      </c>
      <c r="C1455" t="s">
        <v>8</v>
      </c>
      <c r="D1455" t="str">
        <f t="shared" ca="1" si="90"/>
        <v>Office Supplies</v>
      </c>
      <c r="E1455" t="s">
        <v>58</v>
      </c>
      <c r="F1455" s="11">
        <v>1231</v>
      </c>
      <c r="G1455">
        <f t="shared" ca="1" si="91"/>
        <v>3</v>
      </c>
      <c r="H1455" s="11">
        <f ca="1">IF(Table1[[#This Row],[Category]]="Electronics",Table1[[#This Row],[Sales]]*0.6,
IF(Table1[[#This Row],[Category]]="Furniture",Table1[[#This Row],[Sales]]*0.75,
IF(Table1[[#This Row],[Category]]="Clothing",Table1[[#This Row],[Sales]]*0.65,
Table1[[#This Row],[Sales]]*0.7)))</f>
        <v>861.69999999999993</v>
      </c>
      <c r="I1455" s="11">
        <f ca="1">Table1[[#This Row],[Sales]]-H1455</f>
        <v>369.30000000000007</v>
      </c>
      <c r="J1455" s="2">
        <f ca="1">Table1[[#This Row],[Profit]]/Table1[[#This Row],[Sales]]</f>
        <v>0.30000000000000004</v>
      </c>
      <c r="K1455" t="str">
        <f ca="1">TEXT(Table1[[#This Row],[Order_Date]],"mmm")</f>
        <v>Jul</v>
      </c>
      <c r="L1455">
        <f ca="1">YEAR(Table1[[#This Row],[Order_Date]])</f>
        <v>2023</v>
      </c>
    </row>
    <row r="1456" spans="1:12" x14ac:dyDescent="0.3">
      <c r="A1456">
        <f t="shared" si="88"/>
        <v>1455</v>
      </c>
      <c r="B1456" s="1">
        <f t="shared" ca="1" si="89"/>
        <v>45031</v>
      </c>
      <c r="C1456" t="s">
        <v>9</v>
      </c>
      <c r="D1456" t="str">
        <f t="shared" ca="1" si="90"/>
        <v>Office Supplies</v>
      </c>
      <c r="E1456" t="s">
        <v>58</v>
      </c>
      <c r="F1456" s="11">
        <v>8917</v>
      </c>
      <c r="G1456">
        <f t="shared" ca="1" si="91"/>
        <v>4</v>
      </c>
      <c r="H1456" s="11">
        <f ca="1">IF(Table1[[#This Row],[Category]]="Electronics",Table1[[#This Row],[Sales]]*0.6,
IF(Table1[[#This Row],[Category]]="Furniture",Table1[[#This Row],[Sales]]*0.75,
IF(Table1[[#This Row],[Category]]="Clothing",Table1[[#This Row],[Sales]]*0.65,
Table1[[#This Row],[Sales]]*0.7)))</f>
        <v>6241.9</v>
      </c>
      <c r="I1456" s="11">
        <f ca="1">Table1[[#This Row],[Sales]]-H1456</f>
        <v>2675.1000000000004</v>
      </c>
      <c r="J1456" s="2">
        <f ca="1">Table1[[#This Row],[Profit]]/Table1[[#This Row],[Sales]]</f>
        <v>0.30000000000000004</v>
      </c>
      <c r="K1456" t="str">
        <f ca="1">TEXT(Table1[[#This Row],[Order_Date]],"mmm")</f>
        <v>Apr</v>
      </c>
      <c r="L1456">
        <f ca="1">YEAR(Table1[[#This Row],[Order_Date]])</f>
        <v>2023</v>
      </c>
    </row>
    <row r="1457" spans="1:12" x14ac:dyDescent="0.3">
      <c r="A1457">
        <f t="shared" si="88"/>
        <v>1456</v>
      </c>
      <c r="B1457" s="1">
        <f t="shared" ca="1" si="89"/>
        <v>45097</v>
      </c>
      <c r="C1457" t="s">
        <v>10</v>
      </c>
      <c r="D1457" t="str">
        <f t="shared" ca="1" si="90"/>
        <v>Office Supplies</v>
      </c>
      <c r="E1457" t="s">
        <v>67</v>
      </c>
      <c r="F1457" s="11">
        <v>6290</v>
      </c>
      <c r="G1457">
        <f t="shared" ca="1" si="91"/>
        <v>1</v>
      </c>
      <c r="H1457" s="11">
        <f ca="1">IF(Table1[[#This Row],[Category]]="Electronics",Table1[[#This Row],[Sales]]*0.6,
IF(Table1[[#This Row],[Category]]="Furniture",Table1[[#This Row],[Sales]]*0.75,
IF(Table1[[#This Row],[Category]]="Clothing",Table1[[#This Row],[Sales]]*0.65,
Table1[[#This Row],[Sales]]*0.7)))</f>
        <v>4403</v>
      </c>
      <c r="I1457" s="11">
        <f ca="1">Table1[[#This Row],[Sales]]-H1457</f>
        <v>1887</v>
      </c>
      <c r="J1457" s="2">
        <f ca="1">Table1[[#This Row],[Profit]]/Table1[[#This Row],[Sales]]</f>
        <v>0.3</v>
      </c>
      <c r="K1457" t="str">
        <f ca="1">TEXT(Table1[[#This Row],[Order_Date]],"mmm")</f>
        <v>Jun</v>
      </c>
      <c r="L1457">
        <f ca="1">YEAR(Table1[[#This Row],[Order_Date]])</f>
        <v>2023</v>
      </c>
    </row>
    <row r="1458" spans="1:12" x14ac:dyDescent="0.3">
      <c r="A1458">
        <f t="shared" si="88"/>
        <v>1457</v>
      </c>
      <c r="B1458" s="1">
        <f t="shared" ca="1" si="89"/>
        <v>44959</v>
      </c>
      <c r="C1458" t="s">
        <v>7</v>
      </c>
      <c r="D1458" t="str">
        <f t="shared" ca="1" si="90"/>
        <v>Office Supplies</v>
      </c>
      <c r="E1458" t="s">
        <v>41</v>
      </c>
      <c r="F1458" s="11">
        <v>16690</v>
      </c>
      <c r="G1458">
        <f t="shared" ca="1" si="91"/>
        <v>6</v>
      </c>
      <c r="H1458" s="11">
        <f ca="1">IF(Table1[[#This Row],[Category]]="Electronics",Table1[[#This Row],[Sales]]*0.6,
IF(Table1[[#This Row],[Category]]="Furniture",Table1[[#This Row],[Sales]]*0.75,
IF(Table1[[#This Row],[Category]]="Clothing",Table1[[#This Row],[Sales]]*0.65,
Table1[[#This Row],[Sales]]*0.7)))</f>
        <v>11683</v>
      </c>
      <c r="I1458" s="11">
        <f ca="1">Table1[[#This Row],[Sales]]-H1458</f>
        <v>5007</v>
      </c>
      <c r="J1458" s="2">
        <f ca="1">Table1[[#This Row],[Profit]]/Table1[[#This Row],[Sales]]</f>
        <v>0.3</v>
      </c>
      <c r="K1458" t="str">
        <f ca="1">TEXT(Table1[[#This Row],[Order_Date]],"mmm")</f>
        <v>Feb</v>
      </c>
      <c r="L1458">
        <f ca="1">YEAR(Table1[[#This Row],[Order_Date]])</f>
        <v>2023</v>
      </c>
    </row>
    <row r="1459" spans="1:12" x14ac:dyDescent="0.3">
      <c r="A1459">
        <f t="shared" si="88"/>
        <v>1458</v>
      </c>
      <c r="B1459" s="1">
        <f t="shared" ca="1" si="89"/>
        <v>45218</v>
      </c>
      <c r="C1459" t="s">
        <v>8</v>
      </c>
      <c r="D1459" t="str">
        <f t="shared" ca="1" si="90"/>
        <v>Furniture</v>
      </c>
      <c r="E1459" t="s">
        <v>69</v>
      </c>
      <c r="F1459" s="11">
        <v>10670</v>
      </c>
      <c r="G1459">
        <f t="shared" ca="1" si="91"/>
        <v>4</v>
      </c>
      <c r="H1459" s="11">
        <f ca="1">IF(Table1[[#This Row],[Category]]="Electronics",Table1[[#This Row],[Sales]]*0.6,
IF(Table1[[#This Row],[Category]]="Furniture",Table1[[#This Row],[Sales]]*0.75,
IF(Table1[[#This Row],[Category]]="Clothing",Table1[[#This Row],[Sales]]*0.65,
Table1[[#This Row],[Sales]]*0.7)))</f>
        <v>8002.5</v>
      </c>
      <c r="I1459" s="11">
        <f ca="1">Table1[[#This Row],[Sales]]-H1459</f>
        <v>2667.5</v>
      </c>
      <c r="J1459" s="2">
        <f ca="1">Table1[[#This Row],[Profit]]/Table1[[#This Row],[Sales]]</f>
        <v>0.25</v>
      </c>
      <c r="K1459" t="str">
        <f ca="1">TEXT(Table1[[#This Row],[Order_Date]],"mmm")</f>
        <v>Oct</v>
      </c>
      <c r="L1459">
        <f ca="1">YEAR(Table1[[#This Row],[Order_Date]])</f>
        <v>2023</v>
      </c>
    </row>
    <row r="1460" spans="1:12" x14ac:dyDescent="0.3">
      <c r="A1460">
        <f t="shared" si="88"/>
        <v>1459</v>
      </c>
      <c r="B1460" s="1">
        <f t="shared" ca="1" si="89"/>
        <v>45145</v>
      </c>
      <c r="C1460" t="s">
        <v>9</v>
      </c>
      <c r="D1460" t="str">
        <f t="shared" ca="1" si="90"/>
        <v>Office Supplies</v>
      </c>
      <c r="E1460" t="s">
        <v>81</v>
      </c>
      <c r="F1460" s="11">
        <v>4961</v>
      </c>
      <c r="G1460">
        <f t="shared" ca="1" si="91"/>
        <v>5</v>
      </c>
      <c r="H1460" s="11">
        <f ca="1">IF(Table1[[#This Row],[Category]]="Electronics",Table1[[#This Row],[Sales]]*0.6,
IF(Table1[[#This Row],[Category]]="Furniture",Table1[[#This Row],[Sales]]*0.75,
IF(Table1[[#This Row],[Category]]="Clothing",Table1[[#This Row],[Sales]]*0.65,
Table1[[#This Row],[Sales]]*0.7)))</f>
        <v>3472.7</v>
      </c>
      <c r="I1460" s="11">
        <f ca="1">Table1[[#This Row],[Sales]]-H1460</f>
        <v>1488.3000000000002</v>
      </c>
      <c r="J1460" s="2">
        <f ca="1">Table1[[#This Row],[Profit]]/Table1[[#This Row],[Sales]]</f>
        <v>0.30000000000000004</v>
      </c>
      <c r="K1460" t="str">
        <f ca="1">TEXT(Table1[[#This Row],[Order_Date]],"mmm")</f>
        <v>Aug</v>
      </c>
      <c r="L1460">
        <f ca="1">YEAR(Table1[[#This Row],[Order_Date]])</f>
        <v>2023</v>
      </c>
    </row>
    <row r="1461" spans="1:12" x14ac:dyDescent="0.3">
      <c r="A1461">
        <f t="shared" si="88"/>
        <v>1460</v>
      </c>
      <c r="B1461" s="1">
        <f t="shared" ca="1" si="89"/>
        <v>45123</v>
      </c>
      <c r="C1461" t="s">
        <v>10</v>
      </c>
      <c r="D1461" t="str">
        <f t="shared" ca="1" si="90"/>
        <v>Furniture</v>
      </c>
      <c r="E1461" t="s">
        <v>38</v>
      </c>
      <c r="F1461" s="11">
        <v>1589</v>
      </c>
      <c r="G1461">
        <f t="shared" ca="1" si="91"/>
        <v>6</v>
      </c>
      <c r="H1461" s="11">
        <f ca="1">IF(Table1[[#This Row],[Category]]="Electronics",Table1[[#This Row],[Sales]]*0.6,
IF(Table1[[#This Row],[Category]]="Furniture",Table1[[#This Row],[Sales]]*0.75,
IF(Table1[[#This Row],[Category]]="Clothing",Table1[[#This Row],[Sales]]*0.65,
Table1[[#This Row],[Sales]]*0.7)))</f>
        <v>1191.75</v>
      </c>
      <c r="I1461" s="11">
        <f ca="1">Table1[[#This Row],[Sales]]-H1461</f>
        <v>397.25</v>
      </c>
      <c r="J1461" s="2">
        <f ca="1">Table1[[#This Row],[Profit]]/Table1[[#This Row],[Sales]]</f>
        <v>0.25</v>
      </c>
      <c r="K1461" t="str">
        <f ca="1">TEXT(Table1[[#This Row],[Order_Date]],"mmm")</f>
        <v>Jul</v>
      </c>
      <c r="L1461">
        <f ca="1">YEAR(Table1[[#This Row],[Order_Date]])</f>
        <v>2023</v>
      </c>
    </row>
    <row r="1462" spans="1:12" x14ac:dyDescent="0.3">
      <c r="A1462">
        <f t="shared" si="88"/>
        <v>1461</v>
      </c>
      <c r="B1462" s="1">
        <f t="shared" ca="1" si="89"/>
        <v>44971</v>
      </c>
      <c r="C1462" t="s">
        <v>7</v>
      </c>
      <c r="D1462" t="str">
        <f t="shared" ca="1" si="90"/>
        <v>Furniture</v>
      </c>
      <c r="E1462" t="s">
        <v>78</v>
      </c>
      <c r="F1462" s="11">
        <v>17044</v>
      </c>
      <c r="G1462">
        <f t="shared" ca="1" si="91"/>
        <v>7</v>
      </c>
      <c r="H1462" s="11">
        <f ca="1">IF(Table1[[#This Row],[Category]]="Electronics",Table1[[#This Row],[Sales]]*0.6,
IF(Table1[[#This Row],[Category]]="Furniture",Table1[[#This Row],[Sales]]*0.75,
IF(Table1[[#This Row],[Category]]="Clothing",Table1[[#This Row],[Sales]]*0.65,
Table1[[#This Row],[Sales]]*0.7)))</f>
        <v>12783</v>
      </c>
      <c r="I1462" s="11">
        <f ca="1">Table1[[#This Row],[Sales]]-H1462</f>
        <v>4261</v>
      </c>
      <c r="J1462" s="2">
        <f ca="1">Table1[[#This Row],[Profit]]/Table1[[#This Row],[Sales]]</f>
        <v>0.25</v>
      </c>
      <c r="K1462" t="str">
        <f ca="1">TEXT(Table1[[#This Row],[Order_Date]],"mmm")</f>
        <v>Feb</v>
      </c>
      <c r="L1462">
        <f ca="1">YEAR(Table1[[#This Row],[Order_Date]])</f>
        <v>2023</v>
      </c>
    </row>
    <row r="1463" spans="1:12" x14ac:dyDescent="0.3">
      <c r="A1463">
        <f t="shared" si="88"/>
        <v>1462</v>
      </c>
      <c r="B1463" s="1">
        <f t="shared" ca="1" si="89"/>
        <v>45008</v>
      </c>
      <c r="C1463" t="s">
        <v>8</v>
      </c>
      <c r="D1463" t="str">
        <f t="shared" ca="1" si="90"/>
        <v>Electronics</v>
      </c>
      <c r="E1463" t="s">
        <v>77</v>
      </c>
      <c r="F1463" s="11">
        <v>5766</v>
      </c>
      <c r="G1463">
        <f t="shared" ca="1" si="91"/>
        <v>9</v>
      </c>
      <c r="H1463" s="11">
        <f ca="1">IF(Table1[[#This Row],[Category]]="Electronics",Table1[[#This Row],[Sales]]*0.6,
IF(Table1[[#This Row],[Category]]="Furniture",Table1[[#This Row],[Sales]]*0.75,
IF(Table1[[#This Row],[Category]]="Clothing",Table1[[#This Row],[Sales]]*0.65,
Table1[[#This Row],[Sales]]*0.7)))</f>
        <v>3459.6</v>
      </c>
      <c r="I1463" s="11">
        <f ca="1">Table1[[#This Row],[Sales]]-H1463</f>
        <v>2306.4</v>
      </c>
      <c r="J1463" s="2">
        <f ca="1">Table1[[#This Row],[Profit]]/Table1[[#This Row],[Sales]]</f>
        <v>0.4</v>
      </c>
      <c r="K1463" t="str">
        <f ca="1">TEXT(Table1[[#This Row],[Order_Date]],"mmm")</f>
        <v>Mar</v>
      </c>
      <c r="L1463">
        <f ca="1">YEAR(Table1[[#This Row],[Order_Date]])</f>
        <v>2023</v>
      </c>
    </row>
    <row r="1464" spans="1:12" x14ac:dyDescent="0.3">
      <c r="A1464">
        <f t="shared" si="88"/>
        <v>1463</v>
      </c>
      <c r="B1464" s="1">
        <f t="shared" ca="1" si="89"/>
        <v>45214</v>
      </c>
      <c r="C1464" t="s">
        <v>9</v>
      </c>
      <c r="D1464" t="str">
        <f t="shared" ca="1" si="90"/>
        <v>Clothing</v>
      </c>
      <c r="E1464" t="s">
        <v>78</v>
      </c>
      <c r="F1464" s="11">
        <v>6771</v>
      </c>
      <c r="G1464">
        <f t="shared" ca="1" si="91"/>
        <v>7</v>
      </c>
      <c r="H1464" s="11">
        <f ca="1">IF(Table1[[#This Row],[Category]]="Electronics",Table1[[#This Row],[Sales]]*0.6,
IF(Table1[[#This Row],[Category]]="Furniture",Table1[[#This Row],[Sales]]*0.75,
IF(Table1[[#This Row],[Category]]="Clothing",Table1[[#This Row],[Sales]]*0.65,
Table1[[#This Row],[Sales]]*0.7)))</f>
        <v>4401.1500000000005</v>
      </c>
      <c r="I1464" s="11">
        <f ca="1">Table1[[#This Row],[Sales]]-H1464</f>
        <v>2369.8499999999995</v>
      </c>
      <c r="J1464" s="2">
        <f ca="1">Table1[[#This Row],[Profit]]/Table1[[#This Row],[Sales]]</f>
        <v>0.34999999999999992</v>
      </c>
      <c r="K1464" t="str">
        <f ca="1">TEXT(Table1[[#This Row],[Order_Date]],"mmm")</f>
        <v>Oct</v>
      </c>
      <c r="L1464">
        <f ca="1">YEAR(Table1[[#This Row],[Order_Date]])</f>
        <v>2023</v>
      </c>
    </row>
    <row r="1465" spans="1:12" x14ac:dyDescent="0.3">
      <c r="A1465">
        <f t="shared" si="88"/>
        <v>1464</v>
      </c>
      <c r="B1465" s="1">
        <f t="shared" ca="1" si="89"/>
        <v>45048</v>
      </c>
      <c r="C1465" t="s">
        <v>10</v>
      </c>
      <c r="D1465" t="str">
        <f t="shared" ca="1" si="90"/>
        <v>Furniture</v>
      </c>
      <c r="E1465" t="s">
        <v>77</v>
      </c>
      <c r="F1465" s="11">
        <v>3561</v>
      </c>
      <c r="G1465">
        <f t="shared" ca="1" si="91"/>
        <v>7</v>
      </c>
      <c r="H1465" s="11">
        <f ca="1">IF(Table1[[#This Row],[Category]]="Electronics",Table1[[#This Row],[Sales]]*0.6,
IF(Table1[[#This Row],[Category]]="Furniture",Table1[[#This Row],[Sales]]*0.75,
IF(Table1[[#This Row],[Category]]="Clothing",Table1[[#This Row],[Sales]]*0.65,
Table1[[#This Row],[Sales]]*0.7)))</f>
        <v>2670.75</v>
      </c>
      <c r="I1465" s="11">
        <f ca="1">Table1[[#This Row],[Sales]]-H1465</f>
        <v>890.25</v>
      </c>
      <c r="J1465" s="2">
        <f ca="1">Table1[[#This Row],[Profit]]/Table1[[#This Row],[Sales]]</f>
        <v>0.25</v>
      </c>
      <c r="K1465" t="str">
        <f ca="1">TEXT(Table1[[#This Row],[Order_Date]],"mmm")</f>
        <v>May</v>
      </c>
      <c r="L1465">
        <f ca="1">YEAR(Table1[[#This Row],[Order_Date]])</f>
        <v>2023</v>
      </c>
    </row>
    <row r="1466" spans="1:12" x14ac:dyDescent="0.3">
      <c r="A1466">
        <f t="shared" si="88"/>
        <v>1465</v>
      </c>
      <c r="B1466" s="1">
        <f t="shared" ca="1" si="89"/>
        <v>44965</v>
      </c>
      <c r="C1466" t="s">
        <v>7</v>
      </c>
      <c r="D1466" t="str">
        <f t="shared" ca="1" si="90"/>
        <v>Electronics</v>
      </c>
      <c r="E1466" t="s">
        <v>36</v>
      </c>
      <c r="F1466" s="11">
        <v>3574</v>
      </c>
      <c r="G1466">
        <f t="shared" ca="1" si="91"/>
        <v>7</v>
      </c>
      <c r="H1466" s="11">
        <f ca="1">IF(Table1[[#This Row],[Category]]="Electronics",Table1[[#This Row],[Sales]]*0.6,
IF(Table1[[#This Row],[Category]]="Furniture",Table1[[#This Row],[Sales]]*0.75,
IF(Table1[[#This Row],[Category]]="Clothing",Table1[[#This Row],[Sales]]*0.65,
Table1[[#This Row],[Sales]]*0.7)))</f>
        <v>2144.4</v>
      </c>
      <c r="I1466" s="11">
        <f ca="1">Table1[[#This Row],[Sales]]-H1466</f>
        <v>1429.6</v>
      </c>
      <c r="J1466" s="2">
        <f ca="1">Table1[[#This Row],[Profit]]/Table1[[#This Row],[Sales]]</f>
        <v>0.39999999999999997</v>
      </c>
      <c r="K1466" t="str">
        <f ca="1">TEXT(Table1[[#This Row],[Order_Date]],"mmm")</f>
        <v>Feb</v>
      </c>
      <c r="L1466">
        <f ca="1">YEAR(Table1[[#This Row],[Order_Date]])</f>
        <v>2023</v>
      </c>
    </row>
    <row r="1467" spans="1:12" x14ac:dyDescent="0.3">
      <c r="A1467">
        <f t="shared" si="88"/>
        <v>1466</v>
      </c>
      <c r="B1467" s="1">
        <f t="shared" ca="1" si="89"/>
        <v>45211</v>
      </c>
      <c r="C1467" t="s">
        <v>8</v>
      </c>
      <c r="D1467" t="str">
        <f t="shared" ca="1" si="90"/>
        <v>Clothing</v>
      </c>
      <c r="E1467" t="s">
        <v>36</v>
      </c>
      <c r="F1467" s="11">
        <v>14125</v>
      </c>
      <c r="G1467">
        <f t="shared" ca="1" si="91"/>
        <v>1</v>
      </c>
      <c r="H1467" s="11">
        <f ca="1">IF(Table1[[#This Row],[Category]]="Electronics",Table1[[#This Row],[Sales]]*0.6,
IF(Table1[[#This Row],[Category]]="Furniture",Table1[[#This Row],[Sales]]*0.75,
IF(Table1[[#This Row],[Category]]="Clothing",Table1[[#This Row],[Sales]]*0.65,
Table1[[#This Row],[Sales]]*0.7)))</f>
        <v>9181.25</v>
      </c>
      <c r="I1467" s="11">
        <f ca="1">Table1[[#This Row],[Sales]]-H1467</f>
        <v>4943.75</v>
      </c>
      <c r="J1467" s="2">
        <f ca="1">Table1[[#This Row],[Profit]]/Table1[[#This Row],[Sales]]</f>
        <v>0.35</v>
      </c>
      <c r="K1467" t="str">
        <f ca="1">TEXT(Table1[[#This Row],[Order_Date]],"mmm")</f>
        <v>Oct</v>
      </c>
      <c r="L1467">
        <f ca="1">YEAR(Table1[[#This Row],[Order_Date]])</f>
        <v>2023</v>
      </c>
    </row>
    <row r="1468" spans="1:12" x14ac:dyDescent="0.3">
      <c r="A1468">
        <f t="shared" si="88"/>
        <v>1467</v>
      </c>
      <c r="B1468" s="1">
        <f t="shared" ca="1" si="89"/>
        <v>44940</v>
      </c>
      <c r="C1468" t="s">
        <v>9</v>
      </c>
      <c r="D1468" t="str">
        <f t="shared" ca="1" si="90"/>
        <v>Clothing</v>
      </c>
      <c r="E1468" t="s">
        <v>53</v>
      </c>
      <c r="F1468" s="11">
        <v>12300</v>
      </c>
      <c r="G1468">
        <f t="shared" ca="1" si="91"/>
        <v>5</v>
      </c>
      <c r="H1468" s="11">
        <f ca="1">IF(Table1[[#This Row],[Category]]="Electronics",Table1[[#This Row],[Sales]]*0.6,
IF(Table1[[#This Row],[Category]]="Furniture",Table1[[#This Row],[Sales]]*0.75,
IF(Table1[[#This Row],[Category]]="Clothing",Table1[[#This Row],[Sales]]*0.65,
Table1[[#This Row],[Sales]]*0.7)))</f>
        <v>7995</v>
      </c>
      <c r="I1468" s="11">
        <f ca="1">Table1[[#This Row],[Sales]]-H1468</f>
        <v>4305</v>
      </c>
      <c r="J1468" s="2">
        <f ca="1">Table1[[#This Row],[Profit]]/Table1[[#This Row],[Sales]]</f>
        <v>0.35</v>
      </c>
      <c r="K1468" t="str">
        <f ca="1">TEXT(Table1[[#This Row],[Order_Date]],"mmm")</f>
        <v>Jan</v>
      </c>
      <c r="L1468">
        <f ca="1">YEAR(Table1[[#This Row],[Order_Date]])</f>
        <v>2023</v>
      </c>
    </row>
    <row r="1469" spans="1:12" x14ac:dyDescent="0.3">
      <c r="A1469">
        <f t="shared" si="88"/>
        <v>1468</v>
      </c>
      <c r="B1469" s="1">
        <f t="shared" ca="1" si="89"/>
        <v>45074</v>
      </c>
      <c r="C1469" t="s">
        <v>10</v>
      </c>
      <c r="D1469" t="str">
        <f t="shared" ca="1" si="90"/>
        <v>Furniture</v>
      </c>
      <c r="E1469" t="s">
        <v>40</v>
      </c>
      <c r="F1469" s="11">
        <v>14820</v>
      </c>
      <c r="G1469">
        <f t="shared" ca="1" si="91"/>
        <v>5</v>
      </c>
      <c r="H1469" s="11">
        <f ca="1">IF(Table1[[#This Row],[Category]]="Electronics",Table1[[#This Row],[Sales]]*0.6,
IF(Table1[[#This Row],[Category]]="Furniture",Table1[[#This Row],[Sales]]*0.75,
IF(Table1[[#This Row],[Category]]="Clothing",Table1[[#This Row],[Sales]]*0.65,
Table1[[#This Row],[Sales]]*0.7)))</f>
        <v>11115</v>
      </c>
      <c r="I1469" s="11">
        <f ca="1">Table1[[#This Row],[Sales]]-H1469</f>
        <v>3705</v>
      </c>
      <c r="J1469" s="2">
        <f ca="1">Table1[[#This Row],[Profit]]/Table1[[#This Row],[Sales]]</f>
        <v>0.25</v>
      </c>
      <c r="K1469" t="str">
        <f ca="1">TEXT(Table1[[#This Row],[Order_Date]],"mmm")</f>
        <v>May</v>
      </c>
      <c r="L1469">
        <f ca="1">YEAR(Table1[[#This Row],[Order_Date]])</f>
        <v>2023</v>
      </c>
    </row>
    <row r="1470" spans="1:12" x14ac:dyDescent="0.3">
      <c r="A1470">
        <f t="shared" si="88"/>
        <v>1469</v>
      </c>
      <c r="B1470" s="1">
        <f t="shared" ca="1" si="89"/>
        <v>45255</v>
      </c>
      <c r="C1470" t="s">
        <v>7</v>
      </c>
      <c r="D1470" t="str">
        <f t="shared" ca="1" si="90"/>
        <v>Clothing</v>
      </c>
      <c r="E1470" t="s">
        <v>75</v>
      </c>
      <c r="F1470" s="11">
        <v>17946</v>
      </c>
      <c r="G1470">
        <f t="shared" ca="1" si="91"/>
        <v>10</v>
      </c>
      <c r="H1470" s="11">
        <f ca="1">IF(Table1[[#This Row],[Category]]="Electronics",Table1[[#This Row],[Sales]]*0.6,
IF(Table1[[#This Row],[Category]]="Furniture",Table1[[#This Row],[Sales]]*0.75,
IF(Table1[[#This Row],[Category]]="Clothing",Table1[[#This Row],[Sales]]*0.65,
Table1[[#This Row],[Sales]]*0.7)))</f>
        <v>11664.9</v>
      </c>
      <c r="I1470" s="11">
        <f ca="1">Table1[[#This Row],[Sales]]-H1470</f>
        <v>6281.1</v>
      </c>
      <c r="J1470" s="2">
        <f ca="1">Table1[[#This Row],[Profit]]/Table1[[#This Row],[Sales]]</f>
        <v>0.35000000000000003</v>
      </c>
      <c r="K1470" t="str">
        <f ca="1">TEXT(Table1[[#This Row],[Order_Date]],"mmm")</f>
        <v>Nov</v>
      </c>
      <c r="L1470">
        <f ca="1">YEAR(Table1[[#This Row],[Order_Date]])</f>
        <v>2023</v>
      </c>
    </row>
    <row r="1471" spans="1:12" x14ac:dyDescent="0.3">
      <c r="A1471">
        <f t="shared" si="88"/>
        <v>1470</v>
      </c>
      <c r="B1471" s="1">
        <f t="shared" ca="1" si="89"/>
        <v>45278</v>
      </c>
      <c r="C1471" t="s">
        <v>8</v>
      </c>
      <c r="D1471" t="str">
        <f t="shared" ca="1" si="90"/>
        <v>Clothing</v>
      </c>
      <c r="E1471" t="s">
        <v>48</v>
      </c>
      <c r="F1471" s="11">
        <v>5765</v>
      </c>
      <c r="G1471">
        <f t="shared" ca="1" si="91"/>
        <v>8</v>
      </c>
      <c r="H1471" s="11">
        <f ca="1">IF(Table1[[#This Row],[Category]]="Electronics",Table1[[#This Row],[Sales]]*0.6,
IF(Table1[[#This Row],[Category]]="Furniture",Table1[[#This Row],[Sales]]*0.75,
IF(Table1[[#This Row],[Category]]="Clothing",Table1[[#This Row],[Sales]]*0.65,
Table1[[#This Row],[Sales]]*0.7)))</f>
        <v>3747.25</v>
      </c>
      <c r="I1471" s="11">
        <f ca="1">Table1[[#This Row],[Sales]]-H1471</f>
        <v>2017.75</v>
      </c>
      <c r="J1471" s="2">
        <f ca="1">Table1[[#This Row],[Profit]]/Table1[[#This Row],[Sales]]</f>
        <v>0.35</v>
      </c>
      <c r="K1471" t="str">
        <f ca="1">TEXT(Table1[[#This Row],[Order_Date]],"mmm")</f>
        <v>Dec</v>
      </c>
      <c r="L1471">
        <f ca="1">YEAR(Table1[[#This Row],[Order_Date]])</f>
        <v>2023</v>
      </c>
    </row>
    <row r="1472" spans="1:12" x14ac:dyDescent="0.3">
      <c r="A1472">
        <f t="shared" si="88"/>
        <v>1471</v>
      </c>
      <c r="B1472" s="1">
        <f t="shared" ca="1" si="89"/>
        <v>45057</v>
      </c>
      <c r="C1472" t="s">
        <v>9</v>
      </c>
      <c r="D1472" t="str">
        <f t="shared" ca="1" si="90"/>
        <v>Electronics</v>
      </c>
      <c r="E1472" t="s">
        <v>47</v>
      </c>
      <c r="F1472" s="11">
        <v>3867</v>
      </c>
      <c r="G1472">
        <f t="shared" ca="1" si="91"/>
        <v>3</v>
      </c>
      <c r="H1472" s="11">
        <f ca="1">IF(Table1[[#This Row],[Category]]="Electronics",Table1[[#This Row],[Sales]]*0.6,
IF(Table1[[#This Row],[Category]]="Furniture",Table1[[#This Row],[Sales]]*0.75,
IF(Table1[[#This Row],[Category]]="Clothing",Table1[[#This Row],[Sales]]*0.65,
Table1[[#This Row],[Sales]]*0.7)))</f>
        <v>2320.1999999999998</v>
      </c>
      <c r="I1472" s="11">
        <f ca="1">Table1[[#This Row],[Sales]]-H1472</f>
        <v>1546.8000000000002</v>
      </c>
      <c r="J1472" s="2">
        <f ca="1">Table1[[#This Row],[Profit]]/Table1[[#This Row],[Sales]]</f>
        <v>0.4</v>
      </c>
      <c r="K1472" t="str">
        <f ca="1">TEXT(Table1[[#This Row],[Order_Date]],"mmm")</f>
        <v>May</v>
      </c>
      <c r="L1472">
        <f ca="1">YEAR(Table1[[#This Row],[Order_Date]])</f>
        <v>2023</v>
      </c>
    </row>
    <row r="1473" spans="1:12" x14ac:dyDescent="0.3">
      <c r="A1473">
        <f t="shared" si="88"/>
        <v>1472</v>
      </c>
      <c r="B1473" s="1">
        <f t="shared" ca="1" si="89"/>
        <v>45069</v>
      </c>
      <c r="C1473" t="s">
        <v>10</v>
      </c>
      <c r="D1473" t="str">
        <f t="shared" ca="1" si="90"/>
        <v>Furniture</v>
      </c>
      <c r="E1473" t="s">
        <v>61</v>
      </c>
      <c r="F1473" s="11">
        <v>19252</v>
      </c>
      <c r="G1473">
        <f t="shared" ca="1" si="91"/>
        <v>7</v>
      </c>
      <c r="H1473" s="11">
        <f ca="1">IF(Table1[[#This Row],[Category]]="Electronics",Table1[[#This Row],[Sales]]*0.6,
IF(Table1[[#This Row],[Category]]="Furniture",Table1[[#This Row],[Sales]]*0.75,
IF(Table1[[#This Row],[Category]]="Clothing",Table1[[#This Row],[Sales]]*0.65,
Table1[[#This Row],[Sales]]*0.7)))</f>
        <v>14439</v>
      </c>
      <c r="I1473" s="11">
        <f ca="1">Table1[[#This Row],[Sales]]-H1473</f>
        <v>4813</v>
      </c>
      <c r="J1473" s="2">
        <f ca="1">Table1[[#This Row],[Profit]]/Table1[[#This Row],[Sales]]</f>
        <v>0.25</v>
      </c>
      <c r="K1473" t="str">
        <f ca="1">TEXT(Table1[[#This Row],[Order_Date]],"mmm")</f>
        <v>May</v>
      </c>
      <c r="L1473">
        <f ca="1">YEAR(Table1[[#This Row],[Order_Date]])</f>
        <v>2023</v>
      </c>
    </row>
    <row r="1474" spans="1:12" x14ac:dyDescent="0.3">
      <c r="A1474">
        <f t="shared" si="88"/>
        <v>1473</v>
      </c>
      <c r="B1474" s="1">
        <f t="shared" ca="1" si="89"/>
        <v>45071</v>
      </c>
      <c r="C1474" t="s">
        <v>7</v>
      </c>
      <c r="D1474" t="str">
        <f t="shared" ca="1" si="90"/>
        <v>Furniture</v>
      </c>
      <c r="E1474" t="s">
        <v>47</v>
      </c>
      <c r="F1474" s="11">
        <v>18726</v>
      </c>
      <c r="G1474">
        <f t="shared" ca="1" si="91"/>
        <v>7</v>
      </c>
      <c r="H1474" s="11">
        <f ca="1">IF(Table1[[#This Row],[Category]]="Electronics",Table1[[#This Row],[Sales]]*0.6,
IF(Table1[[#This Row],[Category]]="Furniture",Table1[[#This Row],[Sales]]*0.75,
IF(Table1[[#This Row],[Category]]="Clothing",Table1[[#This Row],[Sales]]*0.65,
Table1[[#This Row],[Sales]]*0.7)))</f>
        <v>14044.5</v>
      </c>
      <c r="I1474" s="11">
        <f ca="1">Table1[[#This Row],[Sales]]-H1474</f>
        <v>4681.5</v>
      </c>
      <c r="J1474" s="2">
        <f ca="1">Table1[[#This Row],[Profit]]/Table1[[#This Row],[Sales]]</f>
        <v>0.25</v>
      </c>
      <c r="K1474" t="str">
        <f ca="1">TEXT(Table1[[#This Row],[Order_Date]],"mmm")</f>
        <v>May</v>
      </c>
      <c r="L1474">
        <f ca="1">YEAR(Table1[[#This Row],[Order_Date]])</f>
        <v>2023</v>
      </c>
    </row>
    <row r="1475" spans="1:12" x14ac:dyDescent="0.3">
      <c r="A1475">
        <f t="shared" ref="A1475:A1538" si="92">ROW()-1</f>
        <v>1474</v>
      </c>
      <c r="B1475" s="1">
        <f t="shared" ref="B1475:B1538" ca="1" si="93">DATE(2023, RANDBETWEEN(1,12), RANDBETWEEN(1,28))</f>
        <v>45051</v>
      </c>
      <c r="C1475" t="s">
        <v>8</v>
      </c>
      <c r="D1475" t="str">
        <f t="shared" ref="D1475:D1538" ca="1" si="94">CHOOSE(RANDBETWEEN(1,4),"Electronics","Furniture","Clothing","Office Supplies")</f>
        <v>Clothing</v>
      </c>
      <c r="E1475" t="s">
        <v>61</v>
      </c>
      <c r="F1475" s="11">
        <v>19780</v>
      </c>
      <c r="G1475">
        <f t="shared" ref="G1475:G1538" ca="1" si="95">RANDBETWEEN(1,10)</f>
        <v>9</v>
      </c>
      <c r="H1475" s="11">
        <f ca="1">IF(Table1[[#This Row],[Category]]="Electronics",Table1[[#This Row],[Sales]]*0.6,
IF(Table1[[#This Row],[Category]]="Furniture",Table1[[#This Row],[Sales]]*0.75,
IF(Table1[[#This Row],[Category]]="Clothing",Table1[[#This Row],[Sales]]*0.65,
Table1[[#This Row],[Sales]]*0.7)))</f>
        <v>12857</v>
      </c>
      <c r="I1475" s="11">
        <f ca="1">Table1[[#This Row],[Sales]]-H1475</f>
        <v>6923</v>
      </c>
      <c r="J1475" s="2">
        <f ca="1">Table1[[#This Row],[Profit]]/Table1[[#This Row],[Sales]]</f>
        <v>0.35</v>
      </c>
      <c r="K1475" t="str">
        <f ca="1">TEXT(Table1[[#This Row],[Order_Date]],"mmm")</f>
        <v>May</v>
      </c>
      <c r="L1475">
        <f ca="1">YEAR(Table1[[#This Row],[Order_Date]])</f>
        <v>2023</v>
      </c>
    </row>
    <row r="1476" spans="1:12" x14ac:dyDescent="0.3">
      <c r="A1476">
        <f t="shared" si="92"/>
        <v>1475</v>
      </c>
      <c r="B1476" s="1">
        <f t="shared" ca="1" si="93"/>
        <v>45039</v>
      </c>
      <c r="C1476" t="s">
        <v>9</v>
      </c>
      <c r="D1476" t="str">
        <f t="shared" ca="1" si="94"/>
        <v>Office Supplies</v>
      </c>
      <c r="E1476" t="s">
        <v>38</v>
      </c>
      <c r="F1476" s="11">
        <v>5394</v>
      </c>
      <c r="G1476">
        <f t="shared" ca="1" si="95"/>
        <v>8</v>
      </c>
      <c r="H1476" s="11">
        <f ca="1">IF(Table1[[#This Row],[Category]]="Electronics",Table1[[#This Row],[Sales]]*0.6,
IF(Table1[[#This Row],[Category]]="Furniture",Table1[[#This Row],[Sales]]*0.75,
IF(Table1[[#This Row],[Category]]="Clothing",Table1[[#This Row],[Sales]]*0.65,
Table1[[#This Row],[Sales]]*0.7)))</f>
        <v>3775.7999999999997</v>
      </c>
      <c r="I1476" s="11">
        <f ca="1">Table1[[#This Row],[Sales]]-H1476</f>
        <v>1618.2000000000003</v>
      </c>
      <c r="J1476" s="2">
        <f ca="1">Table1[[#This Row],[Profit]]/Table1[[#This Row],[Sales]]</f>
        <v>0.30000000000000004</v>
      </c>
      <c r="K1476" t="str">
        <f ca="1">TEXT(Table1[[#This Row],[Order_Date]],"mmm")</f>
        <v>Apr</v>
      </c>
      <c r="L1476">
        <f ca="1">YEAR(Table1[[#This Row],[Order_Date]])</f>
        <v>2023</v>
      </c>
    </row>
    <row r="1477" spans="1:12" x14ac:dyDescent="0.3">
      <c r="A1477">
        <f t="shared" si="92"/>
        <v>1476</v>
      </c>
      <c r="B1477" s="1">
        <f t="shared" ca="1" si="93"/>
        <v>45216</v>
      </c>
      <c r="C1477" t="s">
        <v>10</v>
      </c>
      <c r="D1477" t="str">
        <f t="shared" ca="1" si="94"/>
        <v>Furniture</v>
      </c>
      <c r="E1477" t="s">
        <v>66</v>
      </c>
      <c r="F1477" s="11">
        <v>17316</v>
      </c>
      <c r="G1477">
        <f t="shared" ca="1" si="95"/>
        <v>7</v>
      </c>
      <c r="H1477" s="11">
        <f ca="1">IF(Table1[[#This Row],[Category]]="Electronics",Table1[[#This Row],[Sales]]*0.6,
IF(Table1[[#This Row],[Category]]="Furniture",Table1[[#This Row],[Sales]]*0.75,
IF(Table1[[#This Row],[Category]]="Clothing",Table1[[#This Row],[Sales]]*0.65,
Table1[[#This Row],[Sales]]*0.7)))</f>
        <v>12987</v>
      </c>
      <c r="I1477" s="11">
        <f ca="1">Table1[[#This Row],[Sales]]-H1477</f>
        <v>4329</v>
      </c>
      <c r="J1477" s="2">
        <f ca="1">Table1[[#This Row],[Profit]]/Table1[[#This Row],[Sales]]</f>
        <v>0.25</v>
      </c>
      <c r="K1477" t="str">
        <f ca="1">TEXT(Table1[[#This Row],[Order_Date]],"mmm")</f>
        <v>Oct</v>
      </c>
      <c r="L1477">
        <f ca="1">YEAR(Table1[[#This Row],[Order_Date]])</f>
        <v>2023</v>
      </c>
    </row>
    <row r="1478" spans="1:12" x14ac:dyDescent="0.3">
      <c r="A1478">
        <f t="shared" si="92"/>
        <v>1477</v>
      </c>
      <c r="B1478" s="1">
        <f t="shared" ca="1" si="93"/>
        <v>45089</v>
      </c>
      <c r="C1478" t="s">
        <v>7</v>
      </c>
      <c r="D1478" t="str">
        <f t="shared" ca="1" si="94"/>
        <v>Office Supplies</v>
      </c>
      <c r="E1478" t="s">
        <v>52</v>
      </c>
      <c r="F1478" s="11">
        <v>9211</v>
      </c>
      <c r="G1478">
        <f t="shared" ca="1" si="95"/>
        <v>9</v>
      </c>
      <c r="H1478" s="11">
        <f ca="1">IF(Table1[[#This Row],[Category]]="Electronics",Table1[[#This Row],[Sales]]*0.6,
IF(Table1[[#This Row],[Category]]="Furniture",Table1[[#This Row],[Sales]]*0.75,
IF(Table1[[#This Row],[Category]]="Clothing",Table1[[#This Row],[Sales]]*0.65,
Table1[[#This Row],[Sales]]*0.7)))</f>
        <v>6447.7</v>
      </c>
      <c r="I1478" s="11">
        <f ca="1">Table1[[#This Row],[Sales]]-H1478</f>
        <v>2763.3</v>
      </c>
      <c r="J1478" s="2">
        <f ca="1">Table1[[#This Row],[Profit]]/Table1[[#This Row],[Sales]]</f>
        <v>0.30000000000000004</v>
      </c>
      <c r="K1478" t="str">
        <f ca="1">TEXT(Table1[[#This Row],[Order_Date]],"mmm")</f>
        <v>Jun</v>
      </c>
      <c r="L1478">
        <f ca="1">YEAR(Table1[[#This Row],[Order_Date]])</f>
        <v>2023</v>
      </c>
    </row>
    <row r="1479" spans="1:12" x14ac:dyDescent="0.3">
      <c r="A1479">
        <f t="shared" si="92"/>
        <v>1478</v>
      </c>
      <c r="B1479" s="1">
        <f t="shared" ca="1" si="93"/>
        <v>44963</v>
      </c>
      <c r="C1479" t="s">
        <v>8</v>
      </c>
      <c r="D1479" t="str">
        <f t="shared" ca="1" si="94"/>
        <v>Furniture</v>
      </c>
      <c r="E1479" t="s">
        <v>69</v>
      </c>
      <c r="F1479" s="11">
        <v>13417</v>
      </c>
      <c r="G1479">
        <f t="shared" ca="1" si="95"/>
        <v>9</v>
      </c>
      <c r="H1479" s="11">
        <f ca="1">IF(Table1[[#This Row],[Category]]="Electronics",Table1[[#This Row],[Sales]]*0.6,
IF(Table1[[#This Row],[Category]]="Furniture",Table1[[#This Row],[Sales]]*0.75,
IF(Table1[[#This Row],[Category]]="Clothing",Table1[[#This Row],[Sales]]*0.65,
Table1[[#This Row],[Sales]]*0.7)))</f>
        <v>10062.75</v>
      </c>
      <c r="I1479" s="11">
        <f ca="1">Table1[[#This Row],[Sales]]-H1479</f>
        <v>3354.25</v>
      </c>
      <c r="J1479" s="2">
        <f ca="1">Table1[[#This Row],[Profit]]/Table1[[#This Row],[Sales]]</f>
        <v>0.25</v>
      </c>
      <c r="K1479" t="str">
        <f ca="1">TEXT(Table1[[#This Row],[Order_Date]],"mmm")</f>
        <v>Feb</v>
      </c>
      <c r="L1479">
        <f ca="1">YEAR(Table1[[#This Row],[Order_Date]])</f>
        <v>2023</v>
      </c>
    </row>
    <row r="1480" spans="1:12" x14ac:dyDescent="0.3">
      <c r="A1480">
        <f t="shared" si="92"/>
        <v>1479</v>
      </c>
      <c r="B1480" s="1">
        <f t="shared" ca="1" si="93"/>
        <v>45172</v>
      </c>
      <c r="C1480" t="s">
        <v>9</v>
      </c>
      <c r="D1480" t="str">
        <f t="shared" ca="1" si="94"/>
        <v>Electronics</v>
      </c>
      <c r="E1480" t="s">
        <v>83</v>
      </c>
      <c r="F1480" s="11">
        <v>9084</v>
      </c>
      <c r="G1480">
        <f t="shared" ca="1" si="95"/>
        <v>8</v>
      </c>
      <c r="H1480" s="11">
        <f ca="1">IF(Table1[[#This Row],[Category]]="Electronics",Table1[[#This Row],[Sales]]*0.6,
IF(Table1[[#This Row],[Category]]="Furniture",Table1[[#This Row],[Sales]]*0.75,
IF(Table1[[#This Row],[Category]]="Clothing",Table1[[#This Row],[Sales]]*0.65,
Table1[[#This Row],[Sales]]*0.7)))</f>
        <v>5450.4</v>
      </c>
      <c r="I1480" s="11">
        <f ca="1">Table1[[#This Row],[Sales]]-H1480</f>
        <v>3633.6000000000004</v>
      </c>
      <c r="J1480" s="2">
        <f ca="1">Table1[[#This Row],[Profit]]/Table1[[#This Row],[Sales]]</f>
        <v>0.4</v>
      </c>
      <c r="K1480" t="str">
        <f ca="1">TEXT(Table1[[#This Row],[Order_Date]],"mmm")</f>
        <v>Sep</v>
      </c>
      <c r="L1480">
        <f ca="1">YEAR(Table1[[#This Row],[Order_Date]])</f>
        <v>2023</v>
      </c>
    </row>
    <row r="1481" spans="1:12" x14ac:dyDescent="0.3">
      <c r="A1481">
        <f t="shared" si="92"/>
        <v>1480</v>
      </c>
      <c r="B1481" s="1">
        <f t="shared" ca="1" si="93"/>
        <v>45246</v>
      </c>
      <c r="C1481" t="s">
        <v>10</v>
      </c>
      <c r="D1481" t="str">
        <f t="shared" ca="1" si="94"/>
        <v>Electronics</v>
      </c>
      <c r="E1481" t="s">
        <v>63</v>
      </c>
      <c r="F1481" s="11">
        <v>19482</v>
      </c>
      <c r="G1481">
        <f t="shared" ca="1" si="95"/>
        <v>3</v>
      </c>
      <c r="H1481" s="11">
        <f ca="1">IF(Table1[[#This Row],[Category]]="Electronics",Table1[[#This Row],[Sales]]*0.6,
IF(Table1[[#This Row],[Category]]="Furniture",Table1[[#This Row],[Sales]]*0.75,
IF(Table1[[#This Row],[Category]]="Clothing",Table1[[#This Row],[Sales]]*0.65,
Table1[[#This Row],[Sales]]*0.7)))</f>
        <v>11689.199999999999</v>
      </c>
      <c r="I1481" s="11">
        <f ca="1">Table1[[#This Row],[Sales]]-H1481</f>
        <v>7792.8000000000011</v>
      </c>
      <c r="J1481" s="2">
        <f ca="1">Table1[[#This Row],[Profit]]/Table1[[#This Row],[Sales]]</f>
        <v>0.40000000000000008</v>
      </c>
      <c r="K1481" t="str">
        <f ca="1">TEXT(Table1[[#This Row],[Order_Date]],"mmm")</f>
        <v>Nov</v>
      </c>
      <c r="L1481">
        <f ca="1">YEAR(Table1[[#This Row],[Order_Date]])</f>
        <v>2023</v>
      </c>
    </row>
    <row r="1482" spans="1:12" x14ac:dyDescent="0.3">
      <c r="A1482">
        <f t="shared" si="92"/>
        <v>1481</v>
      </c>
      <c r="B1482" s="1">
        <f t="shared" ca="1" si="93"/>
        <v>45007</v>
      </c>
      <c r="C1482" t="s">
        <v>7</v>
      </c>
      <c r="D1482" t="str">
        <f t="shared" ca="1" si="94"/>
        <v>Clothing</v>
      </c>
      <c r="E1482" t="s">
        <v>38</v>
      </c>
      <c r="F1482" s="11">
        <v>3276</v>
      </c>
      <c r="G1482">
        <f t="shared" ca="1" si="95"/>
        <v>9</v>
      </c>
      <c r="H1482" s="11">
        <f ca="1">IF(Table1[[#This Row],[Category]]="Electronics",Table1[[#This Row],[Sales]]*0.6,
IF(Table1[[#This Row],[Category]]="Furniture",Table1[[#This Row],[Sales]]*0.75,
IF(Table1[[#This Row],[Category]]="Clothing",Table1[[#This Row],[Sales]]*0.65,
Table1[[#This Row],[Sales]]*0.7)))</f>
        <v>2129.4</v>
      </c>
      <c r="I1482" s="11">
        <f ca="1">Table1[[#This Row],[Sales]]-H1482</f>
        <v>1146.5999999999999</v>
      </c>
      <c r="J1482" s="2">
        <f ca="1">Table1[[#This Row],[Profit]]/Table1[[#This Row],[Sales]]</f>
        <v>0.35</v>
      </c>
      <c r="K1482" t="str">
        <f ca="1">TEXT(Table1[[#This Row],[Order_Date]],"mmm")</f>
        <v>Mar</v>
      </c>
      <c r="L1482">
        <f ca="1">YEAR(Table1[[#This Row],[Order_Date]])</f>
        <v>2023</v>
      </c>
    </row>
    <row r="1483" spans="1:12" x14ac:dyDescent="0.3">
      <c r="A1483">
        <f t="shared" si="92"/>
        <v>1482</v>
      </c>
      <c r="B1483" s="1">
        <f t="shared" ca="1" si="93"/>
        <v>45082</v>
      </c>
      <c r="C1483" t="s">
        <v>8</v>
      </c>
      <c r="D1483" t="str">
        <f t="shared" ca="1" si="94"/>
        <v>Clothing</v>
      </c>
      <c r="E1483" t="s">
        <v>65</v>
      </c>
      <c r="F1483" s="11">
        <v>2068</v>
      </c>
      <c r="G1483">
        <f t="shared" ca="1" si="95"/>
        <v>7</v>
      </c>
      <c r="H1483" s="11">
        <f ca="1">IF(Table1[[#This Row],[Category]]="Electronics",Table1[[#This Row],[Sales]]*0.6,
IF(Table1[[#This Row],[Category]]="Furniture",Table1[[#This Row],[Sales]]*0.75,
IF(Table1[[#This Row],[Category]]="Clothing",Table1[[#This Row],[Sales]]*0.65,
Table1[[#This Row],[Sales]]*0.7)))</f>
        <v>1344.2</v>
      </c>
      <c r="I1483" s="11">
        <f ca="1">Table1[[#This Row],[Sales]]-H1483</f>
        <v>723.8</v>
      </c>
      <c r="J1483" s="2">
        <f ca="1">Table1[[#This Row],[Profit]]/Table1[[#This Row],[Sales]]</f>
        <v>0.35</v>
      </c>
      <c r="K1483" t="str">
        <f ca="1">TEXT(Table1[[#This Row],[Order_Date]],"mmm")</f>
        <v>Jun</v>
      </c>
      <c r="L1483">
        <f ca="1">YEAR(Table1[[#This Row],[Order_Date]])</f>
        <v>2023</v>
      </c>
    </row>
    <row r="1484" spans="1:12" x14ac:dyDescent="0.3">
      <c r="A1484">
        <f t="shared" si="92"/>
        <v>1483</v>
      </c>
      <c r="B1484" s="1">
        <f t="shared" ca="1" si="93"/>
        <v>45245</v>
      </c>
      <c r="C1484" t="s">
        <v>9</v>
      </c>
      <c r="D1484" t="str">
        <f t="shared" ca="1" si="94"/>
        <v>Clothing</v>
      </c>
      <c r="E1484" t="s">
        <v>77</v>
      </c>
      <c r="F1484" s="11">
        <v>5000</v>
      </c>
      <c r="G1484">
        <f t="shared" ca="1" si="95"/>
        <v>9</v>
      </c>
      <c r="H1484" s="11">
        <f ca="1">IF(Table1[[#This Row],[Category]]="Electronics",Table1[[#This Row],[Sales]]*0.6,
IF(Table1[[#This Row],[Category]]="Furniture",Table1[[#This Row],[Sales]]*0.75,
IF(Table1[[#This Row],[Category]]="Clothing",Table1[[#This Row],[Sales]]*0.65,
Table1[[#This Row],[Sales]]*0.7)))</f>
        <v>3250</v>
      </c>
      <c r="I1484" s="11">
        <f ca="1">Table1[[#This Row],[Sales]]-H1484</f>
        <v>1750</v>
      </c>
      <c r="J1484" s="2">
        <f ca="1">Table1[[#This Row],[Profit]]/Table1[[#This Row],[Sales]]</f>
        <v>0.35</v>
      </c>
      <c r="K1484" t="str">
        <f ca="1">TEXT(Table1[[#This Row],[Order_Date]],"mmm")</f>
        <v>Nov</v>
      </c>
      <c r="L1484">
        <f ca="1">YEAR(Table1[[#This Row],[Order_Date]])</f>
        <v>2023</v>
      </c>
    </row>
    <row r="1485" spans="1:12" x14ac:dyDescent="0.3">
      <c r="A1485">
        <f t="shared" si="92"/>
        <v>1484</v>
      </c>
      <c r="B1485" s="1">
        <f t="shared" ca="1" si="93"/>
        <v>45218</v>
      </c>
      <c r="C1485" t="s">
        <v>10</v>
      </c>
      <c r="D1485" t="str">
        <f t="shared" ca="1" si="94"/>
        <v>Electronics</v>
      </c>
      <c r="E1485" t="s">
        <v>76</v>
      </c>
      <c r="F1485" s="11">
        <v>6266</v>
      </c>
      <c r="G1485">
        <f t="shared" ca="1" si="95"/>
        <v>5</v>
      </c>
      <c r="H1485" s="11">
        <f ca="1">IF(Table1[[#This Row],[Category]]="Electronics",Table1[[#This Row],[Sales]]*0.6,
IF(Table1[[#This Row],[Category]]="Furniture",Table1[[#This Row],[Sales]]*0.75,
IF(Table1[[#This Row],[Category]]="Clothing",Table1[[#This Row],[Sales]]*0.65,
Table1[[#This Row],[Sales]]*0.7)))</f>
        <v>3759.6</v>
      </c>
      <c r="I1485" s="11">
        <f ca="1">Table1[[#This Row],[Sales]]-H1485</f>
        <v>2506.4</v>
      </c>
      <c r="J1485" s="2">
        <f ca="1">Table1[[#This Row],[Profit]]/Table1[[#This Row],[Sales]]</f>
        <v>0.4</v>
      </c>
      <c r="K1485" t="str">
        <f ca="1">TEXT(Table1[[#This Row],[Order_Date]],"mmm")</f>
        <v>Oct</v>
      </c>
      <c r="L1485">
        <f ca="1">YEAR(Table1[[#This Row],[Order_Date]])</f>
        <v>2023</v>
      </c>
    </row>
    <row r="1486" spans="1:12" x14ac:dyDescent="0.3">
      <c r="A1486">
        <f t="shared" si="92"/>
        <v>1485</v>
      </c>
      <c r="B1486" s="1">
        <f t="shared" ca="1" si="93"/>
        <v>45012</v>
      </c>
      <c r="C1486" t="s">
        <v>7</v>
      </c>
      <c r="D1486" t="str">
        <f t="shared" ca="1" si="94"/>
        <v>Clothing</v>
      </c>
      <c r="E1486" t="s">
        <v>47</v>
      </c>
      <c r="F1486" s="11">
        <v>11155</v>
      </c>
      <c r="G1486">
        <f t="shared" ca="1" si="95"/>
        <v>6</v>
      </c>
      <c r="H1486" s="11">
        <f ca="1">IF(Table1[[#This Row],[Category]]="Electronics",Table1[[#This Row],[Sales]]*0.6,
IF(Table1[[#This Row],[Category]]="Furniture",Table1[[#This Row],[Sales]]*0.75,
IF(Table1[[#This Row],[Category]]="Clothing",Table1[[#This Row],[Sales]]*0.65,
Table1[[#This Row],[Sales]]*0.7)))</f>
        <v>7250.75</v>
      </c>
      <c r="I1486" s="11">
        <f ca="1">Table1[[#This Row],[Sales]]-H1486</f>
        <v>3904.25</v>
      </c>
      <c r="J1486" s="2">
        <f ca="1">Table1[[#This Row],[Profit]]/Table1[[#This Row],[Sales]]</f>
        <v>0.35</v>
      </c>
      <c r="K1486" t="str">
        <f ca="1">TEXT(Table1[[#This Row],[Order_Date]],"mmm")</f>
        <v>Mar</v>
      </c>
      <c r="L1486">
        <f ca="1">YEAR(Table1[[#This Row],[Order_Date]])</f>
        <v>2023</v>
      </c>
    </row>
    <row r="1487" spans="1:12" x14ac:dyDescent="0.3">
      <c r="A1487">
        <f t="shared" si="92"/>
        <v>1486</v>
      </c>
      <c r="B1487" s="1">
        <f t="shared" ca="1" si="93"/>
        <v>44959</v>
      </c>
      <c r="C1487" t="s">
        <v>8</v>
      </c>
      <c r="D1487" t="str">
        <f t="shared" ca="1" si="94"/>
        <v>Furniture</v>
      </c>
      <c r="E1487" t="s">
        <v>47</v>
      </c>
      <c r="F1487" s="11">
        <v>9954</v>
      </c>
      <c r="G1487">
        <f t="shared" ca="1" si="95"/>
        <v>3</v>
      </c>
      <c r="H1487" s="11">
        <f ca="1">IF(Table1[[#This Row],[Category]]="Electronics",Table1[[#This Row],[Sales]]*0.6,
IF(Table1[[#This Row],[Category]]="Furniture",Table1[[#This Row],[Sales]]*0.75,
IF(Table1[[#This Row],[Category]]="Clothing",Table1[[#This Row],[Sales]]*0.65,
Table1[[#This Row],[Sales]]*0.7)))</f>
        <v>7465.5</v>
      </c>
      <c r="I1487" s="11">
        <f ca="1">Table1[[#This Row],[Sales]]-H1487</f>
        <v>2488.5</v>
      </c>
      <c r="J1487" s="2">
        <f ca="1">Table1[[#This Row],[Profit]]/Table1[[#This Row],[Sales]]</f>
        <v>0.25</v>
      </c>
      <c r="K1487" t="str">
        <f ca="1">TEXT(Table1[[#This Row],[Order_Date]],"mmm")</f>
        <v>Feb</v>
      </c>
      <c r="L1487">
        <f ca="1">YEAR(Table1[[#This Row],[Order_Date]])</f>
        <v>2023</v>
      </c>
    </row>
    <row r="1488" spans="1:12" x14ac:dyDescent="0.3">
      <c r="A1488">
        <f t="shared" si="92"/>
        <v>1487</v>
      </c>
      <c r="B1488" s="1">
        <f t="shared" ca="1" si="93"/>
        <v>44939</v>
      </c>
      <c r="C1488" t="s">
        <v>9</v>
      </c>
      <c r="D1488" t="str">
        <f t="shared" ca="1" si="94"/>
        <v>Clothing</v>
      </c>
      <c r="E1488" t="s">
        <v>63</v>
      </c>
      <c r="F1488" s="11">
        <v>12414</v>
      </c>
      <c r="G1488">
        <f t="shared" ca="1" si="95"/>
        <v>3</v>
      </c>
      <c r="H1488" s="11">
        <f ca="1">IF(Table1[[#This Row],[Category]]="Electronics",Table1[[#This Row],[Sales]]*0.6,
IF(Table1[[#This Row],[Category]]="Furniture",Table1[[#This Row],[Sales]]*0.75,
IF(Table1[[#This Row],[Category]]="Clothing",Table1[[#This Row],[Sales]]*0.65,
Table1[[#This Row],[Sales]]*0.7)))</f>
        <v>8069.1</v>
      </c>
      <c r="I1488" s="11">
        <f ca="1">Table1[[#This Row],[Sales]]-H1488</f>
        <v>4344.8999999999996</v>
      </c>
      <c r="J1488" s="2">
        <f ca="1">Table1[[#This Row],[Profit]]/Table1[[#This Row],[Sales]]</f>
        <v>0.35</v>
      </c>
      <c r="K1488" t="str">
        <f ca="1">TEXT(Table1[[#This Row],[Order_Date]],"mmm")</f>
        <v>Jan</v>
      </c>
      <c r="L1488">
        <f ca="1">YEAR(Table1[[#This Row],[Order_Date]])</f>
        <v>2023</v>
      </c>
    </row>
    <row r="1489" spans="1:12" x14ac:dyDescent="0.3">
      <c r="A1489">
        <f t="shared" si="92"/>
        <v>1488</v>
      </c>
      <c r="B1489" s="1">
        <f t="shared" ca="1" si="93"/>
        <v>44966</v>
      </c>
      <c r="C1489" t="s">
        <v>10</v>
      </c>
      <c r="D1489" t="str">
        <f t="shared" ca="1" si="94"/>
        <v>Office Supplies</v>
      </c>
      <c r="E1489" t="s">
        <v>51</v>
      </c>
      <c r="F1489" s="11">
        <v>9943</v>
      </c>
      <c r="G1489">
        <f t="shared" ca="1" si="95"/>
        <v>7</v>
      </c>
      <c r="H1489" s="11">
        <f ca="1">IF(Table1[[#This Row],[Category]]="Electronics",Table1[[#This Row],[Sales]]*0.6,
IF(Table1[[#This Row],[Category]]="Furniture",Table1[[#This Row],[Sales]]*0.75,
IF(Table1[[#This Row],[Category]]="Clothing",Table1[[#This Row],[Sales]]*0.65,
Table1[[#This Row],[Sales]]*0.7)))</f>
        <v>6960.0999999999995</v>
      </c>
      <c r="I1489" s="11">
        <f ca="1">Table1[[#This Row],[Sales]]-H1489</f>
        <v>2982.9000000000005</v>
      </c>
      <c r="J1489" s="2">
        <f ca="1">Table1[[#This Row],[Profit]]/Table1[[#This Row],[Sales]]</f>
        <v>0.30000000000000004</v>
      </c>
      <c r="K1489" t="str">
        <f ca="1">TEXT(Table1[[#This Row],[Order_Date]],"mmm")</f>
        <v>Feb</v>
      </c>
      <c r="L1489">
        <f ca="1">YEAR(Table1[[#This Row],[Order_Date]])</f>
        <v>2023</v>
      </c>
    </row>
    <row r="1490" spans="1:12" x14ac:dyDescent="0.3">
      <c r="A1490">
        <f t="shared" si="92"/>
        <v>1489</v>
      </c>
      <c r="B1490" s="1">
        <f t="shared" ca="1" si="93"/>
        <v>45286</v>
      </c>
      <c r="C1490" t="s">
        <v>7</v>
      </c>
      <c r="D1490" t="str">
        <f t="shared" ca="1" si="94"/>
        <v>Electronics</v>
      </c>
      <c r="E1490" t="s">
        <v>56</v>
      </c>
      <c r="F1490" s="11">
        <v>17929</v>
      </c>
      <c r="G1490">
        <f t="shared" ca="1" si="95"/>
        <v>3</v>
      </c>
      <c r="H1490" s="11">
        <f ca="1">IF(Table1[[#This Row],[Category]]="Electronics",Table1[[#This Row],[Sales]]*0.6,
IF(Table1[[#This Row],[Category]]="Furniture",Table1[[#This Row],[Sales]]*0.75,
IF(Table1[[#This Row],[Category]]="Clothing",Table1[[#This Row],[Sales]]*0.65,
Table1[[#This Row],[Sales]]*0.7)))</f>
        <v>10757.4</v>
      </c>
      <c r="I1490" s="11">
        <f ca="1">Table1[[#This Row],[Sales]]-H1490</f>
        <v>7171.6</v>
      </c>
      <c r="J1490" s="2">
        <f ca="1">Table1[[#This Row],[Profit]]/Table1[[#This Row],[Sales]]</f>
        <v>0.4</v>
      </c>
      <c r="K1490" t="str">
        <f ca="1">TEXT(Table1[[#This Row],[Order_Date]],"mmm")</f>
        <v>Dec</v>
      </c>
      <c r="L1490">
        <f ca="1">YEAR(Table1[[#This Row],[Order_Date]])</f>
        <v>2023</v>
      </c>
    </row>
    <row r="1491" spans="1:12" x14ac:dyDescent="0.3">
      <c r="A1491">
        <f t="shared" si="92"/>
        <v>1490</v>
      </c>
      <c r="B1491" s="1">
        <f t="shared" ca="1" si="93"/>
        <v>45031</v>
      </c>
      <c r="C1491" t="s">
        <v>8</v>
      </c>
      <c r="D1491" t="str">
        <f t="shared" ca="1" si="94"/>
        <v>Clothing</v>
      </c>
      <c r="E1491" t="s">
        <v>66</v>
      </c>
      <c r="F1491" s="11">
        <v>1542</v>
      </c>
      <c r="G1491">
        <f t="shared" ca="1" si="95"/>
        <v>4</v>
      </c>
      <c r="H1491" s="11">
        <f ca="1">IF(Table1[[#This Row],[Category]]="Electronics",Table1[[#This Row],[Sales]]*0.6,
IF(Table1[[#This Row],[Category]]="Furniture",Table1[[#This Row],[Sales]]*0.75,
IF(Table1[[#This Row],[Category]]="Clothing",Table1[[#This Row],[Sales]]*0.65,
Table1[[#This Row],[Sales]]*0.7)))</f>
        <v>1002.3000000000001</v>
      </c>
      <c r="I1491" s="11">
        <f ca="1">Table1[[#This Row],[Sales]]-H1491</f>
        <v>539.69999999999993</v>
      </c>
      <c r="J1491" s="2">
        <f ca="1">Table1[[#This Row],[Profit]]/Table1[[#This Row],[Sales]]</f>
        <v>0.35</v>
      </c>
      <c r="K1491" t="str">
        <f ca="1">TEXT(Table1[[#This Row],[Order_Date]],"mmm")</f>
        <v>Apr</v>
      </c>
      <c r="L1491">
        <f ca="1">YEAR(Table1[[#This Row],[Order_Date]])</f>
        <v>2023</v>
      </c>
    </row>
    <row r="1492" spans="1:12" x14ac:dyDescent="0.3">
      <c r="A1492">
        <f t="shared" si="92"/>
        <v>1491</v>
      </c>
      <c r="B1492" s="1">
        <f t="shared" ca="1" si="93"/>
        <v>45284</v>
      </c>
      <c r="C1492" t="s">
        <v>9</v>
      </c>
      <c r="D1492" t="str">
        <f t="shared" ca="1" si="94"/>
        <v>Electronics</v>
      </c>
      <c r="E1492" t="s">
        <v>74</v>
      </c>
      <c r="F1492" s="11">
        <v>17953</v>
      </c>
      <c r="G1492">
        <f t="shared" ca="1" si="95"/>
        <v>10</v>
      </c>
      <c r="H1492" s="11">
        <f ca="1">IF(Table1[[#This Row],[Category]]="Electronics",Table1[[#This Row],[Sales]]*0.6,
IF(Table1[[#This Row],[Category]]="Furniture",Table1[[#This Row],[Sales]]*0.75,
IF(Table1[[#This Row],[Category]]="Clothing",Table1[[#This Row],[Sales]]*0.65,
Table1[[#This Row],[Sales]]*0.7)))</f>
        <v>10771.8</v>
      </c>
      <c r="I1492" s="11">
        <f ca="1">Table1[[#This Row],[Sales]]-H1492</f>
        <v>7181.2000000000007</v>
      </c>
      <c r="J1492" s="2">
        <f ca="1">Table1[[#This Row],[Profit]]/Table1[[#This Row],[Sales]]</f>
        <v>0.4</v>
      </c>
      <c r="K1492" t="str">
        <f ca="1">TEXT(Table1[[#This Row],[Order_Date]],"mmm")</f>
        <v>Dec</v>
      </c>
      <c r="L1492">
        <f ca="1">YEAR(Table1[[#This Row],[Order_Date]])</f>
        <v>2023</v>
      </c>
    </row>
    <row r="1493" spans="1:12" x14ac:dyDescent="0.3">
      <c r="A1493">
        <f t="shared" si="92"/>
        <v>1492</v>
      </c>
      <c r="B1493" s="1">
        <f t="shared" ca="1" si="93"/>
        <v>44932</v>
      </c>
      <c r="C1493" t="s">
        <v>10</v>
      </c>
      <c r="D1493" t="str">
        <f t="shared" ca="1" si="94"/>
        <v>Office Supplies</v>
      </c>
      <c r="E1493" t="s">
        <v>50</v>
      </c>
      <c r="F1493" s="11">
        <v>18732</v>
      </c>
      <c r="G1493">
        <f t="shared" ca="1" si="95"/>
        <v>3</v>
      </c>
      <c r="H1493" s="11">
        <f ca="1">IF(Table1[[#This Row],[Category]]="Electronics",Table1[[#This Row],[Sales]]*0.6,
IF(Table1[[#This Row],[Category]]="Furniture",Table1[[#This Row],[Sales]]*0.75,
IF(Table1[[#This Row],[Category]]="Clothing",Table1[[#This Row],[Sales]]*0.65,
Table1[[#This Row],[Sales]]*0.7)))</f>
        <v>13112.4</v>
      </c>
      <c r="I1493" s="11">
        <f ca="1">Table1[[#This Row],[Sales]]-H1493</f>
        <v>5619.6</v>
      </c>
      <c r="J1493" s="2">
        <f ca="1">Table1[[#This Row],[Profit]]/Table1[[#This Row],[Sales]]</f>
        <v>0.30000000000000004</v>
      </c>
      <c r="K1493" t="str">
        <f ca="1">TEXT(Table1[[#This Row],[Order_Date]],"mmm")</f>
        <v>Jan</v>
      </c>
      <c r="L1493">
        <f ca="1">YEAR(Table1[[#This Row],[Order_Date]])</f>
        <v>2023</v>
      </c>
    </row>
    <row r="1494" spans="1:12" x14ac:dyDescent="0.3">
      <c r="A1494">
        <f t="shared" si="92"/>
        <v>1493</v>
      </c>
      <c r="B1494" s="1">
        <f t="shared" ca="1" si="93"/>
        <v>45122</v>
      </c>
      <c r="C1494" t="s">
        <v>7</v>
      </c>
      <c r="D1494" t="str">
        <f t="shared" ca="1" si="94"/>
        <v>Office Supplies</v>
      </c>
      <c r="E1494" t="s">
        <v>43</v>
      </c>
      <c r="F1494" s="11">
        <v>10087</v>
      </c>
      <c r="G1494">
        <f t="shared" ca="1" si="95"/>
        <v>4</v>
      </c>
      <c r="H1494" s="11">
        <f ca="1">IF(Table1[[#This Row],[Category]]="Electronics",Table1[[#This Row],[Sales]]*0.6,
IF(Table1[[#This Row],[Category]]="Furniture",Table1[[#This Row],[Sales]]*0.75,
IF(Table1[[#This Row],[Category]]="Clothing",Table1[[#This Row],[Sales]]*0.65,
Table1[[#This Row],[Sales]]*0.7)))</f>
        <v>7060.9</v>
      </c>
      <c r="I1494" s="11">
        <f ca="1">Table1[[#This Row],[Sales]]-H1494</f>
        <v>3026.1000000000004</v>
      </c>
      <c r="J1494" s="2">
        <f ca="1">Table1[[#This Row],[Profit]]/Table1[[#This Row],[Sales]]</f>
        <v>0.30000000000000004</v>
      </c>
      <c r="K1494" t="str">
        <f ca="1">TEXT(Table1[[#This Row],[Order_Date]],"mmm")</f>
        <v>Jul</v>
      </c>
      <c r="L1494">
        <f ca="1">YEAR(Table1[[#This Row],[Order_Date]])</f>
        <v>2023</v>
      </c>
    </row>
    <row r="1495" spans="1:12" x14ac:dyDescent="0.3">
      <c r="A1495">
        <f t="shared" si="92"/>
        <v>1494</v>
      </c>
      <c r="B1495" s="1">
        <f t="shared" ca="1" si="93"/>
        <v>45113</v>
      </c>
      <c r="C1495" t="s">
        <v>8</v>
      </c>
      <c r="D1495" t="str">
        <f t="shared" ca="1" si="94"/>
        <v>Electronics</v>
      </c>
      <c r="E1495" t="s">
        <v>39</v>
      </c>
      <c r="F1495" s="11">
        <v>621</v>
      </c>
      <c r="G1495">
        <f t="shared" ca="1" si="95"/>
        <v>6</v>
      </c>
      <c r="H1495" s="11">
        <f ca="1">IF(Table1[[#This Row],[Category]]="Electronics",Table1[[#This Row],[Sales]]*0.6,
IF(Table1[[#This Row],[Category]]="Furniture",Table1[[#This Row],[Sales]]*0.75,
IF(Table1[[#This Row],[Category]]="Clothing",Table1[[#This Row],[Sales]]*0.65,
Table1[[#This Row],[Sales]]*0.7)))</f>
        <v>372.59999999999997</v>
      </c>
      <c r="I1495" s="11">
        <f ca="1">Table1[[#This Row],[Sales]]-H1495</f>
        <v>248.40000000000003</v>
      </c>
      <c r="J1495" s="2">
        <f ca="1">Table1[[#This Row],[Profit]]/Table1[[#This Row],[Sales]]</f>
        <v>0.40000000000000008</v>
      </c>
      <c r="K1495" t="str">
        <f ca="1">TEXT(Table1[[#This Row],[Order_Date]],"mmm")</f>
        <v>Jul</v>
      </c>
      <c r="L1495">
        <f ca="1">YEAR(Table1[[#This Row],[Order_Date]])</f>
        <v>2023</v>
      </c>
    </row>
    <row r="1496" spans="1:12" x14ac:dyDescent="0.3">
      <c r="A1496">
        <f t="shared" si="92"/>
        <v>1495</v>
      </c>
      <c r="B1496" s="1">
        <f t="shared" ca="1" si="93"/>
        <v>44934</v>
      </c>
      <c r="C1496" t="s">
        <v>9</v>
      </c>
      <c r="D1496" t="str">
        <f t="shared" ca="1" si="94"/>
        <v>Office Supplies</v>
      </c>
      <c r="E1496" t="s">
        <v>57</v>
      </c>
      <c r="F1496" s="11">
        <v>10974</v>
      </c>
      <c r="G1496">
        <f t="shared" ca="1" si="95"/>
        <v>7</v>
      </c>
      <c r="H1496" s="11">
        <f ca="1">IF(Table1[[#This Row],[Category]]="Electronics",Table1[[#This Row],[Sales]]*0.6,
IF(Table1[[#This Row],[Category]]="Furniture",Table1[[#This Row],[Sales]]*0.75,
IF(Table1[[#This Row],[Category]]="Clothing",Table1[[#This Row],[Sales]]*0.65,
Table1[[#This Row],[Sales]]*0.7)))</f>
        <v>7681.7999999999993</v>
      </c>
      <c r="I1496" s="11">
        <f ca="1">Table1[[#This Row],[Sales]]-H1496</f>
        <v>3292.2000000000007</v>
      </c>
      <c r="J1496" s="2">
        <f ca="1">Table1[[#This Row],[Profit]]/Table1[[#This Row],[Sales]]</f>
        <v>0.30000000000000004</v>
      </c>
      <c r="K1496" t="str">
        <f ca="1">TEXT(Table1[[#This Row],[Order_Date]],"mmm")</f>
        <v>Jan</v>
      </c>
      <c r="L1496">
        <f ca="1">YEAR(Table1[[#This Row],[Order_Date]])</f>
        <v>2023</v>
      </c>
    </row>
    <row r="1497" spans="1:12" x14ac:dyDescent="0.3">
      <c r="A1497">
        <f t="shared" si="92"/>
        <v>1496</v>
      </c>
      <c r="B1497" s="1">
        <f t="shared" ca="1" si="93"/>
        <v>45202</v>
      </c>
      <c r="C1497" t="s">
        <v>10</v>
      </c>
      <c r="D1497" t="str">
        <f t="shared" ca="1" si="94"/>
        <v>Electronics</v>
      </c>
      <c r="E1497" t="s">
        <v>65</v>
      </c>
      <c r="F1497" s="11">
        <v>8637</v>
      </c>
      <c r="G1497">
        <f t="shared" ca="1" si="95"/>
        <v>4</v>
      </c>
      <c r="H1497" s="11">
        <f ca="1">IF(Table1[[#This Row],[Category]]="Electronics",Table1[[#This Row],[Sales]]*0.6,
IF(Table1[[#This Row],[Category]]="Furniture",Table1[[#This Row],[Sales]]*0.75,
IF(Table1[[#This Row],[Category]]="Clothing",Table1[[#This Row],[Sales]]*0.65,
Table1[[#This Row],[Sales]]*0.7)))</f>
        <v>5182.2</v>
      </c>
      <c r="I1497" s="11">
        <f ca="1">Table1[[#This Row],[Sales]]-H1497</f>
        <v>3454.8</v>
      </c>
      <c r="J1497" s="2">
        <f ca="1">Table1[[#This Row],[Profit]]/Table1[[#This Row],[Sales]]</f>
        <v>0.4</v>
      </c>
      <c r="K1497" t="str">
        <f ca="1">TEXT(Table1[[#This Row],[Order_Date]],"mmm")</f>
        <v>Oct</v>
      </c>
      <c r="L1497">
        <f ca="1">YEAR(Table1[[#This Row],[Order_Date]])</f>
        <v>2023</v>
      </c>
    </row>
    <row r="1498" spans="1:12" x14ac:dyDescent="0.3">
      <c r="A1498">
        <f t="shared" si="92"/>
        <v>1497</v>
      </c>
      <c r="B1498" s="1">
        <f t="shared" ca="1" si="93"/>
        <v>45280</v>
      </c>
      <c r="C1498" t="s">
        <v>7</v>
      </c>
      <c r="D1498" t="str">
        <f t="shared" ca="1" si="94"/>
        <v>Furniture</v>
      </c>
      <c r="E1498" t="s">
        <v>56</v>
      </c>
      <c r="F1498" s="11">
        <v>8781</v>
      </c>
      <c r="G1498">
        <f t="shared" ca="1" si="95"/>
        <v>3</v>
      </c>
      <c r="H1498" s="11">
        <f ca="1">IF(Table1[[#This Row],[Category]]="Electronics",Table1[[#This Row],[Sales]]*0.6,
IF(Table1[[#This Row],[Category]]="Furniture",Table1[[#This Row],[Sales]]*0.75,
IF(Table1[[#This Row],[Category]]="Clothing",Table1[[#This Row],[Sales]]*0.65,
Table1[[#This Row],[Sales]]*0.7)))</f>
        <v>6585.75</v>
      </c>
      <c r="I1498" s="11">
        <f ca="1">Table1[[#This Row],[Sales]]-H1498</f>
        <v>2195.25</v>
      </c>
      <c r="J1498" s="2">
        <f ca="1">Table1[[#This Row],[Profit]]/Table1[[#This Row],[Sales]]</f>
        <v>0.25</v>
      </c>
      <c r="K1498" t="str">
        <f ca="1">TEXT(Table1[[#This Row],[Order_Date]],"mmm")</f>
        <v>Dec</v>
      </c>
      <c r="L1498">
        <f ca="1">YEAR(Table1[[#This Row],[Order_Date]])</f>
        <v>2023</v>
      </c>
    </row>
    <row r="1499" spans="1:12" x14ac:dyDescent="0.3">
      <c r="A1499">
        <f t="shared" si="92"/>
        <v>1498</v>
      </c>
      <c r="B1499" s="1">
        <f t="shared" ca="1" si="93"/>
        <v>45129</v>
      </c>
      <c r="C1499" t="s">
        <v>8</v>
      </c>
      <c r="D1499" t="str">
        <f t="shared" ca="1" si="94"/>
        <v>Electronics</v>
      </c>
      <c r="E1499" t="s">
        <v>75</v>
      </c>
      <c r="F1499" s="11">
        <v>12516</v>
      </c>
      <c r="G1499">
        <f t="shared" ca="1" si="95"/>
        <v>2</v>
      </c>
      <c r="H1499" s="11">
        <f ca="1">IF(Table1[[#This Row],[Category]]="Electronics",Table1[[#This Row],[Sales]]*0.6,
IF(Table1[[#This Row],[Category]]="Furniture",Table1[[#This Row],[Sales]]*0.75,
IF(Table1[[#This Row],[Category]]="Clothing",Table1[[#This Row],[Sales]]*0.65,
Table1[[#This Row],[Sales]]*0.7)))</f>
        <v>7509.5999999999995</v>
      </c>
      <c r="I1499" s="11">
        <f ca="1">Table1[[#This Row],[Sales]]-H1499</f>
        <v>5006.4000000000005</v>
      </c>
      <c r="J1499" s="2">
        <f ca="1">Table1[[#This Row],[Profit]]/Table1[[#This Row],[Sales]]</f>
        <v>0.4</v>
      </c>
      <c r="K1499" t="str">
        <f ca="1">TEXT(Table1[[#This Row],[Order_Date]],"mmm")</f>
        <v>Jul</v>
      </c>
      <c r="L1499">
        <f ca="1">YEAR(Table1[[#This Row],[Order_Date]])</f>
        <v>2023</v>
      </c>
    </row>
    <row r="1500" spans="1:12" x14ac:dyDescent="0.3">
      <c r="A1500">
        <f t="shared" si="92"/>
        <v>1499</v>
      </c>
      <c r="B1500" s="1">
        <f t="shared" ca="1" si="93"/>
        <v>45115</v>
      </c>
      <c r="C1500" t="s">
        <v>9</v>
      </c>
      <c r="D1500" t="str">
        <f t="shared" ca="1" si="94"/>
        <v>Electronics</v>
      </c>
      <c r="E1500" t="s">
        <v>75</v>
      </c>
      <c r="F1500" s="11">
        <v>14233</v>
      </c>
      <c r="G1500">
        <f t="shared" ca="1" si="95"/>
        <v>8</v>
      </c>
      <c r="H1500" s="11">
        <f ca="1">IF(Table1[[#This Row],[Category]]="Electronics",Table1[[#This Row],[Sales]]*0.6,
IF(Table1[[#This Row],[Category]]="Furniture",Table1[[#This Row],[Sales]]*0.75,
IF(Table1[[#This Row],[Category]]="Clothing",Table1[[#This Row],[Sales]]*0.65,
Table1[[#This Row],[Sales]]*0.7)))</f>
        <v>8539.7999999999993</v>
      </c>
      <c r="I1500" s="11">
        <f ca="1">Table1[[#This Row],[Sales]]-H1500</f>
        <v>5693.2000000000007</v>
      </c>
      <c r="J1500" s="2">
        <f ca="1">Table1[[#This Row],[Profit]]/Table1[[#This Row],[Sales]]</f>
        <v>0.40000000000000008</v>
      </c>
      <c r="K1500" t="str">
        <f ca="1">TEXT(Table1[[#This Row],[Order_Date]],"mmm")</f>
        <v>Jul</v>
      </c>
      <c r="L1500">
        <f ca="1">YEAR(Table1[[#This Row],[Order_Date]])</f>
        <v>2023</v>
      </c>
    </row>
    <row r="1501" spans="1:12" x14ac:dyDescent="0.3">
      <c r="A1501">
        <f t="shared" si="92"/>
        <v>1500</v>
      </c>
      <c r="B1501" s="1">
        <f t="shared" ca="1" si="93"/>
        <v>45192</v>
      </c>
      <c r="C1501" t="s">
        <v>10</v>
      </c>
      <c r="D1501" t="str">
        <f t="shared" ca="1" si="94"/>
        <v>Electronics</v>
      </c>
      <c r="E1501" t="s">
        <v>69</v>
      </c>
      <c r="F1501" s="11">
        <v>5630</v>
      </c>
      <c r="G1501">
        <f t="shared" ca="1" si="95"/>
        <v>1</v>
      </c>
      <c r="H1501" s="11">
        <f ca="1">IF(Table1[[#This Row],[Category]]="Electronics",Table1[[#This Row],[Sales]]*0.6,
IF(Table1[[#This Row],[Category]]="Furniture",Table1[[#This Row],[Sales]]*0.75,
IF(Table1[[#This Row],[Category]]="Clothing",Table1[[#This Row],[Sales]]*0.65,
Table1[[#This Row],[Sales]]*0.7)))</f>
        <v>3378</v>
      </c>
      <c r="I1501" s="11">
        <f ca="1">Table1[[#This Row],[Sales]]-H1501</f>
        <v>2252</v>
      </c>
      <c r="J1501" s="2">
        <f ca="1">Table1[[#This Row],[Profit]]/Table1[[#This Row],[Sales]]</f>
        <v>0.4</v>
      </c>
      <c r="K1501" t="str">
        <f ca="1">TEXT(Table1[[#This Row],[Order_Date]],"mmm")</f>
        <v>Sep</v>
      </c>
      <c r="L1501">
        <f ca="1">YEAR(Table1[[#This Row],[Order_Date]])</f>
        <v>2023</v>
      </c>
    </row>
    <row r="1502" spans="1:12" x14ac:dyDescent="0.3">
      <c r="A1502">
        <f t="shared" si="92"/>
        <v>1501</v>
      </c>
      <c r="B1502" s="1">
        <f t="shared" ca="1" si="93"/>
        <v>45028</v>
      </c>
      <c r="C1502" t="s">
        <v>7</v>
      </c>
      <c r="D1502" t="str">
        <f t="shared" ca="1" si="94"/>
        <v>Furniture</v>
      </c>
      <c r="E1502" t="s">
        <v>41</v>
      </c>
      <c r="F1502" s="11">
        <v>6387</v>
      </c>
      <c r="G1502">
        <f t="shared" ca="1" si="95"/>
        <v>9</v>
      </c>
      <c r="H1502" s="11">
        <f ca="1">IF(Table1[[#This Row],[Category]]="Electronics",Table1[[#This Row],[Sales]]*0.6,
IF(Table1[[#This Row],[Category]]="Furniture",Table1[[#This Row],[Sales]]*0.75,
IF(Table1[[#This Row],[Category]]="Clothing",Table1[[#This Row],[Sales]]*0.65,
Table1[[#This Row],[Sales]]*0.7)))</f>
        <v>4790.25</v>
      </c>
      <c r="I1502" s="11">
        <f ca="1">Table1[[#This Row],[Sales]]-H1502</f>
        <v>1596.75</v>
      </c>
      <c r="J1502" s="2">
        <f ca="1">Table1[[#This Row],[Profit]]/Table1[[#This Row],[Sales]]</f>
        <v>0.25</v>
      </c>
      <c r="K1502" t="str">
        <f ca="1">TEXT(Table1[[#This Row],[Order_Date]],"mmm")</f>
        <v>Apr</v>
      </c>
      <c r="L1502">
        <f ca="1">YEAR(Table1[[#This Row],[Order_Date]])</f>
        <v>2023</v>
      </c>
    </row>
    <row r="1503" spans="1:12" x14ac:dyDescent="0.3">
      <c r="A1503">
        <f t="shared" si="92"/>
        <v>1502</v>
      </c>
      <c r="B1503" s="1">
        <f t="shared" ca="1" si="93"/>
        <v>45010</v>
      </c>
      <c r="C1503" t="s">
        <v>8</v>
      </c>
      <c r="D1503" t="str">
        <f t="shared" ca="1" si="94"/>
        <v>Furniture</v>
      </c>
      <c r="E1503" t="s">
        <v>82</v>
      </c>
      <c r="F1503" s="11">
        <v>8524</v>
      </c>
      <c r="G1503">
        <f t="shared" ca="1" si="95"/>
        <v>9</v>
      </c>
      <c r="H1503" s="11">
        <f ca="1">IF(Table1[[#This Row],[Category]]="Electronics",Table1[[#This Row],[Sales]]*0.6,
IF(Table1[[#This Row],[Category]]="Furniture",Table1[[#This Row],[Sales]]*0.75,
IF(Table1[[#This Row],[Category]]="Clothing",Table1[[#This Row],[Sales]]*0.65,
Table1[[#This Row],[Sales]]*0.7)))</f>
        <v>6393</v>
      </c>
      <c r="I1503" s="11">
        <f ca="1">Table1[[#This Row],[Sales]]-H1503</f>
        <v>2131</v>
      </c>
      <c r="J1503" s="2">
        <f ca="1">Table1[[#This Row],[Profit]]/Table1[[#This Row],[Sales]]</f>
        <v>0.25</v>
      </c>
      <c r="K1503" t="str">
        <f ca="1">TEXT(Table1[[#This Row],[Order_Date]],"mmm")</f>
        <v>Mar</v>
      </c>
      <c r="L1503">
        <f ca="1">YEAR(Table1[[#This Row],[Order_Date]])</f>
        <v>2023</v>
      </c>
    </row>
    <row r="1504" spans="1:12" x14ac:dyDescent="0.3">
      <c r="A1504">
        <f t="shared" si="92"/>
        <v>1503</v>
      </c>
      <c r="B1504" s="1">
        <f t="shared" ca="1" si="93"/>
        <v>45023</v>
      </c>
      <c r="C1504" t="s">
        <v>9</v>
      </c>
      <c r="D1504" t="str">
        <f t="shared" ca="1" si="94"/>
        <v>Electronics</v>
      </c>
      <c r="E1504" t="s">
        <v>52</v>
      </c>
      <c r="F1504" s="11">
        <v>15705</v>
      </c>
      <c r="G1504">
        <f t="shared" ca="1" si="95"/>
        <v>4</v>
      </c>
      <c r="H1504" s="11">
        <f ca="1">IF(Table1[[#This Row],[Category]]="Electronics",Table1[[#This Row],[Sales]]*0.6,
IF(Table1[[#This Row],[Category]]="Furniture",Table1[[#This Row],[Sales]]*0.75,
IF(Table1[[#This Row],[Category]]="Clothing",Table1[[#This Row],[Sales]]*0.65,
Table1[[#This Row],[Sales]]*0.7)))</f>
        <v>9423</v>
      </c>
      <c r="I1504" s="11">
        <f ca="1">Table1[[#This Row],[Sales]]-H1504</f>
        <v>6282</v>
      </c>
      <c r="J1504" s="2">
        <f ca="1">Table1[[#This Row],[Profit]]/Table1[[#This Row],[Sales]]</f>
        <v>0.4</v>
      </c>
      <c r="K1504" t="str">
        <f ca="1">TEXT(Table1[[#This Row],[Order_Date]],"mmm")</f>
        <v>Apr</v>
      </c>
      <c r="L1504">
        <f ca="1">YEAR(Table1[[#This Row],[Order_Date]])</f>
        <v>2023</v>
      </c>
    </row>
    <row r="1505" spans="1:12" x14ac:dyDescent="0.3">
      <c r="A1505">
        <f t="shared" si="92"/>
        <v>1504</v>
      </c>
      <c r="B1505" s="1">
        <f t="shared" ca="1" si="93"/>
        <v>45270</v>
      </c>
      <c r="C1505" t="s">
        <v>10</v>
      </c>
      <c r="D1505" t="str">
        <f t="shared" ca="1" si="94"/>
        <v>Clothing</v>
      </c>
      <c r="E1505" t="s">
        <v>44</v>
      </c>
      <c r="F1505" s="11">
        <v>5736</v>
      </c>
      <c r="G1505">
        <f t="shared" ca="1" si="95"/>
        <v>2</v>
      </c>
      <c r="H1505" s="11">
        <f ca="1">IF(Table1[[#This Row],[Category]]="Electronics",Table1[[#This Row],[Sales]]*0.6,
IF(Table1[[#This Row],[Category]]="Furniture",Table1[[#This Row],[Sales]]*0.75,
IF(Table1[[#This Row],[Category]]="Clothing",Table1[[#This Row],[Sales]]*0.65,
Table1[[#This Row],[Sales]]*0.7)))</f>
        <v>3728.4</v>
      </c>
      <c r="I1505" s="11">
        <f ca="1">Table1[[#This Row],[Sales]]-H1505</f>
        <v>2007.6</v>
      </c>
      <c r="J1505" s="2">
        <f ca="1">Table1[[#This Row],[Profit]]/Table1[[#This Row],[Sales]]</f>
        <v>0.35</v>
      </c>
      <c r="K1505" t="str">
        <f ca="1">TEXT(Table1[[#This Row],[Order_Date]],"mmm")</f>
        <v>Dec</v>
      </c>
      <c r="L1505">
        <f ca="1">YEAR(Table1[[#This Row],[Order_Date]])</f>
        <v>2023</v>
      </c>
    </row>
    <row r="1506" spans="1:12" x14ac:dyDescent="0.3">
      <c r="A1506">
        <f t="shared" si="92"/>
        <v>1505</v>
      </c>
      <c r="B1506" s="1">
        <f t="shared" ca="1" si="93"/>
        <v>45193</v>
      </c>
      <c r="C1506" t="s">
        <v>7</v>
      </c>
      <c r="D1506" t="str">
        <f t="shared" ca="1" si="94"/>
        <v>Furniture</v>
      </c>
      <c r="E1506" t="s">
        <v>40</v>
      </c>
      <c r="F1506" s="11">
        <v>8232</v>
      </c>
      <c r="G1506">
        <f t="shared" ca="1" si="95"/>
        <v>8</v>
      </c>
      <c r="H1506" s="11">
        <f ca="1">IF(Table1[[#This Row],[Category]]="Electronics",Table1[[#This Row],[Sales]]*0.6,
IF(Table1[[#This Row],[Category]]="Furniture",Table1[[#This Row],[Sales]]*0.75,
IF(Table1[[#This Row],[Category]]="Clothing",Table1[[#This Row],[Sales]]*0.65,
Table1[[#This Row],[Sales]]*0.7)))</f>
        <v>6174</v>
      </c>
      <c r="I1506" s="11">
        <f ca="1">Table1[[#This Row],[Sales]]-H1506</f>
        <v>2058</v>
      </c>
      <c r="J1506" s="2">
        <f ca="1">Table1[[#This Row],[Profit]]/Table1[[#This Row],[Sales]]</f>
        <v>0.25</v>
      </c>
      <c r="K1506" t="str">
        <f ca="1">TEXT(Table1[[#This Row],[Order_Date]],"mmm")</f>
        <v>Sep</v>
      </c>
      <c r="L1506">
        <f ca="1">YEAR(Table1[[#This Row],[Order_Date]])</f>
        <v>2023</v>
      </c>
    </row>
    <row r="1507" spans="1:12" x14ac:dyDescent="0.3">
      <c r="A1507">
        <f t="shared" si="92"/>
        <v>1506</v>
      </c>
      <c r="B1507" s="1">
        <f t="shared" ca="1" si="93"/>
        <v>45264</v>
      </c>
      <c r="C1507" t="s">
        <v>8</v>
      </c>
      <c r="D1507" t="str">
        <f t="shared" ca="1" si="94"/>
        <v>Electronics</v>
      </c>
      <c r="E1507" t="s">
        <v>85</v>
      </c>
      <c r="F1507" s="11">
        <v>13827</v>
      </c>
      <c r="G1507">
        <f t="shared" ca="1" si="95"/>
        <v>7</v>
      </c>
      <c r="H1507" s="11">
        <f ca="1">IF(Table1[[#This Row],[Category]]="Electronics",Table1[[#This Row],[Sales]]*0.6,
IF(Table1[[#This Row],[Category]]="Furniture",Table1[[#This Row],[Sales]]*0.75,
IF(Table1[[#This Row],[Category]]="Clothing",Table1[[#This Row],[Sales]]*0.65,
Table1[[#This Row],[Sales]]*0.7)))</f>
        <v>8296.1999999999989</v>
      </c>
      <c r="I1507" s="11">
        <f ca="1">Table1[[#This Row],[Sales]]-H1507</f>
        <v>5530.8000000000011</v>
      </c>
      <c r="J1507" s="2">
        <f ca="1">Table1[[#This Row],[Profit]]/Table1[[#This Row],[Sales]]</f>
        <v>0.40000000000000008</v>
      </c>
      <c r="K1507" t="str">
        <f ca="1">TEXT(Table1[[#This Row],[Order_Date]],"mmm")</f>
        <v>Dec</v>
      </c>
      <c r="L1507">
        <f ca="1">YEAR(Table1[[#This Row],[Order_Date]])</f>
        <v>2023</v>
      </c>
    </row>
    <row r="1508" spans="1:12" x14ac:dyDescent="0.3">
      <c r="A1508">
        <f t="shared" si="92"/>
        <v>1507</v>
      </c>
      <c r="B1508" s="1">
        <f t="shared" ca="1" si="93"/>
        <v>45054</v>
      </c>
      <c r="C1508" t="s">
        <v>9</v>
      </c>
      <c r="D1508" t="str">
        <f t="shared" ca="1" si="94"/>
        <v>Electronics</v>
      </c>
      <c r="E1508" t="s">
        <v>44</v>
      </c>
      <c r="F1508" s="11">
        <v>5753</v>
      </c>
      <c r="G1508">
        <f t="shared" ca="1" si="95"/>
        <v>3</v>
      </c>
      <c r="H1508" s="11">
        <f ca="1">IF(Table1[[#This Row],[Category]]="Electronics",Table1[[#This Row],[Sales]]*0.6,
IF(Table1[[#This Row],[Category]]="Furniture",Table1[[#This Row],[Sales]]*0.75,
IF(Table1[[#This Row],[Category]]="Clothing",Table1[[#This Row],[Sales]]*0.65,
Table1[[#This Row],[Sales]]*0.7)))</f>
        <v>3451.7999999999997</v>
      </c>
      <c r="I1508" s="11">
        <f ca="1">Table1[[#This Row],[Sales]]-H1508</f>
        <v>2301.2000000000003</v>
      </c>
      <c r="J1508" s="2">
        <f ca="1">Table1[[#This Row],[Profit]]/Table1[[#This Row],[Sales]]</f>
        <v>0.4</v>
      </c>
      <c r="K1508" t="str">
        <f ca="1">TEXT(Table1[[#This Row],[Order_Date]],"mmm")</f>
        <v>May</v>
      </c>
      <c r="L1508">
        <f ca="1">YEAR(Table1[[#This Row],[Order_Date]])</f>
        <v>2023</v>
      </c>
    </row>
    <row r="1509" spans="1:12" x14ac:dyDescent="0.3">
      <c r="A1509">
        <f t="shared" si="92"/>
        <v>1508</v>
      </c>
      <c r="B1509" s="1">
        <f t="shared" ca="1" si="93"/>
        <v>45266</v>
      </c>
      <c r="C1509" t="s">
        <v>10</v>
      </c>
      <c r="D1509" t="str">
        <f t="shared" ca="1" si="94"/>
        <v>Clothing</v>
      </c>
      <c r="E1509" t="s">
        <v>60</v>
      </c>
      <c r="F1509" s="11">
        <v>9231</v>
      </c>
      <c r="G1509">
        <f t="shared" ca="1" si="95"/>
        <v>4</v>
      </c>
      <c r="H1509" s="11">
        <f ca="1">IF(Table1[[#This Row],[Category]]="Electronics",Table1[[#This Row],[Sales]]*0.6,
IF(Table1[[#This Row],[Category]]="Furniture",Table1[[#This Row],[Sales]]*0.75,
IF(Table1[[#This Row],[Category]]="Clothing",Table1[[#This Row],[Sales]]*0.65,
Table1[[#This Row],[Sales]]*0.7)))</f>
        <v>6000.1500000000005</v>
      </c>
      <c r="I1509" s="11">
        <f ca="1">Table1[[#This Row],[Sales]]-H1509</f>
        <v>3230.8499999999995</v>
      </c>
      <c r="J1509" s="2">
        <f ca="1">Table1[[#This Row],[Profit]]/Table1[[#This Row],[Sales]]</f>
        <v>0.34999999999999992</v>
      </c>
      <c r="K1509" t="str">
        <f ca="1">TEXT(Table1[[#This Row],[Order_Date]],"mmm")</f>
        <v>Dec</v>
      </c>
      <c r="L1509">
        <f ca="1">YEAR(Table1[[#This Row],[Order_Date]])</f>
        <v>2023</v>
      </c>
    </row>
    <row r="1510" spans="1:12" x14ac:dyDescent="0.3">
      <c r="A1510">
        <f t="shared" si="92"/>
        <v>1509</v>
      </c>
      <c r="B1510" s="1">
        <f t="shared" ca="1" si="93"/>
        <v>44975</v>
      </c>
      <c r="C1510" t="s">
        <v>7</v>
      </c>
      <c r="D1510" t="str">
        <f t="shared" ca="1" si="94"/>
        <v>Electronics</v>
      </c>
      <c r="E1510" t="s">
        <v>57</v>
      </c>
      <c r="F1510" s="11">
        <v>2576</v>
      </c>
      <c r="G1510">
        <f t="shared" ca="1" si="95"/>
        <v>1</v>
      </c>
      <c r="H1510" s="11">
        <f ca="1">IF(Table1[[#This Row],[Category]]="Electronics",Table1[[#This Row],[Sales]]*0.6,
IF(Table1[[#This Row],[Category]]="Furniture",Table1[[#This Row],[Sales]]*0.75,
IF(Table1[[#This Row],[Category]]="Clothing",Table1[[#This Row],[Sales]]*0.65,
Table1[[#This Row],[Sales]]*0.7)))</f>
        <v>1545.6</v>
      </c>
      <c r="I1510" s="11">
        <f ca="1">Table1[[#This Row],[Sales]]-H1510</f>
        <v>1030.4000000000001</v>
      </c>
      <c r="J1510" s="2">
        <f ca="1">Table1[[#This Row],[Profit]]/Table1[[#This Row],[Sales]]</f>
        <v>0.4</v>
      </c>
      <c r="K1510" t="str">
        <f ca="1">TEXT(Table1[[#This Row],[Order_Date]],"mmm")</f>
        <v>Feb</v>
      </c>
      <c r="L1510">
        <f ca="1">YEAR(Table1[[#This Row],[Order_Date]])</f>
        <v>2023</v>
      </c>
    </row>
    <row r="1511" spans="1:12" x14ac:dyDescent="0.3">
      <c r="A1511">
        <f t="shared" si="92"/>
        <v>1510</v>
      </c>
      <c r="B1511" s="1">
        <f t="shared" ca="1" si="93"/>
        <v>45210</v>
      </c>
      <c r="C1511" t="s">
        <v>8</v>
      </c>
      <c r="D1511" t="str">
        <f t="shared" ca="1" si="94"/>
        <v>Electronics</v>
      </c>
      <c r="E1511" t="s">
        <v>58</v>
      </c>
      <c r="F1511" s="11">
        <v>9435</v>
      </c>
      <c r="G1511">
        <f t="shared" ca="1" si="95"/>
        <v>2</v>
      </c>
      <c r="H1511" s="11">
        <f ca="1">IF(Table1[[#This Row],[Category]]="Electronics",Table1[[#This Row],[Sales]]*0.6,
IF(Table1[[#This Row],[Category]]="Furniture",Table1[[#This Row],[Sales]]*0.75,
IF(Table1[[#This Row],[Category]]="Clothing",Table1[[#This Row],[Sales]]*0.65,
Table1[[#This Row],[Sales]]*0.7)))</f>
        <v>5661</v>
      </c>
      <c r="I1511" s="11">
        <f ca="1">Table1[[#This Row],[Sales]]-H1511</f>
        <v>3774</v>
      </c>
      <c r="J1511" s="2">
        <f ca="1">Table1[[#This Row],[Profit]]/Table1[[#This Row],[Sales]]</f>
        <v>0.4</v>
      </c>
      <c r="K1511" t="str">
        <f ca="1">TEXT(Table1[[#This Row],[Order_Date]],"mmm")</f>
        <v>Oct</v>
      </c>
      <c r="L1511">
        <f ca="1">YEAR(Table1[[#This Row],[Order_Date]])</f>
        <v>2023</v>
      </c>
    </row>
    <row r="1512" spans="1:12" x14ac:dyDescent="0.3">
      <c r="A1512">
        <f t="shared" si="92"/>
        <v>1511</v>
      </c>
      <c r="B1512" s="1">
        <f t="shared" ca="1" si="93"/>
        <v>44939</v>
      </c>
      <c r="C1512" t="s">
        <v>9</v>
      </c>
      <c r="D1512" t="str">
        <f t="shared" ca="1" si="94"/>
        <v>Electronics</v>
      </c>
      <c r="E1512" t="s">
        <v>72</v>
      </c>
      <c r="F1512" s="11">
        <v>16737</v>
      </c>
      <c r="G1512">
        <f t="shared" ca="1" si="95"/>
        <v>1</v>
      </c>
      <c r="H1512" s="11">
        <f ca="1">IF(Table1[[#This Row],[Category]]="Electronics",Table1[[#This Row],[Sales]]*0.6,
IF(Table1[[#This Row],[Category]]="Furniture",Table1[[#This Row],[Sales]]*0.75,
IF(Table1[[#This Row],[Category]]="Clothing",Table1[[#This Row],[Sales]]*0.65,
Table1[[#This Row],[Sales]]*0.7)))</f>
        <v>10042.199999999999</v>
      </c>
      <c r="I1512" s="11">
        <f ca="1">Table1[[#This Row],[Sales]]-H1512</f>
        <v>6694.8000000000011</v>
      </c>
      <c r="J1512" s="2">
        <f ca="1">Table1[[#This Row],[Profit]]/Table1[[#This Row],[Sales]]</f>
        <v>0.40000000000000008</v>
      </c>
      <c r="K1512" t="str">
        <f ca="1">TEXT(Table1[[#This Row],[Order_Date]],"mmm")</f>
        <v>Jan</v>
      </c>
      <c r="L1512">
        <f ca="1">YEAR(Table1[[#This Row],[Order_Date]])</f>
        <v>2023</v>
      </c>
    </row>
    <row r="1513" spans="1:12" x14ac:dyDescent="0.3">
      <c r="A1513">
        <f t="shared" si="92"/>
        <v>1512</v>
      </c>
      <c r="B1513" s="1">
        <f t="shared" ca="1" si="93"/>
        <v>45049</v>
      </c>
      <c r="C1513" t="s">
        <v>10</v>
      </c>
      <c r="D1513" t="str">
        <f t="shared" ca="1" si="94"/>
        <v>Clothing</v>
      </c>
      <c r="E1513" t="s">
        <v>80</v>
      </c>
      <c r="F1513" s="11">
        <v>1936</v>
      </c>
      <c r="G1513">
        <f t="shared" ca="1" si="95"/>
        <v>5</v>
      </c>
      <c r="H1513" s="11">
        <f ca="1">IF(Table1[[#This Row],[Category]]="Electronics",Table1[[#This Row],[Sales]]*0.6,
IF(Table1[[#This Row],[Category]]="Furniture",Table1[[#This Row],[Sales]]*0.75,
IF(Table1[[#This Row],[Category]]="Clothing",Table1[[#This Row],[Sales]]*0.65,
Table1[[#This Row],[Sales]]*0.7)))</f>
        <v>1258.4000000000001</v>
      </c>
      <c r="I1513" s="11">
        <f ca="1">Table1[[#This Row],[Sales]]-H1513</f>
        <v>677.59999999999991</v>
      </c>
      <c r="J1513" s="2">
        <f ca="1">Table1[[#This Row],[Profit]]/Table1[[#This Row],[Sales]]</f>
        <v>0.35</v>
      </c>
      <c r="K1513" t="str">
        <f ca="1">TEXT(Table1[[#This Row],[Order_Date]],"mmm")</f>
        <v>May</v>
      </c>
      <c r="L1513">
        <f ca="1">YEAR(Table1[[#This Row],[Order_Date]])</f>
        <v>2023</v>
      </c>
    </row>
    <row r="1514" spans="1:12" x14ac:dyDescent="0.3">
      <c r="A1514">
        <f t="shared" si="92"/>
        <v>1513</v>
      </c>
      <c r="B1514" s="1">
        <f t="shared" ca="1" si="93"/>
        <v>45113</v>
      </c>
      <c r="C1514" t="s">
        <v>7</v>
      </c>
      <c r="D1514" t="str">
        <f t="shared" ca="1" si="94"/>
        <v>Electronics</v>
      </c>
      <c r="E1514" t="s">
        <v>45</v>
      </c>
      <c r="F1514" s="11">
        <v>5669</v>
      </c>
      <c r="G1514">
        <f t="shared" ca="1" si="95"/>
        <v>1</v>
      </c>
      <c r="H1514" s="11">
        <f ca="1">IF(Table1[[#This Row],[Category]]="Electronics",Table1[[#This Row],[Sales]]*0.6,
IF(Table1[[#This Row],[Category]]="Furniture",Table1[[#This Row],[Sales]]*0.75,
IF(Table1[[#This Row],[Category]]="Clothing",Table1[[#This Row],[Sales]]*0.65,
Table1[[#This Row],[Sales]]*0.7)))</f>
        <v>3401.4</v>
      </c>
      <c r="I1514" s="11">
        <f ca="1">Table1[[#This Row],[Sales]]-H1514</f>
        <v>2267.6</v>
      </c>
      <c r="J1514" s="2">
        <f ca="1">Table1[[#This Row],[Profit]]/Table1[[#This Row],[Sales]]</f>
        <v>0.39999999999999997</v>
      </c>
      <c r="K1514" t="str">
        <f ca="1">TEXT(Table1[[#This Row],[Order_Date]],"mmm")</f>
        <v>Jul</v>
      </c>
      <c r="L1514">
        <f ca="1">YEAR(Table1[[#This Row],[Order_Date]])</f>
        <v>2023</v>
      </c>
    </row>
    <row r="1515" spans="1:12" x14ac:dyDescent="0.3">
      <c r="A1515">
        <f t="shared" si="92"/>
        <v>1514</v>
      </c>
      <c r="B1515" s="1">
        <f t="shared" ca="1" si="93"/>
        <v>45154</v>
      </c>
      <c r="C1515" t="s">
        <v>8</v>
      </c>
      <c r="D1515" t="str">
        <f t="shared" ca="1" si="94"/>
        <v>Furniture</v>
      </c>
      <c r="E1515" t="s">
        <v>68</v>
      </c>
      <c r="F1515" s="11">
        <v>18193</v>
      </c>
      <c r="G1515">
        <f t="shared" ca="1" si="95"/>
        <v>1</v>
      </c>
      <c r="H1515" s="11">
        <f ca="1">IF(Table1[[#This Row],[Category]]="Electronics",Table1[[#This Row],[Sales]]*0.6,
IF(Table1[[#This Row],[Category]]="Furniture",Table1[[#This Row],[Sales]]*0.75,
IF(Table1[[#This Row],[Category]]="Clothing",Table1[[#This Row],[Sales]]*0.65,
Table1[[#This Row],[Sales]]*0.7)))</f>
        <v>13644.75</v>
      </c>
      <c r="I1515" s="11">
        <f ca="1">Table1[[#This Row],[Sales]]-H1515</f>
        <v>4548.25</v>
      </c>
      <c r="J1515" s="2">
        <f ca="1">Table1[[#This Row],[Profit]]/Table1[[#This Row],[Sales]]</f>
        <v>0.25</v>
      </c>
      <c r="K1515" t="str">
        <f ca="1">TEXT(Table1[[#This Row],[Order_Date]],"mmm")</f>
        <v>Aug</v>
      </c>
      <c r="L1515">
        <f ca="1">YEAR(Table1[[#This Row],[Order_Date]])</f>
        <v>2023</v>
      </c>
    </row>
    <row r="1516" spans="1:12" x14ac:dyDescent="0.3">
      <c r="A1516">
        <f t="shared" si="92"/>
        <v>1515</v>
      </c>
      <c r="B1516" s="1">
        <f t="shared" ca="1" si="93"/>
        <v>45221</v>
      </c>
      <c r="C1516" t="s">
        <v>9</v>
      </c>
      <c r="D1516" t="str">
        <f t="shared" ca="1" si="94"/>
        <v>Furniture</v>
      </c>
      <c r="E1516" t="s">
        <v>37</v>
      </c>
      <c r="F1516" s="11">
        <v>7380</v>
      </c>
      <c r="G1516">
        <f t="shared" ca="1" si="95"/>
        <v>1</v>
      </c>
      <c r="H1516" s="11">
        <f ca="1">IF(Table1[[#This Row],[Category]]="Electronics",Table1[[#This Row],[Sales]]*0.6,
IF(Table1[[#This Row],[Category]]="Furniture",Table1[[#This Row],[Sales]]*0.75,
IF(Table1[[#This Row],[Category]]="Clothing",Table1[[#This Row],[Sales]]*0.65,
Table1[[#This Row],[Sales]]*0.7)))</f>
        <v>5535</v>
      </c>
      <c r="I1516" s="11">
        <f ca="1">Table1[[#This Row],[Sales]]-H1516</f>
        <v>1845</v>
      </c>
      <c r="J1516" s="2">
        <f ca="1">Table1[[#This Row],[Profit]]/Table1[[#This Row],[Sales]]</f>
        <v>0.25</v>
      </c>
      <c r="K1516" t="str">
        <f ca="1">TEXT(Table1[[#This Row],[Order_Date]],"mmm")</f>
        <v>Oct</v>
      </c>
      <c r="L1516">
        <f ca="1">YEAR(Table1[[#This Row],[Order_Date]])</f>
        <v>2023</v>
      </c>
    </row>
    <row r="1517" spans="1:12" x14ac:dyDescent="0.3">
      <c r="A1517">
        <f t="shared" si="92"/>
        <v>1516</v>
      </c>
      <c r="B1517" s="1">
        <f t="shared" ca="1" si="93"/>
        <v>45008</v>
      </c>
      <c r="C1517" t="s">
        <v>10</v>
      </c>
      <c r="D1517" t="str">
        <f t="shared" ca="1" si="94"/>
        <v>Office Supplies</v>
      </c>
      <c r="E1517" t="s">
        <v>58</v>
      </c>
      <c r="F1517" s="11">
        <v>9786</v>
      </c>
      <c r="G1517">
        <f t="shared" ca="1" si="95"/>
        <v>1</v>
      </c>
      <c r="H1517" s="11">
        <f ca="1">IF(Table1[[#This Row],[Category]]="Electronics",Table1[[#This Row],[Sales]]*0.6,
IF(Table1[[#This Row],[Category]]="Furniture",Table1[[#This Row],[Sales]]*0.75,
IF(Table1[[#This Row],[Category]]="Clothing",Table1[[#This Row],[Sales]]*0.65,
Table1[[#This Row],[Sales]]*0.7)))</f>
        <v>6850.2</v>
      </c>
      <c r="I1517" s="11">
        <f ca="1">Table1[[#This Row],[Sales]]-H1517</f>
        <v>2935.8</v>
      </c>
      <c r="J1517" s="2">
        <f ca="1">Table1[[#This Row],[Profit]]/Table1[[#This Row],[Sales]]</f>
        <v>0.30000000000000004</v>
      </c>
      <c r="K1517" t="str">
        <f ca="1">TEXT(Table1[[#This Row],[Order_Date]],"mmm")</f>
        <v>Mar</v>
      </c>
      <c r="L1517">
        <f ca="1">YEAR(Table1[[#This Row],[Order_Date]])</f>
        <v>2023</v>
      </c>
    </row>
    <row r="1518" spans="1:12" x14ac:dyDescent="0.3">
      <c r="A1518">
        <f t="shared" si="92"/>
        <v>1517</v>
      </c>
      <c r="B1518" s="1">
        <f t="shared" ca="1" si="93"/>
        <v>44940</v>
      </c>
      <c r="C1518" t="s">
        <v>7</v>
      </c>
      <c r="D1518" t="str">
        <f t="shared" ca="1" si="94"/>
        <v>Furniture</v>
      </c>
      <c r="E1518" t="s">
        <v>70</v>
      </c>
      <c r="F1518" s="11">
        <v>10004</v>
      </c>
      <c r="G1518">
        <f t="shared" ca="1" si="95"/>
        <v>2</v>
      </c>
      <c r="H1518" s="11">
        <f ca="1">IF(Table1[[#This Row],[Category]]="Electronics",Table1[[#This Row],[Sales]]*0.6,
IF(Table1[[#This Row],[Category]]="Furniture",Table1[[#This Row],[Sales]]*0.75,
IF(Table1[[#This Row],[Category]]="Clothing",Table1[[#This Row],[Sales]]*0.65,
Table1[[#This Row],[Sales]]*0.7)))</f>
        <v>7503</v>
      </c>
      <c r="I1518" s="11">
        <f ca="1">Table1[[#This Row],[Sales]]-H1518</f>
        <v>2501</v>
      </c>
      <c r="J1518" s="2">
        <f ca="1">Table1[[#This Row],[Profit]]/Table1[[#This Row],[Sales]]</f>
        <v>0.25</v>
      </c>
      <c r="K1518" t="str">
        <f ca="1">TEXT(Table1[[#This Row],[Order_Date]],"mmm")</f>
        <v>Jan</v>
      </c>
      <c r="L1518">
        <f ca="1">YEAR(Table1[[#This Row],[Order_Date]])</f>
        <v>2023</v>
      </c>
    </row>
    <row r="1519" spans="1:12" x14ac:dyDescent="0.3">
      <c r="A1519">
        <f t="shared" si="92"/>
        <v>1518</v>
      </c>
      <c r="B1519" s="1">
        <f t="shared" ca="1" si="93"/>
        <v>45286</v>
      </c>
      <c r="C1519" t="s">
        <v>8</v>
      </c>
      <c r="D1519" t="str">
        <f t="shared" ca="1" si="94"/>
        <v>Furniture</v>
      </c>
      <c r="E1519" t="s">
        <v>85</v>
      </c>
      <c r="F1519" s="11">
        <v>13001</v>
      </c>
      <c r="G1519">
        <f t="shared" ca="1" si="95"/>
        <v>9</v>
      </c>
      <c r="H1519" s="11">
        <f ca="1">IF(Table1[[#This Row],[Category]]="Electronics",Table1[[#This Row],[Sales]]*0.6,
IF(Table1[[#This Row],[Category]]="Furniture",Table1[[#This Row],[Sales]]*0.75,
IF(Table1[[#This Row],[Category]]="Clothing",Table1[[#This Row],[Sales]]*0.65,
Table1[[#This Row],[Sales]]*0.7)))</f>
        <v>9750.75</v>
      </c>
      <c r="I1519" s="11">
        <f ca="1">Table1[[#This Row],[Sales]]-H1519</f>
        <v>3250.25</v>
      </c>
      <c r="J1519" s="2">
        <f ca="1">Table1[[#This Row],[Profit]]/Table1[[#This Row],[Sales]]</f>
        <v>0.25</v>
      </c>
      <c r="K1519" t="str">
        <f ca="1">TEXT(Table1[[#This Row],[Order_Date]],"mmm")</f>
        <v>Dec</v>
      </c>
      <c r="L1519">
        <f ca="1">YEAR(Table1[[#This Row],[Order_Date]])</f>
        <v>2023</v>
      </c>
    </row>
    <row r="1520" spans="1:12" x14ac:dyDescent="0.3">
      <c r="A1520">
        <f t="shared" si="92"/>
        <v>1519</v>
      </c>
      <c r="B1520" s="1">
        <f t="shared" ca="1" si="93"/>
        <v>45233</v>
      </c>
      <c r="C1520" t="s">
        <v>9</v>
      </c>
      <c r="D1520" t="str">
        <f t="shared" ca="1" si="94"/>
        <v>Furniture</v>
      </c>
      <c r="E1520" t="s">
        <v>74</v>
      </c>
      <c r="F1520" s="11">
        <v>17509</v>
      </c>
      <c r="G1520">
        <f t="shared" ca="1" si="95"/>
        <v>3</v>
      </c>
      <c r="H1520" s="11">
        <f ca="1">IF(Table1[[#This Row],[Category]]="Electronics",Table1[[#This Row],[Sales]]*0.6,
IF(Table1[[#This Row],[Category]]="Furniture",Table1[[#This Row],[Sales]]*0.75,
IF(Table1[[#This Row],[Category]]="Clothing",Table1[[#This Row],[Sales]]*0.65,
Table1[[#This Row],[Sales]]*0.7)))</f>
        <v>13131.75</v>
      </c>
      <c r="I1520" s="11">
        <f ca="1">Table1[[#This Row],[Sales]]-H1520</f>
        <v>4377.25</v>
      </c>
      <c r="J1520" s="2">
        <f ca="1">Table1[[#This Row],[Profit]]/Table1[[#This Row],[Sales]]</f>
        <v>0.25</v>
      </c>
      <c r="K1520" t="str">
        <f ca="1">TEXT(Table1[[#This Row],[Order_Date]],"mmm")</f>
        <v>Nov</v>
      </c>
      <c r="L1520">
        <f ca="1">YEAR(Table1[[#This Row],[Order_Date]])</f>
        <v>2023</v>
      </c>
    </row>
    <row r="1521" spans="1:12" x14ac:dyDescent="0.3">
      <c r="A1521">
        <f t="shared" si="92"/>
        <v>1520</v>
      </c>
      <c r="B1521" s="1">
        <f t="shared" ca="1" si="93"/>
        <v>45101</v>
      </c>
      <c r="C1521" t="s">
        <v>10</v>
      </c>
      <c r="D1521" t="str">
        <f t="shared" ca="1" si="94"/>
        <v>Office Supplies</v>
      </c>
      <c r="E1521" t="s">
        <v>61</v>
      </c>
      <c r="F1521" s="11">
        <v>5621</v>
      </c>
      <c r="G1521">
        <f t="shared" ca="1" si="95"/>
        <v>9</v>
      </c>
      <c r="H1521" s="11">
        <f ca="1">IF(Table1[[#This Row],[Category]]="Electronics",Table1[[#This Row],[Sales]]*0.6,
IF(Table1[[#This Row],[Category]]="Furniture",Table1[[#This Row],[Sales]]*0.75,
IF(Table1[[#This Row],[Category]]="Clothing",Table1[[#This Row],[Sales]]*0.65,
Table1[[#This Row],[Sales]]*0.7)))</f>
        <v>3934.7</v>
      </c>
      <c r="I1521" s="11">
        <f ca="1">Table1[[#This Row],[Sales]]-H1521</f>
        <v>1686.3000000000002</v>
      </c>
      <c r="J1521" s="2">
        <f ca="1">Table1[[#This Row],[Profit]]/Table1[[#This Row],[Sales]]</f>
        <v>0.30000000000000004</v>
      </c>
      <c r="K1521" t="str">
        <f ca="1">TEXT(Table1[[#This Row],[Order_Date]],"mmm")</f>
        <v>Jun</v>
      </c>
      <c r="L1521">
        <f ca="1">YEAR(Table1[[#This Row],[Order_Date]])</f>
        <v>2023</v>
      </c>
    </row>
    <row r="1522" spans="1:12" x14ac:dyDescent="0.3">
      <c r="A1522">
        <f t="shared" si="92"/>
        <v>1521</v>
      </c>
      <c r="B1522" s="1">
        <f t="shared" ca="1" si="93"/>
        <v>44934</v>
      </c>
      <c r="C1522" t="s">
        <v>7</v>
      </c>
      <c r="D1522" t="str">
        <f t="shared" ca="1" si="94"/>
        <v>Office Supplies</v>
      </c>
      <c r="E1522" t="s">
        <v>66</v>
      </c>
      <c r="F1522" s="11">
        <v>5470</v>
      </c>
      <c r="G1522">
        <f t="shared" ca="1" si="95"/>
        <v>6</v>
      </c>
      <c r="H1522" s="11">
        <f ca="1">IF(Table1[[#This Row],[Category]]="Electronics",Table1[[#This Row],[Sales]]*0.6,
IF(Table1[[#This Row],[Category]]="Furniture",Table1[[#This Row],[Sales]]*0.75,
IF(Table1[[#This Row],[Category]]="Clothing",Table1[[#This Row],[Sales]]*0.65,
Table1[[#This Row],[Sales]]*0.7)))</f>
        <v>3828.9999999999995</v>
      </c>
      <c r="I1522" s="11">
        <f ca="1">Table1[[#This Row],[Sales]]-H1522</f>
        <v>1641.0000000000005</v>
      </c>
      <c r="J1522" s="2">
        <f ca="1">Table1[[#This Row],[Profit]]/Table1[[#This Row],[Sales]]</f>
        <v>0.3000000000000001</v>
      </c>
      <c r="K1522" t="str">
        <f ca="1">TEXT(Table1[[#This Row],[Order_Date]],"mmm")</f>
        <v>Jan</v>
      </c>
      <c r="L1522">
        <f ca="1">YEAR(Table1[[#This Row],[Order_Date]])</f>
        <v>2023</v>
      </c>
    </row>
    <row r="1523" spans="1:12" x14ac:dyDescent="0.3">
      <c r="A1523">
        <f t="shared" si="92"/>
        <v>1522</v>
      </c>
      <c r="B1523" s="1">
        <f t="shared" ca="1" si="93"/>
        <v>45156</v>
      </c>
      <c r="C1523" t="s">
        <v>8</v>
      </c>
      <c r="D1523" t="str">
        <f t="shared" ca="1" si="94"/>
        <v>Clothing</v>
      </c>
      <c r="E1523" t="s">
        <v>37</v>
      </c>
      <c r="F1523" s="11">
        <v>3104</v>
      </c>
      <c r="G1523">
        <f t="shared" ca="1" si="95"/>
        <v>1</v>
      </c>
      <c r="H1523" s="11">
        <f ca="1">IF(Table1[[#This Row],[Category]]="Electronics",Table1[[#This Row],[Sales]]*0.6,
IF(Table1[[#This Row],[Category]]="Furniture",Table1[[#This Row],[Sales]]*0.75,
IF(Table1[[#This Row],[Category]]="Clothing",Table1[[#This Row],[Sales]]*0.65,
Table1[[#This Row],[Sales]]*0.7)))</f>
        <v>2017.6000000000001</v>
      </c>
      <c r="I1523" s="11">
        <f ca="1">Table1[[#This Row],[Sales]]-H1523</f>
        <v>1086.3999999999999</v>
      </c>
      <c r="J1523" s="2">
        <f ca="1">Table1[[#This Row],[Profit]]/Table1[[#This Row],[Sales]]</f>
        <v>0.35</v>
      </c>
      <c r="K1523" t="str">
        <f ca="1">TEXT(Table1[[#This Row],[Order_Date]],"mmm")</f>
        <v>Aug</v>
      </c>
      <c r="L1523">
        <f ca="1">YEAR(Table1[[#This Row],[Order_Date]])</f>
        <v>2023</v>
      </c>
    </row>
    <row r="1524" spans="1:12" x14ac:dyDescent="0.3">
      <c r="A1524">
        <f t="shared" si="92"/>
        <v>1523</v>
      </c>
      <c r="B1524" s="1">
        <f t="shared" ca="1" si="93"/>
        <v>45124</v>
      </c>
      <c r="C1524" t="s">
        <v>9</v>
      </c>
      <c r="D1524" t="str">
        <f t="shared" ca="1" si="94"/>
        <v>Clothing</v>
      </c>
      <c r="E1524" t="s">
        <v>53</v>
      </c>
      <c r="F1524" s="11">
        <v>10447</v>
      </c>
      <c r="G1524">
        <f t="shared" ca="1" si="95"/>
        <v>7</v>
      </c>
      <c r="H1524" s="11">
        <f ca="1">IF(Table1[[#This Row],[Category]]="Electronics",Table1[[#This Row],[Sales]]*0.6,
IF(Table1[[#This Row],[Category]]="Furniture",Table1[[#This Row],[Sales]]*0.75,
IF(Table1[[#This Row],[Category]]="Clothing",Table1[[#This Row],[Sales]]*0.65,
Table1[[#This Row],[Sales]]*0.7)))</f>
        <v>6790.55</v>
      </c>
      <c r="I1524" s="11">
        <f ca="1">Table1[[#This Row],[Sales]]-H1524</f>
        <v>3656.45</v>
      </c>
      <c r="J1524" s="2">
        <f ca="1">Table1[[#This Row],[Profit]]/Table1[[#This Row],[Sales]]</f>
        <v>0.35</v>
      </c>
      <c r="K1524" t="str">
        <f ca="1">TEXT(Table1[[#This Row],[Order_Date]],"mmm")</f>
        <v>Jul</v>
      </c>
      <c r="L1524">
        <f ca="1">YEAR(Table1[[#This Row],[Order_Date]])</f>
        <v>2023</v>
      </c>
    </row>
    <row r="1525" spans="1:12" x14ac:dyDescent="0.3">
      <c r="A1525">
        <f t="shared" si="92"/>
        <v>1524</v>
      </c>
      <c r="B1525" s="1">
        <f t="shared" ca="1" si="93"/>
        <v>45105</v>
      </c>
      <c r="C1525" t="s">
        <v>10</v>
      </c>
      <c r="D1525" t="str">
        <f t="shared" ca="1" si="94"/>
        <v>Office Supplies</v>
      </c>
      <c r="E1525" t="s">
        <v>43</v>
      </c>
      <c r="F1525" s="11">
        <v>2483</v>
      </c>
      <c r="G1525">
        <f t="shared" ca="1" si="95"/>
        <v>7</v>
      </c>
      <c r="H1525" s="11">
        <f ca="1">IF(Table1[[#This Row],[Category]]="Electronics",Table1[[#This Row],[Sales]]*0.6,
IF(Table1[[#This Row],[Category]]="Furniture",Table1[[#This Row],[Sales]]*0.75,
IF(Table1[[#This Row],[Category]]="Clothing",Table1[[#This Row],[Sales]]*0.65,
Table1[[#This Row],[Sales]]*0.7)))</f>
        <v>1738.1</v>
      </c>
      <c r="I1525" s="11">
        <f ca="1">Table1[[#This Row],[Sales]]-H1525</f>
        <v>744.90000000000009</v>
      </c>
      <c r="J1525" s="2">
        <f ca="1">Table1[[#This Row],[Profit]]/Table1[[#This Row],[Sales]]</f>
        <v>0.30000000000000004</v>
      </c>
      <c r="K1525" t="str">
        <f ca="1">TEXT(Table1[[#This Row],[Order_Date]],"mmm")</f>
        <v>Jun</v>
      </c>
      <c r="L1525">
        <f ca="1">YEAR(Table1[[#This Row],[Order_Date]])</f>
        <v>2023</v>
      </c>
    </row>
    <row r="1526" spans="1:12" x14ac:dyDescent="0.3">
      <c r="A1526">
        <f t="shared" si="92"/>
        <v>1525</v>
      </c>
      <c r="B1526" s="1">
        <f t="shared" ca="1" si="93"/>
        <v>45006</v>
      </c>
      <c r="C1526" t="s">
        <v>7</v>
      </c>
      <c r="D1526" t="str">
        <f t="shared" ca="1" si="94"/>
        <v>Clothing</v>
      </c>
      <c r="E1526" t="s">
        <v>55</v>
      </c>
      <c r="F1526" s="11">
        <v>11748</v>
      </c>
      <c r="G1526">
        <f t="shared" ca="1" si="95"/>
        <v>8</v>
      </c>
      <c r="H1526" s="11">
        <f ca="1">IF(Table1[[#This Row],[Category]]="Electronics",Table1[[#This Row],[Sales]]*0.6,
IF(Table1[[#This Row],[Category]]="Furniture",Table1[[#This Row],[Sales]]*0.75,
IF(Table1[[#This Row],[Category]]="Clothing",Table1[[#This Row],[Sales]]*0.65,
Table1[[#This Row],[Sales]]*0.7)))</f>
        <v>7636.2</v>
      </c>
      <c r="I1526" s="11">
        <f ca="1">Table1[[#This Row],[Sales]]-H1526</f>
        <v>4111.8</v>
      </c>
      <c r="J1526" s="2">
        <f ca="1">Table1[[#This Row],[Profit]]/Table1[[#This Row],[Sales]]</f>
        <v>0.35000000000000003</v>
      </c>
      <c r="K1526" t="str">
        <f ca="1">TEXT(Table1[[#This Row],[Order_Date]],"mmm")</f>
        <v>Mar</v>
      </c>
      <c r="L1526">
        <f ca="1">YEAR(Table1[[#This Row],[Order_Date]])</f>
        <v>2023</v>
      </c>
    </row>
    <row r="1527" spans="1:12" x14ac:dyDescent="0.3">
      <c r="A1527">
        <f t="shared" si="92"/>
        <v>1526</v>
      </c>
      <c r="B1527" s="1">
        <f t="shared" ca="1" si="93"/>
        <v>45084</v>
      </c>
      <c r="C1527" t="s">
        <v>8</v>
      </c>
      <c r="D1527" t="str">
        <f t="shared" ca="1" si="94"/>
        <v>Furniture</v>
      </c>
      <c r="E1527" t="s">
        <v>39</v>
      </c>
      <c r="F1527" s="11">
        <v>5293</v>
      </c>
      <c r="G1527">
        <f t="shared" ca="1" si="95"/>
        <v>8</v>
      </c>
      <c r="H1527" s="11">
        <f ca="1">IF(Table1[[#This Row],[Category]]="Electronics",Table1[[#This Row],[Sales]]*0.6,
IF(Table1[[#This Row],[Category]]="Furniture",Table1[[#This Row],[Sales]]*0.75,
IF(Table1[[#This Row],[Category]]="Clothing",Table1[[#This Row],[Sales]]*0.65,
Table1[[#This Row],[Sales]]*0.7)))</f>
        <v>3969.75</v>
      </c>
      <c r="I1527" s="11">
        <f ca="1">Table1[[#This Row],[Sales]]-H1527</f>
        <v>1323.25</v>
      </c>
      <c r="J1527" s="2">
        <f ca="1">Table1[[#This Row],[Profit]]/Table1[[#This Row],[Sales]]</f>
        <v>0.25</v>
      </c>
      <c r="K1527" t="str">
        <f ca="1">TEXT(Table1[[#This Row],[Order_Date]],"mmm")</f>
        <v>Jun</v>
      </c>
      <c r="L1527">
        <f ca="1">YEAR(Table1[[#This Row],[Order_Date]])</f>
        <v>2023</v>
      </c>
    </row>
    <row r="1528" spans="1:12" x14ac:dyDescent="0.3">
      <c r="A1528">
        <f t="shared" si="92"/>
        <v>1527</v>
      </c>
      <c r="B1528" s="1">
        <f t="shared" ca="1" si="93"/>
        <v>45057</v>
      </c>
      <c r="C1528" t="s">
        <v>9</v>
      </c>
      <c r="D1528" t="str">
        <f t="shared" ca="1" si="94"/>
        <v>Furniture</v>
      </c>
      <c r="E1528" t="s">
        <v>52</v>
      </c>
      <c r="F1528" s="11">
        <v>19424</v>
      </c>
      <c r="G1528">
        <f t="shared" ca="1" si="95"/>
        <v>7</v>
      </c>
      <c r="H1528" s="11">
        <f ca="1">IF(Table1[[#This Row],[Category]]="Electronics",Table1[[#This Row],[Sales]]*0.6,
IF(Table1[[#This Row],[Category]]="Furniture",Table1[[#This Row],[Sales]]*0.75,
IF(Table1[[#This Row],[Category]]="Clothing",Table1[[#This Row],[Sales]]*0.65,
Table1[[#This Row],[Sales]]*0.7)))</f>
        <v>14568</v>
      </c>
      <c r="I1528" s="11">
        <f ca="1">Table1[[#This Row],[Sales]]-H1528</f>
        <v>4856</v>
      </c>
      <c r="J1528" s="2">
        <f ca="1">Table1[[#This Row],[Profit]]/Table1[[#This Row],[Sales]]</f>
        <v>0.25</v>
      </c>
      <c r="K1528" t="str">
        <f ca="1">TEXT(Table1[[#This Row],[Order_Date]],"mmm")</f>
        <v>May</v>
      </c>
      <c r="L1528">
        <f ca="1">YEAR(Table1[[#This Row],[Order_Date]])</f>
        <v>2023</v>
      </c>
    </row>
    <row r="1529" spans="1:12" x14ac:dyDescent="0.3">
      <c r="A1529">
        <f t="shared" si="92"/>
        <v>1528</v>
      </c>
      <c r="B1529" s="1">
        <f t="shared" ca="1" si="93"/>
        <v>45000</v>
      </c>
      <c r="C1529" t="s">
        <v>10</v>
      </c>
      <c r="D1529" t="str">
        <f t="shared" ca="1" si="94"/>
        <v>Electronics</v>
      </c>
      <c r="E1529" t="s">
        <v>78</v>
      </c>
      <c r="F1529" s="11">
        <v>916</v>
      </c>
      <c r="G1529">
        <f t="shared" ca="1" si="95"/>
        <v>4</v>
      </c>
      <c r="H1529" s="11">
        <f ca="1">IF(Table1[[#This Row],[Category]]="Electronics",Table1[[#This Row],[Sales]]*0.6,
IF(Table1[[#This Row],[Category]]="Furniture",Table1[[#This Row],[Sales]]*0.75,
IF(Table1[[#This Row],[Category]]="Clothing",Table1[[#This Row],[Sales]]*0.65,
Table1[[#This Row],[Sales]]*0.7)))</f>
        <v>549.6</v>
      </c>
      <c r="I1529" s="11">
        <f ca="1">Table1[[#This Row],[Sales]]-H1529</f>
        <v>366.4</v>
      </c>
      <c r="J1529" s="2">
        <f ca="1">Table1[[#This Row],[Profit]]/Table1[[#This Row],[Sales]]</f>
        <v>0.39999999999999997</v>
      </c>
      <c r="K1529" t="str">
        <f ca="1">TEXT(Table1[[#This Row],[Order_Date]],"mmm")</f>
        <v>Mar</v>
      </c>
      <c r="L1529">
        <f ca="1">YEAR(Table1[[#This Row],[Order_Date]])</f>
        <v>2023</v>
      </c>
    </row>
    <row r="1530" spans="1:12" x14ac:dyDescent="0.3">
      <c r="A1530">
        <f t="shared" si="92"/>
        <v>1529</v>
      </c>
      <c r="B1530" s="1">
        <f t="shared" ca="1" si="93"/>
        <v>45011</v>
      </c>
      <c r="C1530" t="s">
        <v>7</v>
      </c>
      <c r="D1530" t="str">
        <f t="shared" ca="1" si="94"/>
        <v>Electronics</v>
      </c>
      <c r="E1530" t="s">
        <v>59</v>
      </c>
      <c r="F1530" s="11">
        <v>7362</v>
      </c>
      <c r="G1530">
        <f t="shared" ca="1" si="95"/>
        <v>10</v>
      </c>
      <c r="H1530" s="11">
        <f ca="1">IF(Table1[[#This Row],[Category]]="Electronics",Table1[[#This Row],[Sales]]*0.6,
IF(Table1[[#This Row],[Category]]="Furniture",Table1[[#This Row],[Sales]]*0.75,
IF(Table1[[#This Row],[Category]]="Clothing",Table1[[#This Row],[Sales]]*0.65,
Table1[[#This Row],[Sales]]*0.7)))</f>
        <v>4417.2</v>
      </c>
      <c r="I1530" s="11">
        <f ca="1">Table1[[#This Row],[Sales]]-H1530</f>
        <v>2944.8</v>
      </c>
      <c r="J1530" s="2">
        <f ca="1">Table1[[#This Row],[Profit]]/Table1[[#This Row],[Sales]]</f>
        <v>0.4</v>
      </c>
      <c r="K1530" t="str">
        <f ca="1">TEXT(Table1[[#This Row],[Order_Date]],"mmm")</f>
        <v>Mar</v>
      </c>
      <c r="L1530">
        <f ca="1">YEAR(Table1[[#This Row],[Order_Date]])</f>
        <v>2023</v>
      </c>
    </row>
    <row r="1531" spans="1:12" x14ac:dyDescent="0.3">
      <c r="A1531">
        <f t="shared" si="92"/>
        <v>1530</v>
      </c>
      <c r="B1531" s="1">
        <f t="shared" ca="1" si="93"/>
        <v>45059</v>
      </c>
      <c r="C1531" t="s">
        <v>8</v>
      </c>
      <c r="D1531" t="str">
        <f t="shared" ca="1" si="94"/>
        <v>Office Supplies</v>
      </c>
      <c r="E1531" t="s">
        <v>63</v>
      </c>
      <c r="F1531" s="11">
        <v>9559</v>
      </c>
      <c r="G1531">
        <f t="shared" ca="1" si="95"/>
        <v>6</v>
      </c>
      <c r="H1531" s="11">
        <f ca="1">IF(Table1[[#This Row],[Category]]="Electronics",Table1[[#This Row],[Sales]]*0.6,
IF(Table1[[#This Row],[Category]]="Furniture",Table1[[#This Row],[Sales]]*0.75,
IF(Table1[[#This Row],[Category]]="Clothing",Table1[[#This Row],[Sales]]*0.65,
Table1[[#This Row],[Sales]]*0.7)))</f>
        <v>6691.2999999999993</v>
      </c>
      <c r="I1531" s="11">
        <f ca="1">Table1[[#This Row],[Sales]]-H1531</f>
        <v>2867.7000000000007</v>
      </c>
      <c r="J1531" s="2">
        <f ca="1">Table1[[#This Row],[Profit]]/Table1[[#This Row],[Sales]]</f>
        <v>0.3000000000000001</v>
      </c>
      <c r="K1531" t="str">
        <f ca="1">TEXT(Table1[[#This Row],[Order_Date]],"mmm")</f>
        <v>May</v>
      </c>
      <c r="L1531">
        <f ca="1">YEAR(Table1[[#This Row],[Order_Date]])</f>
        <v>2023</v>
      </c>
    </row>
    <row r="1532" spans="1:12" x14ac:dyDescent="0.3">
      <c r="A1532">
        <f t="shared" si="92"/>
        <v>1531</v>
      </c>
      <c r="B1532" s="1">
        <f t="shared" ca="1" si="93"/>
        <v>44992</v>
      </c>
      <c r="C1532" t="s">
        <v>9</v>
      </c>
      <c r="D1532" t="str">
        <f t="shared" ca="1" si="94"/>
        <v>Office Supplies</v>
      </c>
      <c r="E1532" t="s">
        <v>78</v>
      </c>
      <c r="F1532" s="11">
        <v>3122</v>
      </c>
      <c r="G1532">
        <f t="shared" ca="1" si="95"/>
        <v>3</v>
      </c>
      <c r="H1532" s="11">
        <f ca="1">IF(Table1[[#This Row],[Category]]="Electronics",Table1[[#This Row],[Sales]]*0.6,
IF(Table1[[#This Row],[Category]]="Furniture",Table1[[#This Row],[Sales]]*0.75,
IF(Table1[[#This Row],[Category]]="Clothing",Table1[[#This Row],[Sales]]*0.65,
Table1[[#This Row],[Sales]]*0.7)))</f>
        <v>2185.3999999999996</v>
      </c>
      <c r="I1532" s="11">
        <f ca="1">Table1[[#This Row],[Sales]]-H1532</f>
        <v>936.60000000000036</v>
      </c>
      <c r="J1532" s="2">
        <f ca="1">Table1[[#This Row],[Profit]]/Table1[[#This Row],[Sales]]</f>
        <v>0.3000000000000001</v>
      </c>
      <c r="K1532" t="str">
        <f ca="1">TEXT(Table1[[#This Row],[Order_Date]],"mmm")</f>
        <v>Mar</v>
      </c>
      <c r="L1532">
        <f ca="1">YEAR(Table1[[#This Row],[Order_Date]])</f>
        <v>2023</v>
      </c>
    </row>
    <row r="1533" spans="1:12" x14ac:dyDescent="0.3">
      <c r="A1533">
        <f t="shared" si="92"/>
        <v>1532</v>
      </c>
      <c r="B1533" s="1">
        <f t="shared" ca="1" si="93"/>
        <v>45099</v>
      </c>
      <c r="C1533" t="s">
        <v>10</v>
      </c>
      <c r="D1533" t="str">
        <f t="shared" ca="1" si="94"/>
        <v>Clothing</v>
      </c>
      <c r="E1533" t="s">
        <v>85</v>
      </c>
      <c r="F1533" s="11">
        <v>17904</v>
      </c>
      <c r="G1533">
        <f t="shared" ca="1" si="95"/>
        <v>9</v>
      </c>
      <c r="H1533" s="11">
        <f ca="1">IF(Table1[[#This Row],[Category]]="Electronics",Table1[[#This Row],[Sales]]*0.6,
IF(Table1[[#This Row],[Category]]="Furniture",Table1[[#This Row],[Sales]]*0.75,
IF(Table1[[#This Row],[Category]]="Clothing",Table1[[#This Row],[Sales]]*0.65,
Table1[[#This Row],[Sales]]*0.7)))</f>
        <v>11637.6</v>
      </c>
      <c r="I1533" s="11">
        <f ca="1">Table1[[#This Row],[Sales]]-H1533</f>
        <v>6266.4</v>
      </c>
      <c r="J1533" s="2">
        <f ca="1">Table1[[#This Row],[Profit]]/Table1[[#This Row],[Sales]]</f>
        <v>0.35</v>
      </c>
      <c r="K1533" t="str">
        <f ca="1">TEXT(Table1[[#This Row],[Order_Date]],"mmm")</f>
        <v>Jun</v>
      </c>
      <c r="L1533">
        <f ca="1">YEAR(Table1[[#This Row],[Order_Date]])</f>
        <v>2023</v>
      </c>
    </row>
    <row r="1534" spans="1:12" x14ac:dyDescent="0.3">
      <c r="A1534">
        <f t="shared" si="92"/>
        <v>1533</v>
      </c>
      <c r="B1534" s="1">
        <f t="shared" ca="1" si="93"/>
        <v>45252</v>
      </c>
      <c r="C1534" t="s">
        <v>7</v>
      </c>
      <c r="D1534" t="str">
        <f t="shared" ca="1" si="94"/>
        <v>Office Supplies</v>
      </c>
      <c r="E1534" t="s">
        <v>75</v>
      </c>
      <c r="F1534" s="11">
        <v>8629</v>
      </c>
      <c r="G1534">
        <f t="shared" ca="1" si="95"/>
        <v>2</v>
      </c>
      <c r="H1534" s="11">
        <f ca="1">IF(Table1[[#This Row],[Category]]="Electronics",Table1[[#This Row],[Sales]]*0.6,
IF(Table1[[#This Row],[Category]]="Furniture",Table1[[#This Row],[Sales]]*0.75,
IF(Table1[[#This Row],[Category]]="Clothing",Table1[[#This Row],[Sales]]*0.65,
Table1[[#This Row],[Sales]]*0.7)))</f>
        <v>6040.2999999999993</v>
      </c>
      <c r="I1534" s="11">
        <f ca="1">Table1[[#This Row],[Sales]]-H1534</f>
        <v>2588.7000000000007</v>
      </c>
      <c r="J1534" s="2">
        <f ca="1">Table1[[#This Row],[Profit]]/Table1[[#This Row],[Sales]]</f>
        <v>0.3000000000000001</v>
      </c>
      <c r="K1534" t="str">
        <f ca="1">TEXT(Table1[[#This Row],[Order_Date]],"mmm")</f>
        <v>Nov</v>
      </c>
      <c r="L1534">
        <f ca="1">YEAR(Table1[[#This Row],[Order_Date]])</f>
        <v>2023</v>
      </c>
    </row>
    <row r="1535" spans="1:12" x14ac:dyDescent="0.3">
      <c r="A1535">
        <f t="shared" si="92"/>
        <v>1534</v>
      </c>
      <c r="B1535" s="1">
        <f t="shared" ca="1" si="93"/>
        <v>44985</v>
      </c>
      <c r="C1535" t="s">
        <v>8</v>
      </c>
      <c r="D1535" t="str">
        <f t="shared" ca="1" si="94"/>
        <v>Clothing</v>
      </c>
      <c r="E1535" t="s">
        <v>60</v>
      </c>
      <c r="F1535" s="11">
        <v>4107</v>
      </c>
      <c r="G1535">
        <f t="shared" ca="1" si="95"/>
        <v>7</v>
      </c>
      <c r="H1535" s="11">
        <f ca="1">IF(Table1[[#This Row],[Category]]="Electronics",Table1[[#This Row],[Sales]]*0.6,
IF(Table1[[#This Row],[Category]]="Furniture",Table1[[#This Row],[Sales]]*0.75,
IF(Table1[[#This Row],[Category]]="Clothing",Table1[[#This Row],[Sales]]*0.65,
Table1[[#This Row],[Sales]]*0.7)))</f>
        <v>2669.55</v>
      </c>
      <c r="I1535" s="11">
        <f ca="1">Table1[[#This Row],[Sales]]-H1535</f>
        <v>1437.4499999999998</v>
      </c>
      <c r="J1535" s="2">
        <f ca="1">Table1[[#This Row],[Profit]]/Table1[[#This Row],[Sales]]</f>
        <v>0.35</v>
      </c>
      <c r="K1535" t="str">
        <f ca="1">TEXT(Table1[[#This Row],[Order_Date]],"mmm")</f>
        <v>Feb</v>
      </c>
      <c r="L1535">
        <f ca="1">YEAR(Table1[[#This Row],[Order_Date]])</f>
        <v>2023</v>
      </c>
    </row>
    <row r="1536" spans="1:12" x14ac:dyDescent="0.3">
      <c r="A1536">
        <f t="shared" si="92"/>
        <v>1535</v>
      </c>
      <c r="B1536" s="1">
        <f t="shared" ca="1" si="93"/>
        <v>45276</v>
      </c>
      <c r="C1536" t="s">
        <v>9</v>
      </c>
      <c r="D1536" t="str">
        <f t="shared" ca="1" si="94"/>
        <v>Office Supplies</v>
      </c>
      <c r="E1536" t="s">
        <v>77</v>
      </c>
      <c r="F1536" s="11">
        <v>7338</v>
      </c>
      <c r="G1536">
        <f t="shared" ca="1" si="95"/>
        <v>6</v>
      </c>
      <c r="H1536" s="11">
        <f ca="1">IF(Table1[[#This Row],[Category]]="Electronics",Table1[[#This Row],[Sales]]*0.6,
IF(Table1[[#This Row],[Category]]="Furniture",Table1[[#This Row],[Sales]]*0.75,
IF(Table1[[#This Row],[Category]]="Clothing",Table1[[#This Row],[Sales]]*0.65,
Table1[[#This Row],[Sales]]*0.7)))</f>
        <v>5136.5999999999995</v>
      </c>
      <c r="I1536" s="11">
        <f ca="1">Table1[[#This Row],[Sales]]-H1536</f>
        <v>2201.4000000000005</v>
      </c>
      <c r="J1536" s="2">
        <f ca="1">Table1[[#This Row],[Profit]]/Table1[[#This Row],[Sales]]</f>
        <v>0.3000000000000001</v>
      </c>
      <c r="K1536" t="str">
        <f ca="1">TEXT(Table1[[#This Row],[Order_Date]],"mmm")</f>
        <v>Dec</v>
      </c>
      <c r="L1536">
        <f ca="1">YEAR(Table1[[#This Row],[Order_Date]])</f>
        <v>2023</v>
      </c>
    </row>
    <row r="1537" spans="1:12" x14ac:dyDescent="0.3">
      <c r="A1537">
        <f t="shared" si="92"/>
        <v>1536</v>
      </c>
      <c r="B1537" s="1">
        <f t="shared" ca="1" si="93"/>
        <v>45165</v>
      </c>
      <c r="C1537" t="s">
        <v>10</v>
      </c>
      <c r="D1537" t="str">
        <f t="shared" ca="1" si="94"/>
        <v>Clothing</v>
      </c>
      <c r="E1537" t="s">
        <v>59</v>
      </c>
      <c r="F1537" s="11">
        <v>10089</v>
      </c>
      <c r="G1537">
        <f t="shared" ca="1" si="95"/>
        <v>6</v>
      </c>
      <c r="H1537" s="11">
        <f ca="1">IF(Table1[[#This Row],[Category]]="Electronics",Table1[[#This Row],[Sales]]*0.6,
IF(Table1[[#This Row],[Category]]="Furniture",Table1[[#This Row],[Sales]]*0.75,
IF(Table1[[#This Row],[Category]]="Clothing",Table1[[#This Row],[Sales]]*0.65,
Table1[[#This Row],[Sales]]*0.7)))</f>
        <v>6557.85</v>
      </c>
      <c r="I1537" s="11">
        <f ca="1">Table1[[#This Row],[Sales]]-H1537</f>
        <v>3531.1499999999996</v>
      </c>
      <c r="J1537" s="2">
        <f ca="1">Table1[[#This Row],[Profit]]/Table1[[#This Row],[Sales]]</f>
        <v>0.35</v>
      </c>
      <c r="K1537" t="str">
        <f ca="1">TEXT(Table1[[#This Row],[Order_Date]],"mmm")</f>
        <v>Aug</v>
      </c>
      <c r="L1537">
        <f ca="1">YEAR(Table1[[#This Row],[Order_Date]])</f>
        <v>2023</v>
      </c>
    </row>
    <row r="1538" spans="1:12" x14ac:dyDescent="0.3">
      <c r="A1538">
        <f t="shared" si="92"/>
        <v>1537</v>
      </c>
      <c r="B1538" s="1">
        <f t="shared" ca="1" si="93"/>
        <v>45042</v>
      </c>
      <c r="C1538" t="s">
        <v>7</v>
      </c>
      <c r="D1538" t="str">
        <f t="shared" ca="1" si="94"/>
        <v>Clothing</v>
      </c>
      <c r="E1538" t="s">
        <v>71</v>
      </c>
      <c r="F1538" s="11">
        <v>6294</v>
      </c>
      <c r="G1538">
        <f t="shared" ca="1" si="95"/>
        <v>9</v>
      </c>
      <c r="H1538" s="11">
        <f ca="1">IF(Table1[[#This Row],[Category]]="Electronics",Table1[[#This Row],[Sales]]*0.6,
IF(Table1[[#This Row],[Category]]="Furniture",Table1[[#This Row],[Sales]]*0.75,
IF(Table1[[#This Row],[Category]]="Clothing",Table1[[#This Row],[Sales]]*0.65,
Table1[[#This Row],[Sales]]*0.7)))</f>
        <v>4091.1000000000004</v>
      </c>
      <c r="I1538" s="11">
        <f ca="1">Table1[[#This Row],[Sales]]-H1538</f>
        <v>2202.8999999999996</v>
      </c>
      <c r="J1538" s="2">
        <f ca="1">Table1[[#This Row],[Profit]]/Table1[[#This Row],[Sales]]</f>
        <v>0.34999999999999992</v>
      </c>
      <c r="K1538" t="str">
        <f ca="1">TEXT(Table1[[#This Row],[Order_Date]],"mmm")</f>
        <v>Apr</v>
      </c>
      <c r="L1538">
        <f ca="1">YEAR(Table1[[#This Row],[Order_Date]])</f>
        <v>2023</v>
      </c>
    </row>
    <row r="1539" spans="1:12" x14ac:dyDescent="0.3">
      <c r="A1539">
        <f t="shared" ref="A1539:A1602" si="96">ROW()-1</f>
        <v>1538</v>
      </c>
      <c r="B1539" s="1">
        <f t="shared" ref="B1539:B1602" ca="1" si="97">DATE(2023, RANDBETWEEN(1,12), RANDBETWEEN(1,28))</f>
        <v>45243</v>
      </c>
      <c r="C1539" t="s">
        <v>8</v>
      </c>
      <c r="D1539" t="str">
        <f t="shared" ref="D1539:D1602" ca="1" si="98">CHOOSE(RANDBETWEEN(1,4),"Electronics","Furniture","Clothing","Office Supplies")</f>
        <v>Clothing</v>
      </c>
      <c r="E1539" t="s">
        <v>48</v>
      </c>
      <c r="F1539" s="11">
        <v>17852</v>
      </c>
      <c r="G1539">
        <f t="shared" ref="G1539:G1602" ca="1" si="99">RANDBETWEEN(1,10)</f>
        <v>6</v>
      </c>
      <c r="H1539" s="11">
        <f ca="1">IF(Table1[[#This Row],[Category]]="Electronics",Table1[[#This Row],[Sales]]*0.6,
IF(Table1[[#This Row],[Category]]="Furniture",Table1[[#This Row],[Sales]]*0.75,
IF(Table1[[#This Row],[Category]]="Clothing",Table1[[#This Row],[Sales]]*0.65,
Table1[[#This Row],[Sales]]*0.7)))</f>
        <v>11603.800000000001</v>
      </c>
      <c r="I1539" s="11">
        <f ca="1">Table1[[#This Row],[Sales]]-H1539</f>
        <v>6248.1999999999989</v>
      </c>
      <c r="J1539" s="2">
        <f ca="1">Table1[[#This Row],[Profit]]/Table1[[#This Row],[Sales]]</f>
        <v>0.34999999999999992</v>
      </c>
      <c r="K1539" t="str">
        <f ca="1">TEXT(Table1[[#This Row],[Order_Date]],"mmm")</f>
        <v>Nov</v>
      </c>
      <c r="L1539">
        <f ca="1">YEAR(Table1[[#This Row],[Order_Date]])</f>
        <v>2023</v>
      </c>
    </row>
    <row r="1540" spans="1:12" x14ac:dyDescent="0.3">
      <c r="A1540">
        <f t="shared" si="96"/>
        <v>1539</v>
      </c>
      <c r="B1540" s="1">
        <f t="shared" ca="1" si="97"/>
        <v>45055</v>
      </c>
      <c r="C1540" t="s">
        <v>9</v>
      </c>
      <c r="D1540" t="str">
        <f t="shared" ca="1" si="98"/>
        <v>Office Supplies</v>
      </c>
      <c r="E1540" t="s">
        <v>39</v>
      </c>
      <c r="F1540" s="11">
        <v>5158</v>
      </c>
      <c r="G1540">
        <f t="shared" ca="1" si="99"/>
        <v>3</v>
      </c>
      <c r="H1540" s="11">
        <f ca="1">IF(Table1[[#This Row],[Category]]="Electronics",Table1[[#This Row],[Sales]]*0.6,
IF(Table1[[#This Row],[Category]]="Furniture",Table1[[#This Row],[Sales]]*0.75,
IF(Table1[[#This Row],[Category]]="Clothing",Table1[[#This Row],[Sales]]*0.65,
Table1[[#This Row],[Sales]]*0.7)))</f>
        <v>3610.6</v>
      </c>
      <c r="I1540" s="11">
        <f ca="1">Table1[[#This Row],[Sales]]-H1540</f>
        <v>1547.4</v>
      </c>
      <c r="J1540" s="2">
        <f ca="1">Table1[[#This Row],[Profit]]/Table1[[#This Row],[Sales]]</f>
        <v>0.30000000000000004</v>
      </c>
      <c r="K1540" t="str">
        <f ca="1">TEXT(Table1[[#This Row],[Order_Date]],"mmm")</f>
        <v>May</v>
      </c>
      <c r="L1540">
        <f ca="1">YEAR(Table1[[#This Row],[Order_Date]])</f>
        <v>2023</v>
      </c>
    </row>
    <row r="1541" spans="1:12" x14ac:dyDescent="0.3">
      <c r="A1541">
        <f t="shared" si="96"/>
        <v>1540</v>
      </c>
      <c r="B1541" s="1">
        <f t="shared" ca="1" si="97"/>
        <v>45192</v>
      </c>
      <c r="C1541" t="s">
        <v>10</v>
      </c>
      <c r="D1541" t="str">
        <f t="shared" ca="1" si="98"/>
        <v>Furniture</v>
      </c>
      <c r="E1541" t="s">
        <v>68</v>
      </c>
      <c r="F1541" s="11">
        <v>17353</v>
      </c>
      <c r="G1541">
        <f t="shared" ca="1" si="99"/>
        <v>9</v>
      </c>
      <c r="H1541" s="11">
        <f ca="1">IF(Table1[[#This Row],[Category]]="Electronics",Table1[[#This Row],[Sales]]*0.6,
IF(Table1[[#This Row],[Category]]="Furniture",Table1[[#This Row],[Sales]]*0.75,
IF(Table1[[#This Row],[Category]]="Clothing",Table1[[#This Row],[Sales]]*0.65,
Table1[[#This Row],[Sales]]*0.7)))</f>
        <v>13014.75</v>
      </c>
      <c r="I1541" s="11">
        <f ca="1">Table1[[#This Row],[Sales]]-H1541</f>
        <v>4338.25</v>
      </c>
      <c r="J1541" s="2">
        <f ca="1">Table1[[#This Row],[Profit]]/Table1[[#This Row],[Sales]]</f>
        <v>0.25</v>
      </c>
      <c r="K1541" t="str">
        <f ca="1">TEXT(Table1[[#This Row],[Order_Date]],"mmm")</f>
        <v>Sep</v>
      </c>
      <c r="L1541">
        <f ca="1">YEAR(Table1[[#This Row],[Order_Date]])</f>
        <v>2023</v>
      </c>
    </row>
    <row r="1542" spans="1:12" x14ac:dyDescent="0.3">
      <c r="A1542">
        <f t="shared" si="96"/>
        <v>1541</v>
      </c>
      <c r="B1542" s="1">
        <f t="shared" ca="1" si="97"/>
        <v>45092</v>
      </c>
      <c r="C1542" t="s">
        <v>7</v>
      </c>
      <c r="D1542" t="str">
        <f t="shared" ca="1" si="98"/>
        <v>Furniture</v>
      </c>
      <c r="E1542" t="s">
        <v>71</v>
      </c>
      <c r="F1542" s="11">
        <v>1466</v>
      </c>
      <c r="G1542">
        <f t="shared" ca="1" si="99"/>
        <v>6</v>
      </c>
      <c r="H1542" s="11">
        <f ca="1">IF(Table1[[#This Row],[Category]]="Electronics",Table1[[#This Row],[Sales]]*0.6,
IF(Table1[[#This Row],[Category]]="Furniture",Table1[[#This Row],[Sales]]*0.75,
IF(Table1[[#This Row],[Category]]="Clothing",Table1[[#This Row],[Sales]]*0.65,
Table1[[#This Row],[Sales]]*0.7)))</f>
        <v>1099.5</v>
      </c>
      <c r="I1542" s="11">
        <f ca="1">Table1[[#This Row],[Sales]]-H1542</f>
        <v>366.5</v>
      </c>
      <c r="J1542" s="2">
        <f ca="1">Table1[[#This Row],[Profit]]/Table1[[#This Row],[Sales]]</f>
        <v>0.25</v>
      </c>
      <c r="K1542" t="str">
        <f ca="1">TEXT(Table1[[#This Row],[Order_Date]],"mmm")</f>
        <v>Jun</v>
      </c>
      <c r="L1542">
        <f ca="1">YEAR(Table1[[#This Row],[Order_Date]])</f>
        <v>2023</v>
      </c>
    </row>
    <row r="1543" spans="1:12" x14ac:dyDescent="0.3">
      <c r="A1543">
        <f t="shared" si="96"/>
        <v>1542</v>
      </c>
      <c r="B1543" s="1">
        <f t="shared" ca="1" si="97"/>
        <v>45021</v>
      </c>
      <c r="C1543" t="s">
        <v>8</v>
      </c>
      <c r="D1543" t="str">
        <f t="shared" ca="1" si="98"/>
        <v>Electronics</v>
      </c>
      <c r="E1543" t="s">
        <v>41</v>
      </c>
      <c r="F1543" s="11">
        <v>7337</v>
      </c>
      <c r="G1543">
        <f t="shared" ca="1" si="99"/>
        <v>1</v>
      </c>
      <c r="H1543" s="11">
        <f ca="1">IF(Table1[[#This Row],[Category]]="Electronics",Table1[[#This Row],[Sales]]*0.6,
IF(Table1[[#This Row],[Category]]="Furniture",Table1[[#This Row],[Sales]]*0.75,
IF(Table1[[#This Row],[Category]]="Clothing",Table1[[#This Row],[Sales]]*0.65,
Table1[[#This Row],[Sales]]*0.7)))</f>
        <v>4402.2</v>
      </c>
      <c r="I1543" s="11">
        <f ca="1">Table1[[#This Row],[Sales]]-H1543</f>
        <v>2934.8</v>
      </c>
      <c r="J1543" s="2">
        <f ca="1">Table1[[#This Row],[Profit]]/Table1[[#This Row],[Sales]]</f>
        <v>0.4</v>
      </c>
      <c r="K1543" t="str">
        <f ca="1">TEXT(Table1[[#This Row],[Order_Date]],"mmm")</f>
        <v>Apr</v>
      </c>
      <c r="L1543">
        <f ca="1">YEAR(Table1[[#This Row],[Order_Date]])</f>
        <v>2023</v>
      </c>
    </row>
    <row r="1544" spans="1:12" x14ac:dyDescent="0.3">
      <c r="A1544">
        <f t="shared" si="96"/>
        <v>1543</v>
      </c>
      <c r="B1544" s="1">
        <f t="shared" ca="1" si="97"/>
        <v>45147</v>
      </c>
      <c r="C1544" t="s">
        <v>9</v>
      </c>
      <c r="D1544" t="str">
        <f t="shared" ca="1" si="98"/>
        <v>Furniture</v>
      </c>
      <c r="E1544" t="s">
        <v>75</v>
      </c>
      <c r="F1544" s="11">
        <v>18401</v>
      </c>
      <c r="G1544">
        <f t="shared" ca="1" si="99"/>
        <v>9</v>
      </c>
      <c r="H1544" s="11">
        <f ca="1">IF(Table1[[#This Row],[Category]]="Electronics",Table1[[#This Row],[Sales]]*0.6,
IF(Table1[[#This Row],[Category]]="Furniture",Table1[[#This Row],[Sales]]*0.75,
IF(Table1[[#This Row],[Category]]="Clothing",Table1[[#This Row],[Sales]]*0.65,
Table1[[#This Row],[Sales]]*0.7)))</f>
        <v>13800.75</v>
      </c>
      <c r="I1544" s="11">
        <f ca="1">Table1[[#This Row],[Sales]]-H1544</f>
        <v>4600.25</v>
      </c>
      <c r="J1544" s="2">
        <f ca="1">Table1[[#This Row],[Profit]]/Table1[[#This Row],[Sales]]</f>
        <v>0.25</v>
      </c>
      <c r="K1544" t="str">
        <f ca="1">TEXT(Table1[[#This Row],[Order_Date]],"mmm")</f>
        <v>Aug</v>
      </c>
      <c r="L1544">
        <f ca="1">YEAR(Table1[[#This Row],[Order_Date]])</f>
        <v>2023</v>
      </c>
    </row>
    <row r="1545" spans="1:12" x14ac:dyDescent="0.3">
      <c r="A1545">
        <f t="shared" si="96"/>
        <v>1544</v>
      </c>
      <c r="B1545" s="1">
        <f t="shared" ca="1" si="97"/>
        <v>45099</v>
      </c>
      <c r="C1545" t="s">
        <v>10</v>
      </c>
      <c r="D1545" t="str">
        <f t="shared" ca="1" si="98"/>
        <v>Office Supplies</v>
      </c>
      <c r="E1545" t="s">
        <v>68</v>
      </c>
      <c r="F1545" s="11">
        <v>1456</v>
      </c>
      <c r="G1545">
        <f t="shared" ca="1" si="99"/>
        <v>10</v>
      </c>
      <c r="H1545" s="11">
        <f ca="1">IF(Table1[[#This Row],[Category]]="Electronics",Table1[[#This Row],[Sales]]*0.6,
IF(Table1[[#This Row],[Category]]="Furniture",Table1[[#This Row],[Sales]]*0.75,
IF(Table1[[#This Row],[Category]]="Clothing",Table1[[#This Row],[Sales]]*0.65,
Table1[[#This Row],[Sales]]*0.7)))</f>
        <v>1019.1999999999999</v>
      </c>
      <c r="I1545" s="11">
        <f ca="1">Table1[[#This Row],[Sales]]-H1545</f>
        <v>436.80000000000007</v>
      </c>
      <c r="J1545" s="2">
        <f ca="1">Table1[[#This Row],[Profit]]/Table1[[#This Row],[Sales]]</f>
        <v>0.30000000000000004</v>
      </c>
      <c r="K1545" t="str">
        <f ca="1">TEXT(Table1[[#This Row],[Order_Date]],"mmm")</f>
        <v>Jun</v>
      </c>
      <c r="L1545">
        <f ca="1">YEAR(Table1[[#This Row],[Order_Date]])</f>
        <v>2023</v>
      </c>
    </row>
    <row r="1546" spans="1:12" x14ac:dyDescent="0.3">
      <c r="A1546">
        <f t="shared" si="96"/>
        <v>1545</v>
      </c>
      <c r="B1546" s="1">
        <f t="shared" ca="1" si="97"/>
        <v>45177</v>
      </c>
      <c r="C1546" t="s">
        <v>7</v>
      </c>
      <c r="D1546" t="str">
        <f t="shared" ca="1" si="98"/>
        <v>Office Supplies</v>
      </c>
      <c r="E1546" t="s">
        <v>72</v>
      </c>
      <c r="F1546" s="11">
        <v>17753</v>
      </c>
      <c r="G1546">
        <f t="shared" ca="1" si="99"/>
        <v>9</v>
      </c>
      <c r="H1546" s="11">
        <f ca="1">IF(Table1[[#This Row],[Category]]="Electronics",Table1[[#This Row],[Sales]]*0.6,
IF(Table1[[#This Row],[Category]]="Furniture",Table1[[#This Row],[Sales]]*0.75,
IF(Table1[[#This Row],[Category]]="Clothing",Table1[[#This Row],[Sales]]*0.65,
Table1[[#This Row],[Sales]]*0.7)))</f>
        <v>12427.099999999999</v>
      </c>
      <c r="I1546" s="11">
        <f ca="1">Table1[[#This Row],[Sales]]-H1546</f>
        <v>5325.9000000000015</v>
      </c>
      <c r="J1546" s="2">
        <f ca="1">Table1[[#This Row],[Profit]]/Table1[[#This Row],[Sales]]</f>
        <v>0.3000000000000001</v>
      </c>
      <c r="K1546" t="str">
        <f ca="1">TEXT(Table1[[#This Row],[Order_Date]],"mmm")</f>
        <v>Sep</v>
      </c>
      <c r="L1546">
        <f ca="1">YEAR(Table1[[#This Row],[Order_Date]])</f>
        <v>2023</v>
      </c>
    </row>
    <row r="1547" spans="1:12" x14ac:dyDescent="0.3">
      <c r="A1547">
        <f t="shared" si="96"/>
        <v>1546</v>
      </c>
      <c r="B1547" s="1">
        <f t="shared" ca="1" si="97"/>
        <v>45161</v>
      </c>
      <c r="C1547" t="s">
        <v>8</v>
      </c>
      <c r="D1547" t="str">
        <f t="shared" ca="1" si="98"/>
        <v>Office Supplies</v>
      </c>
      <c r="E1547" t="s">
        <v>48</v>
      </c>
      <c r="F1547" s="11">
        <v>9974</v>
      </c>
      <c r="G1547">
        <f t="shared" ca="1" si="99"/>
        <v>4</v>
      </c>
      <c r="H1547" s="11">
        <f ca="1">IF(Table1[[#This Row],[Category]]="Electronics",Table1[[#This Row],[Sales]]*0.6,
IF(Table1[[#This Row],[Category]]="Furniture",Table1[[#This Row],[Sales]]*0.75,
IF(Table1[[#This Row],[Category]]="Clothing",Table1[[#This Row],[Sales]]*0.65,
Table1[[#This Row],[Sales]]*0.7)))</f>
        <v>6981.7999999999993</v>
      </c>
      <c r="I1547" s="11">
        <f ca="1">Table1[[#This Row],[Sales]]-H1547</f>
        <v>2992.2000000000007</v>
      </c>
      <c r="J1547" s="2">
        <f ca="1">Table1[[#This Row],[Profit]]/Table1[[#This Row],[Sales]]</f>
        <v>0.3000000000000001</v>
      </c>
      <c r="K1547" t="str">
        <f ca="1">TEXT(Table1[[#This Row],[Order_Date]],"mmm")</f>
        <v>Aug</v>
      </c>
      <c r="L1547">
        <f ca="1">YEAR(Table1[[#This Row],[Order_Date]])</f>
        <v>2023</v>
      </c>
    </row>
    <row r="1548" spans="1:12" x14ac:dyDescent="0.3">
      <c r="A1548">
        <f t="shared" si="96"/>
        <v>1547</v>
      </c>
      <c r="B1548" s="1">
        <f t="shared" ca="1" si="97"/>
        <v>45180</v>
      </c>
      <c r="C1548" t="s">
        <v>9</v>
      </c>
      <c r="D1548" t="str">
        <f t="shared" ca="1" si="98"/>
        <v>Office Supplies</v>
      </c>
      <c r="E1548" t="s">
        <v>45</v>
      </c>
      <c r="F1548" s="11">
        <v>9673</v>
      </c>
      <c r="G1548">
        <f t="shared" ca="1" si="99"/>
        <v>6</v>
      </c>
      <c r="H1548" s="11">
        <f ca="1">IF(Table1[[#This Row],[Category]]="Electronics",Table1[[#This Row],[Sales]]*0.6,
IF(Table1[[#This Row],[Category]]="Furniture",Table1[[#This Row],[Sales]]*0.75,
IF(Table1[[#This Row],[Category]]="Clothing",Table1[[#This Row],[Sales]]*0.65,
Table1[[#This Row],[Sales]]*0.7)))</f>
        <v>6771.0999999999995</v>
      </c>
      <c r="I1548" s="11">
        <f ca="1">Table1[[#This Row],[Sales]]-H1548</f>
        <v>2901.9000000000005</v>
      </c>
      <c r="J1548" s="2">
        <f ca="1">Table1[[#This Row],[Profit]]/Table1[[#This Row],[Sales]]</f>
        <v>0.30000000000000004</v>
      </c>
      <c r="K1548" t="str">
        <f ca="1">TEXT(Table1[[#This Row],[Order_Date]],"mmm")</f>
        <v>Sep</v>
      </c>
      <c r="L1548">
        <f ca="1">YEAR(Table1[[#This Row],[Order_Date]])</f>
        <v>2023</v>
      </c>
    </row>
    <row r="1549" spans="1:12" x14ac:dyDescent="0.3">
      <c r="A1549">
        <f t="shared" si="96"/>
        <v>1548</v>
      </c>
      <c r="B1549" s="1">
        <f t="shared" ca="1" si="97"/>
        <v>45128</v>
      </c>
      <c r="C1549" t="s">
        <v>10</v>
      </c>
      <c r="D1549" t="str">
        <f t="shared" ca="1" si="98"/>
        <v>Clothing</v>
      </c>
      <c r="E1549" t="s">
        <v>84</v>
      </c>
      <c r="F1549" s="11">
        <v>9192</v>
      </c>
      <c r="G1549">
        <f t="shared" ca="1" si="99"/>
        <v>3</v>
      </c>
      <c r="H1549" s="11">
        <f ca="1">IF(Table1[[#This Row],[Category]]="Electronics",Table1[[#This Row],[Sales]]*0.6,
IF(Table1[[#This Row],[Category]]="Furniture",Table1[[#This Row],[Sales]]*0.75,
IF(Table1[[#This Row],[Category]]="Clothing",Table1[[#This Row],[Sales]]*0.65,
Table1[[#This Row],[Sales]]*0.7)))</f>
        <v>5974.8</v>
      </c>
      <c r="I1549" s="11">
        <f ca="1">Table1[[#This Row],[Sales]]-H1549</f>
        <v>3217.2</v>
      </c>
      <c r="J1549" s="2">
        <f ca="1">Table1[[#This Row],[Profit]]/Table1[[#This Row],[Sales]]</f>
        <v>0.35</v>
      </c>
      <c r="K1549" t="str">
        <f ca="1">TEXT(Table1[[#This Row],[Order_Date]],"mmm")</f>
        <v>Jul</v>
      </c>
      <c r="L1549">
        <f ca="1">YEAR(Table1[[#This Row],[Order_Date]])</f>
        <v>2023</v>
      </c>
    </row>
    <row r="1550" spans="1:12" x14ac:dyDescent="0.3">
      <c r="A1550">
        <f t="shared" si="96"/>
        <v>1549</v>
      </c>
      <c r="B1550" s="1">
        <f t="shared" ca="1" si="97"/>
        <v>45124</v>
      </c>
      <c r="C1550" t="s">
        <v>7</v>
      </c>
      <c r="D1550" t="str">
        <f t="shared" ca="1" si="98"/>
        <v>Office Supplies</v>
      </c>
      <c r="E1550" t="s">
        <v>76</v>
      </c>
      <c r="F1550" s="11">
        <v>1219</v>
      </c>
      <c r="G1550">
        <f t="shared" ca="1" si="99"/>
        <v>6</v>
      </c>
      <c r="H1550" s="11">
        <f ca="1">IF(Table1[[#This Row],[Category]]="Electronics",Table1[[#This Row],[Sales]]*0.6,
IF(Table1[[#This Row],[Category]]="Furniture",Table1[[#This Row],[Sales]]*0.75,
IF(Table1[[#This Row],[Category]]="Clothing",Table1[[#This Row],[Sales]]*0.65,
Table1[[#This Row],[Sales]]*0.7)))</f>
        <v>853.3</v>
      </c>
      <c r="I1550" s="11">
        <f ca="1">Table1[[#This Row],[Sales]]-H1550</f>
        <v>365.70000000000005</v>
      </c>
      <c r="J1550" s="2">
        <f ca="1">Table1[[#This Row],[Profit]]/Table1[[#This Row],[Sales]]</f>
        <v>0.30000000000000004</v>
      </c>
      <c r="K1550" t="str">
        <f ca="1">TEXT(Table1[[#This Row],[Order_Date]],"mmm")</f>
        <v>Jul</v>
      </c>
      <c r="L1550">
        <f ca="1">YEAR(Table1[[#This Row],[Order_Date]])</f>
        <v>2023</v>
      </c>
    </row>
    <row r="1551" spans="1:12" x14ac:dyDescent="0.3">
      <c r="A1551">
        <f t="shared" si="96"/>
        <v>1550</v>
      </c>
      <c r="B1551" s="1">
        <f t="shared" ca="1" si="97"/>
        <v>45151</v>
      </c>
      <c r="C1551" t="s">
        <v>8</v>
      </c>
      <c r="D1551" t="str">
        <f t="shared" ca="1" si="98"/>
        <v>Office Supplies</v>
      </c>
      <c r="E1551" t="s">
        <v>82</v>
      </c>
      <c r="F1551" s="11">
        <v>5273</v>
      </c>
      <c r="G1551">
        <f t="shared" ca="1" si="99"/>
        <v>10</v>
      </c>
      <c r="H1551" s="11">
        <f ca="1">IF(Table1[[#This Row],[Category]]="Electronics",Table1[[#This Row],[Sales]]*0.6,
IF(Table1[[#This Row],[Category]]="Furniture",Table1[[#This Row],[Sales]]*0.75,
IF(Table1[[#This Row],[Category]]="Clothing",Table1[[#This Row],[Sales]]*0.65,
Table1[[#This Row],[Sales]]*0.7)))</f>
        <v>3691.1</v>
      </c>
      <c r="I1551" s="11">
        <f ca="1">Table1[[#This Row],[Sales]]-H1551</f>
        <v>1581.9</v>
      </c>
      <c r="J1551" s="2">
        <f ca="1">Table1[[#This Row],[Profit]]/Table1[[#This Row],[Sales]]</f>
        <v>0.30000000000000004</v>
      </c>
      <c r="K1551" t="str">
        <f ca="1">TEXT(Table1[[#This Row],[Order_Date]],"mmm")</f>
        <v>Aug</v>
      </c>
      <c r="L1551">
        <f ca="1">YEAR(Table1[[#This Row],[Order_Date]])</f>
        <v>2023</v>
      </c>
    </row>
    <row r="1552" spans="1:12" x14ac:dyDescent="0.3">
      <c r="A1552">
        <f t="shared" si="96"/>
        <v>1551</v>
      </c>
      <c r="B1552" s="1">
        <f t="shared" ca="1" si="97"/>
        <v>45133</v>
      </c>
      <c r="C1552" t="s">
        <v>9</v>
      </c>
      <c r="D1552" t="str">
        <f t="shared" ca="1" si="98"/>
        <v>Office Supplies</v>
      </c>
      <c r="E1552" t="s">
        <v>83</v>
      </c>
      <c r="F1552" s="11">
        <v>16444</v>
      </c>
      <c r="G1552">
        <f t="shared" ca="1" si="99"/>
        <v>1</v>
      </c>
      <c r="H1552" s="11">
        <f ca="1">IF(Table1[[#This Row],[Category]]="Electronics",Table1[[#This Row],[Sales]]*0.6,
IF(Table1[[#This Row],[Category]]="Furniture",Table1[[#This Row],[Sales]]*0.75,
IF(Table1[[#This Row],[Category]]="Clothing",Table1[[#This Row],[Sales]]*0.65,
Table1[[#This Row],[Sales]]*0.7)))</f>
        <v>11510.8</v>
      </c>
      <c r="I1552" s="11">
        <f ca="1">Table1[[#This Row],[Sales]]-H1552</f>
        <v>4933.2000000000007</v>
      </c>
      <c r="J1552" s="2">
        <f ca="1">Table1[[#This Row],[Profit]]/Table1[[#This Row],[Sales]]</f>
        <v>0.30000000000000004</v>
      </c>
      <c r="K1552" t="str">
        <f ca="1">TEXT(Table1[[#This Row],[Order_Date]],"mmm")</f>
        <v>Jul</v>
      </c>
      <c r="L1552">
        <f ca="1">YEAR(Table1[[#This Row],[Order_Date]])</f>
        <v>2023</v>
      </c>
    </row>
    <row r="1553" spans="1:12" x14ac:dyDescent="0.3">
      <c r="A1553">
        <f t="shared" si="96"/>
        <v>1552</v>
      </c>
      <c r="B1553" s="1">
        <f t="shared" ca="1" si="97"/>
        <v>45244</v>
      </c>
      <c r="C1553" t="s">
        <v>10</v>
      </c>
      <c r="D1553" t="str">
        <f t="shared" ca="1" si="98"/>
        <v>Furniture</v>
      </c>
      <c r="E1553" t="s">
        <v>60</v>
      </c>
      <c r="F1553" s="11">
        <v>16002</v>
      </c>
      <c r="G1553">
        <f t="shared" ca="1" si="99"/>
        <v>9</v>
      </c>
      <c r="H1553" s="11">
        <f ca="1">IF(Table1[[#This Row],[Category]]="Electronics",Table1[[#This Row],[Sales]]*0.6,
IF(Table1[[#This Row],[Category]]="Furniture",Table1[[#This Row],[Sales]]*0.75,
IF(Table1[[#This Row],[Category]]="Clothing",Table1[[#This Row],[Sales]]*0.65,
Table1[[#This Row],[Sales]]*0.7)))</f>
        <v>12001.5</v>
      </c>
      <c r="I1553" s="11">
        <f ca="1">Table1[[#This Row],[Sales]]-H1553</f>
        <v>4000.5</v>
      </c>
      <c r="J1553" s="2">
        <f ca="1">Table1[[#This Row],[Profit]]/Table1[[#This Row],[Sales]]</f>
        <v>0.25</v>
      </c>
      <c r="K1553" t="str">
        <f ca="1">TEXT(Table1[[#This Row],[Order_Date]],"mmm")</f>
        <v>Nov</v>
      </c>
      <c r="L1553">
        <f ca="1">YEAR(Table1[[#This Row],[Order_Date]])</f>
        <v>2023</v>
      </c>
    </row>
    <row r="1554" spans="1:12" x14ac:dyDescent="0.3">
      <c r="A1554">
        <f t="shared" si="96"/>
        <v>1553</v>
      </c>
      <c r="B1554" s="1">
        <f t="shared" ca="1" si="97"/>
        <v>45252</v>
      </c>
      <c r="C1554" t="s">
        <v>7</v>
      </c>
      <c r="D1554" t="str">
        <f t="shared" ca="1" si="98"/>
        <v>Office Supplies</v>
      </c>
      <c r="E1554" t="s">
        <v>81</v>
      </c>
      <c r="F1554" s="11">
        <v>17520</v>
      </c>
      <c r="G1554">
        <f t="shared" ca="1" si="99"/>
        <v>7</v>
      </c>
      <c r="H1554" s="11">
        <f ca="1">IF(Table1[[#This Row],[Category]]="Electronics",Table1[[#This Row],[Sales]]*0.6,
IF(Table1[[#This Row],[Category]]="Furniture",Table1[[#This Row],[Sales]]*0.75,
IF(Table1[[#This Row],[Category]]="Clothing",Table1[[#This Row],[Sales]]*0.65,
Table1[[#This Row],[Sales]]*0.7)))</f>
        <v>12264</v>
      </c>
      <c r="I1554" s="11">
        <f ca="1">Table1[[#This Row],[Sales]]-H1554</f>
        <v>5256</v>
      </c>
      <c r="J1554" s="2">
        <f ca="1">Table1[[#This Row],[Profit]]/Table1[[#This Row],[Sales]]</f>
        <v>0.3</v>
      </c>
      <c r="K1554" t="str">
        <f ca="1">TEXT(Table1[[#This Row],[Order_Date]],"mmm")</f>
        <v>Nov</v>
      </c>
      <c r="L1554">
        <f ca="1">YEAR(Table1[[#This Row],[Order_Date]])</f>
        <v>2023</v>
      </c>
    </row>
    <row r="1555" spans="1:12" x14ac:dyDescent="0.3">
      <c r="A1555">
        <f t="shared" si="96"/>
        <v>1554</v>
      </c>
      <c r="B1555" s="1">
        <f t="shared" ca="1" si="97"/>
        <v>45278</v>
      </c>
      <c r="C1555" t="s">
        <v>8</v>
      </c>
      <c r="D1555" t="str">
        <f t="shared" ca="1" si="98"/>
        <v>Office Supplies</v>
      </c>
      <c r="E1555" t="s">
        <v>58</v>
      </c>
      <c r="F1555" s="11">
        <v>6227</v>
      </c>
      <c r="G1555">
        <f t="shared" ca="1" si="99"/>
        <v>1</v>
      </c>
      <c r="H1555" s="11">
        <f ca="1">IF(Table1[[#This Row],[Category]]="Electronics",Table1[[#This Row],[Sales]]*0.6,
IF(Table1[[#This Row],[Category]]="Furniture",Table1[[#This Row],[Sales]]*0.75,
IF(Table1[[#This Row],[Category]]="Clothing",Table1[[#This Row],[Sales]]*0.65,
Table1[[#This Row],[Sales]]*0.7)))</f>
        <v>4358.8999999999996</v>
      </c>
      <c r="I1555" s="11">
        <f ca="1">Table1[[#This Row],[Sales]]-H1555</f>
        <v>1868.1000000000004</v>
      </c>
      <c r="J1555" s="2">
        <f ca="1">Table1[[#This Row],[Profit]]/Table1[[#This Row],[Sales]]</f>
        <v>0.30000000000000004</v>
      </c>
      <c r="K1555" t="str">
        <f ca="1">TEXT(Table1[[#This Row],[Order_Date]],"mmm")</f>
        <v>Dec</v>
      </c>
      <c r="L1555">
        <f ca="1">YEAR(Table1[[#This Row],[Order_Date]])</f>
        <v>2023</v>
      </c>
    </row>
    <row r="1556" spans="1:12" x14ac:dyDescent="0.3">
      <c r="A1556">
        <f t="shared" si="96"/>
        <v>1555</v>
      </c>
      <c r="B1556" s="1">
        <f t="shared" ca="1" si="97"/>
        <v>45025</v>
      </c>
      <c r="C1556" t="s">
        <v>9</v>
      </c>
      <c r="D1556" t="str">
        <f t="shared" ca="1" si="98"/>
        <v>Electronics</v>
      </c>
      <c r="E1556" t="s">
        <v>77</v>
      </c>
      <c r="F1556" s="11">
        <v>15452</v>
      </c>
      <c r="G1556">
        <f t="shared" ca="1" si="99"/>
        <v>7</v>
      </c>
      <c r="H1556" s="11">
        <f ca="1">IF(Table1[[#This Row],[Category]]="Electronics",Table1[[#This Row],[Sales]]*0.6,
IF(Table1[[#This Row],[Category]]="Furniture",Table1[[#This Row],[Sales]]*0.75,
IF(Table1[[#This Row],[Category]]="Clothing",Table1[[#This Row],[Sales]]*0.65,
Table1[[#This Row],[Sales]]*0.7)))</f>
        <v>9271.1999999999989</v>
      </c>
      <c r="I1556" s="11">
        <f ca="1">Table1[[#This Row],[Sales]]-H1556</f>
        <v>6180.8000000000011</v>
      </c>
      <c r="J1556" s="2">
        <f ca="1">Table1[[#This Row],[Profit]]/Table1[[#This Row],[Sales]]</f>
        <v>0.40000000000000008</v>
      </c>
      <c r="K1556" t="str">
        <f ca="1">TEXT(Table1[[#This Row],[Order_Date]],"mmm")</f>
        <v>Apr</v>
      </c>
      <c r="L1556">
        <f ca="1">YEAR(Table1[[#This Row],[Order_Date]])</f>
        <v>2023</v>
      </c>
    </row>
    <row r="1557" spans="1:12" x14ac:dyDescent="0.3">
      <c r="A1557">
        <f t="shared" si="96"/>
        <v>1556</v>
      </c>
      <c r="B1557" s="1">
        <f t="shared" ca="1" si="97"/>
        <v>45202</v>
      </c>
      <c r="C1557" t="s">
        <v>10</v>
      </c>
      <c r="D1557" t="str">
        <f t="shared" ca="1" si="98"/>
        <v>Clothing</v>
      </c>
      <c r="E1557" t="s">
        <v>78</v>
      </c>
      <c r="F1557" s="11">
        <v>7042</v>
      </c>
      <c r="G1557">
        <f t="shared" ca="1" si="99"/>
        <v>3</v>
      </c>
      <c r="H1557" s="11">
        <f ca="1">IF(Table1[[#This Row],[Category]]="Electronics",Table1[[#This Row],[Sales]]*0.6,
IF(Table1[[#This Row],[Category]]="Furniture",Table1[[#This Row],[Sales]]*0.75,
IF(Table1[[#This Row],[Category]]="Clothing",Table1[[#This Row],[Sales]]*0.65,
Table1[[#This Row],[Sales]]*0.7)))</f>
        <v>4577.3</v>
      </c>
      <c r="I1557" s="11">
        <f ca="1">Table1[[#This Row],[Sales]]-H1557</f>
        <v>2464.6999999999998</v>
      </c>
      <c r="J1557" s="2">
        <f ca="1">Table1[[#This Row],[Profit]]/Table1[[#This Row],[Sales]]</f>
        <v>0.35</v>
      </c>
      <c r="K1557" t="str">
        <f ca="1">TEXT(Table1[[#This Row],[Order_Date]],"mmm")</f>
        <v>Oct</v>
      </c>
      <c r="L1557">
        <f ca="1">YEAR(Table1[[#This Row],[Order_Date]])</f>
        <v>2023</v>
      </c>
    </row>
    <row r="1558" spans="1:12" x14ac:dyDescent="0.3">
      <c r="A1558">
        <f t="shared" si="96"/>
        <v>1557</v>
      </c>
      <c r="B1558" s="1">
        <f t="shared" ca="1" si="97"/>
        <v>45104</v>
      </c>
      <c r="C1558" t="s">
        <v>7</v>
      </c>
      <c r="D1558" t="str">
        <f t="shared" ca="1" si="98"/>
        <v>Furniture</v>
      </c>
      <c r="E1558" t="s">
        <v>50</v>
      </c>
      <c r="F1558" s="11">
        <v>10237</v>
      </c>
      <c r="G1558">
        <f t="shared" ca="1" si="99"/>
        <v>6</v>
      </c>
      <c r="H1558" s="11">
        <f ca="1">IF(Table1[[#This Row],[Category]]="Electronics",Table1[[#This Row],[Sales]]*0.6,
IF(Table1[[#This Row],[Category]]="Furniture",Table1[[#This Row],[Sales]]*0.75,
IF(Table1[[#This Row],[Category]]="Clothing",Table1[[#This Row],[Sales]]*0.65,
Table1[[#This Row],[Sales]]*0.7)))</f>
        <v>7677.75</v>
      </c>
      <c r="I1558" s="11">
        <f ca="1">Table1[[#This Row],[Sales]]-H1558</f>
        <v>2559.25</v>
      </c>
      <c r="J1558" s="2">
        <f ca="1">Table1[[#This Row],[Profit]]/Table1[[#This Row],[Sales]]</f>
        <v>0.25</v>
      </c>
      <c r="K1558" t="str">
        <f ca="1">TEXT(Table1[[#This Row],[Order_Date]],"mmm")</f>
        <v>Jun</v>
      </c>
      <c r="L1558">
        <f ca="1">YEAR(Table1[[#This Row],[Order_Date]])</f>
        <v>2023</v>
      </c>
    </row>
    <row r="1559" spans="1:12" x14ac:dyDescent="0.3">
      <c r="A1559">
        <f t="shared" si="96"/>
        <v>1558</v>
      </c>
      <c r="B1559" s="1">
        <f t="shared" ca="1" si="97"/>
        <v>45142</v>
      </c>
      <c r="C1559" t="s">
        <v>8</v>
      </c>
      <c r="D1559" t="str">
        <f t="shared" ca="1" si="98"/>
        <v>Electronics</v>
      </c>
      <c r="E1559" t="s">
        <v>80</v>
      </c>
      <c r="F1559" s="11">
        <v>17952</v>
      </c>
      <c r="G1559">
        <f t="shared" ca="1" si="99"/>
        <v>5</v>
      </c>
      <c r="H1559" s="11">
        <f ca="1">IF(Table1[[#This Row],[Category]]="Electronics",Table1[[#This Row],[Sales]]*0.6,
IF(Table1[[#This Row],[Category]]="Furniture",Table1[[#This Row],[Sales]]*0.75,
IF(Table1[[#This Row],[Category]]="Clothing",Table1[[#This Row],[Sales]]*0.65,
Table1[[#This Row],[Sales]]*0.7)))</f>
        <v>10771.199999999999</v>
      </c>
      <c r="I1559" s="11">
        <f ca="1">Table1[[#This Row],[Sales]]-H1559</f>
        <v>7180.8000000000011</v>
      </c>
      <c r="J1559" s="2">
        <f ca="1">Table1[[#This Row],[Profit]]/Table1[[#This Row],[Sales]]</f>
        <v>0.40000000000000008</v>
      </c>
      <c r="K1559" t="str">
        <f ca="1">TEXT(Table1[[#This Row],[Order_Date]],"mmm")</f>
        <v>Aug</v>
      </c>
      <c r="L1559">
        <f ca="1">YEAR(Table1[[#This Row],[Order_Date]])</f>
        <v>2023</v>
      </c>
    </row>
    <row r="1560" spans="1:12" x14ac:dyDescent="0.3">
      <c r="A1560">
        <f t="shared" si="96"/>
        <v>1559</v>
      </c>
      <c r="B1560" s="1">
        <f t="shared" ca="1" si="97"/>
        <v>45128</v>
      </c>
      <c r="C1560" t="s">
        <v>9</v>
      </c>
      <c r="D1560" t="str">
        <f t="shared" ca="1" si="98"/>
        <v>Furniture</v>
      </c>
      <c r="E1560" t="s">
        <v>64</v>
      </c>
      <c r="F1560" s="11">
        <v>6167</v>
      </c>
      <c r="G1560">
        <f t="shared" ca="1" si="99"/>
        <v>4</v>
      </c>
      <c r="H1560" s="11">
        <f ca="1">IF(Table1[[#This Row],[Category]]="Electronics",Table1[[#This Row],[Sales]]*0.6,
IF(Table1[[#This Row],[Category]]="Furniture",Table1[[#This Row],[Sales]]*0.75,
IF(Table1[[#This Row],[Category]]="Clothing",Table1[[#This Row],[Sales]]*0.65,
Table1[[#This Row],[Sales]]*0.7)))</f>
        <v>4625.25</v>
      </c>
      <c r="I1560" s="11">
        <f ca="1">Table1[[#This Row],[Sales]]-H1560</f>
        <v>1541.75</v>
      </c>
      <c r="J1560" s="2">
        <f ca="1">Table1[[#This Row],[Profit]]/Table1[[#This Row],[Sales]]</f>
        <v>0.25</v>
      </c>
      <c r="K1560" t="str">
        <f ca="1">TEXT(Table1[[#This Row],[Order_Date]],"mmm")</f>
        <v>Jul</v>
      </c>
      <c r="L1560">
        <f ca="1">YEAR(Table1[[#This Row],[Order_Date]])</f>
        <v>2023</v>
      </c>
    </row>
    <row r="1561" spans="1:12" x14ac:dyDescent="0.3">
      <c r="A1561">
        <f t="shared" si="96"/>
        <v>1560</v>
      </c>
      <c r="B1561" s="1">
        <f t="shared" ca="1" si="97"/>
        <v>45267</v>
      </c>
      <c r="C1561" t="s">
        <v>10</v>
      </c>
      <c r="D1561" t="str">
        <f t="shared" ca="1" si="98"/>
        <v>Office Supplies</v>
      </c>
      <c r="E1561" t="s">
        <v>85</v>
      </c>
      <c r="F1561" s="11">
        <v>11754</v>
      </c>
      <c r="G1561">
        <f t="shared" ca="1" si="99"/>
        <v>5</v>
      </c>
      <c r="H1561" s="11">
        <f ca="1">IF(Table1[[#This Row],[Category]]="Electronics",Table1[[#This Row],[Sales]]*0.6,
IF(Table1[[#This Row],[Category]]="Furniture",Table1[[#This Row],[Sales]]*0.75,
IF(Table1[[#This Row],[Category]]="Clothing",Table1[[#This Row],[Sales]]*0.65,
Table1[[#This Row],[Sales]]*0.7)))</f>
        <v>8227.7999999999993</v>
      </c>
      <c r="I1561" s="11">
        <f ca="1">Table1[[#This Row],[Sales]]-H1561</f>
        <v>3526.2000000000007</v>
      </c>
      <c r="J1561" s="2">
        <f ca="1">Table1[[#This Row],[Profit]]/Table1[[#This Row],[Sales]]</f>
        <v>0.30000000000000004</v>
      </c>
      <c r="K1561" t="str">
        <f ca="1">TEXT(Table1[[#This Row],[Order_Date]],"mmm")</f>
        <v>Dec</v>
      </c>
      <c r="L1561">
        <f ca="1">YEAR(Table1[[#This Row],[Order_Date]])</f>
        <v>2023</v>
      </c>
    </row>
    <row r="1562" spans="1:12" x14ac:dyDescent="0.3">
      <c r="A1562">
        <f t="shared" si="96"/>
        <v>1561</v>
      </c>
      <c r="B1562" s="1">
        <f t="shared" ca="1" si="97"/>
        <v>45119</v>
      </c>
      <c r="C1562" t="s">
        <v>7</v>
      </c>
      <c r="D1562" t="str">
        <f t="shared" ca="1" si="98"/>
        <v>Furniture</v>
      </c>
      <c r="E1562" t="s">
        <v>39</v>
      </c>
      <c r="F1562" s="11">
        <v>4112</v>
      </c>
      <c r="G1562">
        <f t="shared" ca="1" si="99"/>
        <v>4</v>
      </c>
      <c r="H1562" s="11">
        <f ca="1">IF(Table1[[#This Row],[Category]]="Electronics",Table1[[#This Row],[Sales]]*0.6,
IF(Table1[[#This Row],[Category]]="Furniture",Table1[[#This Row],[Sales]]*0.75,
IF(Table1[[#This Row],[Category]]="Clothing",Table1[[#This Row],[Sales]]*0.65,
Table1[[#This Row],[Sales]]*0.7)))</f>
        <v>3084</v>
      </c>
      <c r="I1562" s="11">
        <f ca="1">Table1[[#This Row],[Sales]]-H1562</f>
        <v>1028</v>
      </c>
      <c r="J1562" s="2">
        <f ca="1">Table1[[#This Row],[Profit]]/Table1[[#This Row],[Sales]]</f>
        <v>0.25</v>
      </c>
      <c r="K1562" t="str">
        <f ca="1">TEXT(Table1[[#This Row],[Order_Date]],"mmm")</f>
        <v>Jul</v>
      </c>
      <c r="L1562">
        <f ca="1">YEAR(Table1[[#This Row],[Order_Date]])</f>
        <v>2023</v>
      </c>
    </row>
    <row r="1563" spans="1:12" x14ac:dyDescent="0.3">
      <c r="A1563">
        <f t="shared" si="96"/>
        <v>1562</v>
      </c>
      <c r="B1563" s="1">
        <f t="shared" ca="1" si="97"/>
        <v>45147</v>
      </c>
      <c r="C1563" t="s">
        <v>8</v>
      </c>
      <c r="D1563" t="str">
        <f t="shared" ca="1" si="98"/>
        <v>Office Supplies</v>
      </c>
      <c r="E1563" t="s">
        <v>45</v>
      </c>
      <c r="F1563" s="11">
        <v>12907</v>
      </c>
      <c r="G1563">
        <f t="shared" ca="1" si="99"/>
        <v>7</v>
      </c>
      <c r="H1563" s="11">
        <f ca="1">IF(Table1[[#This Row],[Category]]="Electronics",Table1[[#This Row],[Sales]]*0.6,
IF(Table1[[#This Row],[Category]]="Furniture",Table1[[#This Row],[Sales]]*0.75,
IF(Table1[[#This Row],[Category]]="Clothing",Table1[[#This Row],[Sales]]*0.65,
Table1[[#This Row],[Sales]]*0.7)))</f>
        <v>9034.9</v>
      </c>
      <c r="I1563" s="11">
        <f ca="1">Table1[[#This Row],[Sales]]-H1563</f>
        <v>3872.1000000000004</v>
      </c>
      <c r="J1563" s="2">
        <f ca="1">Table1[[#This Row],[Profit]]/Table1[[#This Row],[Sales]]</f>
        <v>0.30000000000000004</v>
      </c>
      <c r="K1563" t="str">
        <f ca="1">TEXT(Table1[[#This Row],[Order_Date]],"mmm")</f>
        <v>Aug</v>
      </c>
      <c r="L1563">
        <f ca="1">YEAR(Table1[[#This Row],[Order_Date]])</f>
        <v>2023</v>
      </c>
    </row>
    <row r="1564" spans="1:12" x14ac:dyDescent="0.3">
      <c r="A1564">
        <f t="shared" si="96"/>
        <v>1563</v>
      </c>
      <c r="B1564" s="1">
        <f t="shared" ca="1" si="97"/>
        <v>44981</v>
      </c>
      <c r="C1564" t="s">
        <v>9</v>
      </c>
      <c r="D1564" t="str">
        <f t="shared" ca="1" si="98"/>
        <v>Office Supplies</v>
      </c>
      <c r="E1564" t="s">
        <v>45</v>
      </c>
      <c r="F1564" s="11">
        <v>2279</v>
      </c>
      <c r="G1564">
        <f t="shared" ca="1" si="99"/>
        <v>10</v>
      </c>
      <c r="H1564" s="11">
        <f ca="1">IF(Table1[[#This Row],[Category]]="Electronics",Table1[[#This Row],[Sales]]*0.6,
IF(Table1[[#This Row],[Category]]="Furniture",Table1[[#This Row],[Sales]]*0.75,
IF(Table1[[#This Row],[Category]]="Clothing",Table1[[#This Row],[Sales]]*0.65,
Table1[[#This Row],[Sales]]*0.7)))</f>
        <v>1595.3</v>
      </c>
      <c r="I1564" s="11">
        <f ca="1">Table1[[#This Row],[Sales]]-H1564</f>
        <v>683.7</v>
      </c>
      <c r="J1564" s="2">
        <f ca="1">Table1[[#This Row],[Profit]]/Table1[[#This Row],[Sales]]</f>
        <v>0.30000000000000004</v>
      </c>
      <c r="K1564" t="str">
        <f ca="1">TEXT(Table1[[#This Row],[Order_Date]],"mmm")</f>
        <v>Feb</v>
      </c>
      <c r="L1564">
        <f ca="1">YEAR(Table1[[#This Row],[Order_Date]])</f>
        <v>2023</v>
      </c>
    </row>
    <row r="1565" spans="1:12" x14ac:dyDescent="0.3">
      <c r="A1565">
        <f t="shared" si="96"/>
        <v>1564</v>
      </c>
      <c r="B1565" s="1">
        <f t="shared" ca="1" si="97"/>
        <v>45150</v>
      </c>
      <c r="C1565" t="s">
        <v>10</v>
      </c>
      <c r="D1565" t="str">
        <f t="shared" ca="1" si="98"/>
        <v>Office Supplies</v>
      </c>
      <c r="E1565" t="s">
        <v>58</v>
      </c>
      <c r="F1565" s="11">
        <v>11352</v>
      </c>
      <c r="G1565">
        <f t="shared" ca="1" si="99"/>
        <v>2</v>
      </c>
      <c r="H1565" s="11">
        <f ca="1">IF(Table1[[#This Row],[Category]]="Electronics",Table1[[#This Row],[Sales]]*0.6,
IF(Table1[[#This Row],[Category]]="Furniture",Table1[[#This Row],[Sales]]*0.75,
IF(Table1[[#This Row],[Category]]="Clothing",Table1[[#This Row],[Sales]]*0.65,
Table1[[#This Row],[Sales]]*0.7)))</f>
        <v>7946.4</v>
      </c>
      <c r="I1565" s="11">
        <f ca="1">Table1[[#This Row],[Sales]]-H1565</f>
        <v>3405.6000000000004</v>
      </c>
      <c r="J1565" s="2">
        <f ca="1">Table1[[#This Row],[Profit]]/Table1[[#This Row],[Sales]]</f>
        <v>0.30000000000000004</v>
      </c>
      <c r="K1565" t="str">
        <f ca="1">TEXT(Table1[[#This Row],[Order_Date]],"mmm")</f>
        <v>Aug</v>
      </c>
      <c r="L1565">
        <f ca="1">YEAR(Table1[[#This Row],[Order_Date]])</f>
        <v>2023</v>
      </c>
    </row>
    <row r="1566" spans="1:12" x14ac:dyDescent="0.3">
      <c r="A1566">
        <f t="shared" si="96"/>
        <v>1565</v>
      </c>
      <c r="B1566" s="1">
        <f t="shared" ca="1" si="97"/>
        <v>44973</v>
      </c>
      <c r="C1566" t="s">
        <v>7</v>
      </c>
      <c r="D1566" t="str">
        <f t="shared" ca="1" si="98"/>
        <v>Furniture</v>
      </c>
      <c r="E1566" t="s">
        <v>56</v>
      </c>
      <c r="F1566" s="11">
        <v>5517</v>
      </c>
      <c r="G1566">
        <f t="shared" ca="1" si="99"/>
        <v>9</v>
      </c>
      <c r="H1566" s="11">
        <f ca="1">IF(Table1[[#This Row],[Category]]="Electronics",Table1[[#This Row],[Sales]]*0.6,
IF(Table1[[#This Row],[Category]]="Furniture",Table1[[#This Row],[Sales]]*0.75,
IF(Table1[[#This Row],[Category]]="Clothing",Table1[[#This Row],[Sales]]*0.65,
Table1[[#This Row],[Sales]]*0.7)))</f>
        <v>4137.75</v>
      </c>
      <c r="I1566" s="11">
        <f ca="1">Table1[[#This Row],[Sales]]-H1566</f>
        <v>1379.25</v>
      </c>
      <c r="J1566" s="2">
        <f ca="1">Table1[[#This Row],[Profit]]/Table1[[#This Row],[Sales]]</f>
        <v>0.25</v>
      </c>
      <c r="K1566" t="str">
        <f ca="1">TEXT(Table1[[#This Row],[Order_Date]],"mmm")</f>
        <v>Feb</v>
      </c>
      <c r="L1566">
        <f ca="1">YEAR(Table1[[#This Row],[Order_Date]])</f>
        <v>2023</v>
      </c>
    </row>
    <row r="1567" spans="1:12" x14ac:dyDescent="0.3">
      <c r="A1567">
        <f t="shared" si="96"/>
        <v>1566</v>
      </c>
      <c r="B1567" s="1">
        <f t="shared" ca="1" si="97"/>
        <v>44963</v>
      </c>
      <c r="C1567" t="s">
        <v>8</v>
      </c>
      <c r="D1567" t="str">
        <f t="shared" ca="1" si="98"/>
        <v>Furniture</v>
      </c>
      <c r="E1567" t="s">
        <v>52</v>
      </c>
      <c r="F1567" s="11">
        <v>6273</v>
      </c>
      <c r="G1567">
        <f t="shared" ca="1" si="99"/>
        <v>1</v>
      </c>
      <c r="H1567" s="11">
        <f ca="1">IF(Table1[[#This Row],[Category]]="Electronics",Table1[[#This Row],[Sales]]*0.6,
IF(Table1[[#This Row],[Category]]="Furniture",Table1[[#This Row],[Sales]]*0.75,
IF(Table1[[#This Row],[Category]]="Clothing",Table1[[#This Row],[Sales]]*0.65,
Table1[[#This Row],[Sales]]*0.7)))</f>
        <v>4704.75</v>
      </c>
      <c r="I1567" s="11">
        <f ca="1">Table1[[#This Row],[Sales]]-H1567</f>
        <v>1568.25</v>
      </c>
      <c r="J1567" s="2">
        <f ca="1">Table1[[#This Row],[Profit]]/Table1[[#This Row],[Sales]]</f>
        <v>0.25</v>
      </c>
      <c r="K1567" t="str">
        <f ca="1">TEXT(Table1[[#This Row],[Order_Date]],"mmm")</f>
        <v>Feb</v>
      </c>
      <c r="L1567">
        <f ca="1">YEAR(Table1[[#This Row],[Order_Date]])</f>
        <v>2023</v>
      </c>
    </row>
    <row r="1568" spans="1:12" x14ac:dyDescent="0.3">
      <c r="A1568">
        <f t="shared" si="96"/>
        <v>1567</v>
      </c>
      <c r="B1568" s="1">
        <f t="shared" ca="1" si="97"/>
        <v>44962</v>
      </c>
      <c r="C1568" t="s">
        <v>9</v>
      </c>
      <c r="D1568" t="str">
        <f t="shared" ca="1" si="98"/>
        <v>Furniture</v>
      </c>
      <c r="E1568" t="s">
        <v>38</v>
      </c>
      <c r="F1568" s="11">
        <v>4838</v>
      </c>
      <c r="G1568">
        <f t="shared" ca="1" si="99"/>
        <v>9</v>
      </c>
      <c r="H1568" s="11">
        <f ca="1">IF(Table1[[#This Row],[Category]]="Electronics",Table1[[#This Row],[Sales]]*0.6,
IF(Table1[[#This Row],[Category]]="Furniture",Table1[[#This Row],[Sales]]*0.75,
IF(Table1[[#This Row],[Category]]="Clothing",Table1[[#This Row],[Sales]]*0.65,
Table1[[#This Row],[Sales]]*0.7)))</f>
        <v>3628.5</v>
      </c>
      <c r="I1568" s="11">
        <f ca="1">Table1[[#This Row],[Sales]]-H1568</f>
        <v>1209.5</v>
      </c>
      <c r="J1568" s="2">
        <f ca="1">Table1[[#This Row],[Profit]]/Table1[[#This Row],[Sales]]</f>
        <v>0.25</v>
      </c>
      <c r="K1568" t="str">
        <f ca="1">TEXT(Table1[[#This Row],[Order_Date]],"mmm")</f>
        <v>Feb</v>
      </c>
      <c r="L1568">
        <f ca="1">YEAR(Table1[[#This Row],[Order_Date]])</f>
        <v>2023</v>
      </c>
    </row>
    <row r="1569" spans="1:12" x14ac:dyDescent="0.3">
      <c r="A1569">
        <f t="shared" si="96"/>
        <v>1568</v>
      </c>
      <c r="B1569" s="1">
        <f t="shared" ca="1" si="97"/>
        <v>44951</v>
      </c>
      <c r="C1569" t="s">
        <v>10</v>
      </c>
      <c r="D1569" t="str">
        <f t="shared" ca="1" si="98"/>
        <v>Office Supplies</v>
      </c>
      <c r="E1569" t="s">
        <v>75</v>
      </c>
      <c r="F1569" s="11">
        <v>10130</v>
      </c>
      <c r="G1569">
        <f t="shared" ca="1" si="99"/>
        <v>3</v>
      </c>
      <c r="H1569" s="11">
        <f ca="1">IF(Table1[[#This Row],[Category]]="Electronics",Table1[[#This Row],[Sales]]*0.6,
IF(Table1[[#This Row],[Category]]="Furniture",Table1[[#This Row],[Sales]]*0.75,
IF(Table1[[#This Row],[Category]]="Clothing",Table1[[#This Row],[Sales]]*0.65,
Table1[[#This Row],[Sales]]*0.7)))</f>
        <v>7091</v>
      </c>
      <c r="I1569" s="11">
        <f ca="1">Table1[[#This Row],[Sales]]-H1569</f>
        <v>3039</v>
      </c>
      <c r="J1569" s="2">
        <f ca="1">Table1[[#This Row],[Profit]]/Table1[[#This Row],[Sales]]</f>
        <v>0.3</v>
      </c>
      <c r="K1569" t="str">
        <f ca="1">TEXT(Table1[[#This Row],[Order_Date]],"mmm")</f>
        <v>Jan</v>
      </c>
      <c r="L1569">
        <f ca="1">YEAR(Table1[[#This Row],[Order_Date]])</f>
        <v>2023</v>
      </c>
    </row>
    <row r="1570" spans="1:12" x14ac:dyDescent="0.3">
      <c r="A1570">
        <f t="shared" si="96"/>
        <v>1569</v>
      </c>
      <c r="B1570" s="1">
        <f t="shared" ca="1" si="97"/>
        <v>45129</v>
      </c>
      <c r="C1570" t="s">
        <v>7</v>
      </c>
      <c r="D1570" t="str">
        <f t="shared" ca="1" si="98"/>
        <v>Office Supplies</v>
      </c>
      <c r="E1570" t="s">
        <v>82</v>
      </c>
      <c r="F1570" s="11">
        <v>3198</v>
      </c>
      <c r="G1570">
        <f t="shared" ca="1" si="99"/>
        <v>6</v>
      </c>
      <c r="H1570" s="11">
        <f ca="1">IF(Table1[[#This Row],[Category]]="Electronics",Table1[[#This Row],[Sales]]*0.6,
IF(Table1[[#This Row],[Category]]="Furniture",Table1[[#This Row],[Sales]]*0.75,
IF(Table1[[#This Row],[Category]]="Clothing",Table1[[#This Row],[Sales]]*0.65,
Table1[[#This Row],[Sales]]*0.7)))</f>
        <v>2238.6</v>
      </c>
      <c r="I1570" s="11">
        <f ca="1">Table1[[#This Row],[Sales]]-H1570</f>
        <v>959.40000000000009</v>
      </c>
      <c r="J1570" s="2">
        <f ca="1">Table1[[#This Row],[Profit]]/Table1[[#This Row],[Sales]]</f>
        <v>0.30000000000000004</v>
      </c>
      <c r="K1570" t="str">
        <f ca="1">TEXT(Table1[[#This Row],[Order_Date]],"mmm")</f>
        <v>Jul</v>
      </c>
      <c r="L1570">
        <f ca="1">YEAR(Table1[[#This Row],[Order_Date]])</f>
        <v>2023</v>
      </c>
    </row>
    <row r="1571" spans="1:12" x14ac:dyDescent="0.3">
      <c r="A1571">
        <f t="shared" si="96"/>
        <v>1570</v>
      </c>
      <c r="B1571" s="1">
        <f t="shared" ca="1" si="97"/>
        <v>45008</v>
      </c>
      <c r="C1571" t="s">
        <v>8</v>
      </c>
      <c r="D1571" t="str">
        <f t="shared" ca="1" si="98"/>
        <v>Furniture</v>
      </c>
      <c r="E1571" t="s">
        <v>65</v>
      </c>
      <c r="F1571" s="11">
        <v>5227</v>
      </c>
      <c r="G1571">
        <f t="shared" ca="1" si="99"/>
        <v>5</v>
      </c>
      <c r="H1571" s="11">
        <f ca="1">IF(Table1[[#This Row],[Category]]="Electronics",Table1[[#This Row],[Sales]]*0.6,
IF(Table1[[#This Row],[Category]]="Furniture",Table1[[#This Row],[Sales]]*0.75,
IF(Table1[[#This Row],[Category]]="Clothing",Table1[[#This Row],[Sales]]*0.65,
Table1[[#This Row],[Sales]]*0.7)))</f>
        <v>3920.25</v>
      </c>
      <c r="I1571" s="11">
        <f ca="1">Table1[[#This Row],[Sales]]-H1571</f>
        <v>1306.75</v>
      </c>
      <c r="J1571" s="2">
        <f ca="1">Table1[[#This Row],[Profit]]/Table1[[#This Row],[Sales]]</f>
        <v>0.25</v>
      </c>
      <c r="K1571" t="str">
        <f ca="1">TEXT(Table1[[#This Row],[Order_Date]],"mmm")</f>
        <v>Mar</v>
      </c>
      <c r="L1571">
        <f ca="1">YEAR(Table1[[#This Row],[Order_Date]])</f>
        <v>2023</v>
      </c>
    </row>
    <row r="1572" spans="1:12" x14ac:dyDescent="0.3">
      <c r="A1572">
        <f t="shared" si="96"/>
        <v>1571</v>
      </c>
      <c r="B1572" s="1">
        <f t="shared" ca="1" si="97"/>
        <v>45261</v>
      </c>
      <c r="C1572" t="s">
        <v>9</v>
      </c>
      <c r="D1572" t="str">
        <f t="shared" ca="1" si="98"/>
        <v>Clothing</v>
      </c>
      <c r="E1572" t="s">
        <v>48</v>
      </c>
      <c r="F1572" s="11">
        <v>7316</v>
      </c>
      <c r="G1572">
        <f t="shared" ca="1" si="99"/>
        <v>3</v>
      </c>
      <c r="H1572" s="11">
        <f ca="1">IF(Table1[[#This Row],[Category]]="Electronics",Table1[[#This Row],[Sales]]*0.6,
IF(Table1[[#This Row],[Category]]="Furniture",Table1[[#This Row],[Sales]]*0.75,
IF(Table1[[#This Row],[Category]]="Clothing",Table1[[#This Row],[Sales]]*0.65,
Table1[[#This Row],[Sales]]*0.7)))</f>
        <v>4755.4000000000005</v>
      </c>
      <c r="I1572" s="11">
        <f ca="1">Table1[[#This Row],[Sales]]-H1572</f>
        <v>2560.5999999999995</v>
      </c>
      <c r="J1572" s="2">
        <f ca="1">Table1[[#This Row],[Profit]]/Table1[[#This Row],[Sales]]</f>
        <v>0.34999999999999992</v>
      </c>
      <c r="K1572" t="str">
        <f ca="1">TEXT(Table1[[#This Row],[Order_Date]],"mmm")</f>
        <v>Dec</v>
      </c>
      <c r="L1572">
        <f ca="1">YEAR(Table1[[#This Row],[Order_Date]])</f>
        <v>2023</v>
      </c>
    </row>
    <row r="1573" spans="1:12" x14ac:dyDescent="0.3">
      <c r="A1573">
        <f t="shared" si="96"/>
        <v>1572</v>
      </c>
      <c r="B1573" s="1">
        <f t="shared" ca="1" si="97"/>
        <v>45264</v>
      </c>
      <c r="C1573" t="s">
        <v>10</v>
      </c>
      <c r="D1573" t="str">
        <f t="shared" ca="1" si="98"/>
        <v>Furniture</v>
      </c>
      <c r="E1573" t="s">
        <v>75</v>
      </c>
      <c r="F1573" s="11">
        <v>8730</v>
      </c>
      <c r="G1573">
        <f t="shared" ca="1" si="99"/>
        <v>10</v>
      </c>
      <c r="H1573" s="11">
        <f ca="1">IF(Table1[[#This Row],[Category]]="Electronics",Table1[[#This Row],[Sales]]*0.6,
IF(Table1[[#This Row],[Category]]="Furniture",Table1[[#This Row],[Sales]]*0.75,
IF(Table1[[#This Row],[Category]]="Clothing",Table1[[#This Row],[Sales]]*0.65,
Table1[[#This Row],[Sales]]*0.7)))</f>
        <v>6547.5</v>
      </c>
      <c r="I1573" s="11">
        <f ca="1">Table1[[#This Row],[Sales]]-H1573</f>
        <v>2182.5</v>
      </c>
      <c r="J1573" s="2">
        <f ca="1">Table1[[#This Row],[Profit]]/Table1[[#This Row],[Sales]]</f>
        <v>0.25</v>
      </c>
      <c r="K1573" t="str">
        <f ca="1">TEXT(Table1[[#This Row],[Order_Date]],"mmm")</f>
        <v>Dec</v>
      </c>
      <c r="L1573">
        <f ca="1">YEAR(Table1[[#This Row],[Order_Date]])</f>
        <v>2023</v>
      </c>
    </row>
    <row r="1574" spans="1:12" x14ac:dyDescent="0.3">
      <c r="A1574">
        <f t="shared" si="96"/>
        <v>1573</v>
      </c>
      <c r="B1574" s="1">
        <f t="shared" ca="1" si="97"/>
        <v>45183</v>
      </c>
      <c r="C1574" t="s">
        <v>7</v>
      </c>
      <c r="D1574" t="str">
        <f t="shared" ca="1" si="98"/>
        <v>Office Supplies</v>
      </c>
      <c r="E1574" t="s">
        <v>60</v>
      </c>
      <c r="F1574" s="11">
        <v>19564</v>
      </c>
      <c r="G1574">
        <f t="shared" ca="1" si="99"/>
        <v>6</v>
      </c>
      <c r="H1574" s="11">
        <f ca="1">IF(Table1[[#This Row],[Category]]="Electronics",Table1[[#This Row],[Sales]]*0.6,
IF(Table1[[#This Row],[Category]]="Furniture",Table1[[#This Row],[Sales]]*0.75,
IF(Table1[[#This Row],[Category]]="Clothing",Table1[[#This Row],[Sales]]*0.65,
Table1[[#This Row],[Sales]]*0.7)))</f>
        <v>13694.8</v>
      </c>
      <c r="I1574" s="11">
        <f ca="1">Table1[[#This Row],[Sales]]-H1574</f>
        <v>5869.2000000000007</v>
      </c>
      <c r="J1574" s="2">
        <f ca="1">Table1[[#This Row],[Profit]]/Table1[[#This Row],[Sales]]</f>
        <v>0.30000000000000004</v>
      </c>
      <c r="K1574" t="str">
        <f ca="1">TEXT(Table1[[#This Row],[Order_Date]],"mmm")</f>
        <v>Sep</v>
      </c>
      <c r="L1574">
        <f ca="1">YEAR(Table1[[#This Row],[Order_Date]])</f>
        <v>2023</v>
      </c>
    </row>
    <row r="1575" spans="1:12" x14ac:dyDescent="0.3">
      <c r="A1575">
        <f t="shared" si="96"/>
        <v>1574</v>
      </c>
      <c r="B1575" s="1">
        <f t="shared" ca="1" si="97"/>
        <v>45124</v>
      </c>
      <c r="C1575" t="s">
        <v>8</v>
      </c>
      <c r="D1575" t="str">
        <f t="shared" ca="1" si="98"/>
        <v>Office Supplies</v>
      </c>
      <c r="E1575" t="s">
        <v>64</v>
      </c>
      <c r="F1575" s="11">
        <v>4793</v>
      </c>
      <c r="G1575">
        <f t="shared" ca="1" si="99"/>
        <v>4</v>
      </c>
      <c r="H1575" s="11">
        <f ca="1">IF(Table1[[#This Row],[Category]]="Electronics",Table1[[#This Row],[Sales]]*0.6,
IF(Table1[[#This Row],[Category]]="Furniture",Table1[[#This Row],[Sales]]*0.75,
IF(Table1[[#This Row],[Category]]="Clothing",Table1[[#This Row],[Sales]]*0.65,
Table1[[#This Row],[Sales]]*0.7)))</f>
        <v>3355.1</v>
      </c>
      <c r="I1575" s="11">
        <f ca="1">Table1[[#This Row],[Sales]]-H1575</f>
        <v>1437.9</v>
      </c>
      <c r="J1575" s="2">
        <f ca="1">Table1[[#This Row],[Profit]]/Table1[[#This Row],[Sales]]</f>
        <v>0.30000000000000004</v>
      </c>
      <c r="K1575" t="str">
        <f ca="1">TEXT(Table1[[#This Row],[Order_Date]],"mmm")</f>
        <v>Jul</v>
      </c>
      <c r="L1575">
        <f ca="1">YEAR(Table1[[#This Row],[Order_Date]])</f>
        <v>2023</v>
      </c>
    </row>
    <row r="1576" spans="1:12" x14ac:dyDescent="0.3">
      <c r="A1576">
        <f t="shared" si="96"/>
        <v>1575</v>
      </c>
      <c r="B1576" s="1">
        <f t="shared" ca="1" si="97"/>
        <v>44994</v>
      </c>
      <c r="C1576" t="s">
        <v>9</v>
      </c>
      <c r="D1576" t="str">
        <f t="shared" ca="1" si="98"/>
        <v>Office Supplies</v>
      </c>
      <c r="E1576" t="s">
        <v>38</v>
      </c>
      <c r="F1576" s="11">
        <v>1666</v>
      </c>
      <c r="G1576">
        <f t="shared" ca="1" si="99"/>
        <v>10</v>
      </c>
      <c r="H1576" s="11">
        <f ca="1">IF(Table1[[#This Row],[Category]]="Electronics",Table1[[#This Row],[Sales]]*0.6,
IF(Table1[[#This Row],[Category]]="Furniture",Table1[[#This Row],[Sales]]*0.75,
IF(Table1[[#This Row],[Category]]="Clothing",Table1[[#This Row],[Sales]]*0.65,
Table1[[#This Row],[Sales]]*0.7)))</f>
        <v>1166.1999999999998</v>
      </c>
      <c r="I1576" s="11">
        <f ca="1">Table1[[#This Row],[Sales]]-H1576</f>
        <v>499.80000000000018</v>
      </c>
      <c r="J1576" s="2">
        <f ca="1">Table1[[#This Row],[Profit]]/Table1[[#This Row],[Sales]]</f>
        <v>0.3000000000000001</v>
      </c>
      <c r="K1576" t="str">
        <f ca="1">TEXT(Table1[[#This Row],[Order_Date]],"mmm")</f>
        <v>Mar</v>
      </c>
      <c r="L1576">
        <f ca="1">YEAR(Table1[[#This Row],[Order_Date]])</f>
        <v>2023</v>
      </c>
    </row>
    <row r="1577" spans="1:12" x14ac:dyDescent="0.3">
      <c r="A1577">
        <f t="shared" si="96"/>
        <v>1576</v>
      </c>
      <c r="B1577" s="1">
        <f t="shared" ca="1" si="97"/>
        <v>45247</v>
      </c>
      <c r="C1577" t="s">
        <v>10</v>
      </c>
      <c r="D1577" t="str">
        <f t="shared" ca="1" si="98"/>
        <v>Furniture</v>
      </c>
      <c r="E1577" t="s">
        <v>65</v>
      </c>
      <c r="F1577" s="11">
        <v>18374</v>
      </c>
      <c r="G1577">
        <f t="shared" ca="1" si="99"/>
        <v>10</v>
      </c>
      <c r="H1577" s="11">
        <f ca="1">IF(Table1[[#This Row],[Category]]="Electronics",Table1[[#This Row],[Sales]]*0.6,
IF(Table1[[#This Row],[Category]]="Furniture",Table1[[#This Row],[Sales]]*0.75,
IF(Table1[[#This Row],[Category]]="Clothing",Table1[[#This Row],[Sales]]*0.65,
Table1[[#This Row],[Sales]]*0.7)))</f>
        <v>13780.5</v>
      </c>
      <c r="I1577" s="11">
        <f ca="1">Table1[[#This Row],[Sales]]-H1577</f>
        <v>4593.5</v>
      </c>
      <c r="J1577" s="2">
        <f ca="1">Table1[[#This Row],[Profit]]/Table1[[#This Row],[Sales]]</f>
        <v>0.25</v>
      </c>
      <c r="K1577" t="str">
        <f ca="1">TEXT(Table1[[#This Row],[Order_Date]],"mmm")</f>
        <v>Nov</v>
      </c>
      <c r="L1577">
        <f ca="1">YEAR(Table1[[#This Row],[Order_Date]])</f>
        <v>2023</v>
      </c>
    </row>
    <row r="1578" spans="1:12" x14ac:dyDescent="0.3">
      <c r="A1578">
        <f t="shared" si="96"/>
        <v>1577</v>
      </c>
      <c r="B1578" s="1">
        <f t="shared" ca="1" si="97"/>
        <v>44977</v>
      </c>
      <c r="C1578" t="s">
        <v>7</v>
      </c>
      <c r="D1578" t="str">
        <f t="shared" ca="1" si="98"/>
        <v>Clothing</v>
      </c>
      <c r="E1578" t="s">
        <v>64</v>
      </c>
      <c r="F1578" s="11">
        <v>9849</v>
      </c>
      <c r="G1578">
        <f t="shared" ca="1" si="99"/>
        <v>2</v>
      </c>
      <c r="H1578" s="11">
        <f ca="1">IF(Table1[[#This Row],[Category]]="Electronics",Table1[[#This Row],[Sales]]*0.6,
IF(Table1[[#This Row],[Category]]="Furniture",Table1[[#This Row],[Sales]]*0.75,
IF(Table1[[#This Row],[Category]]="Clothing",Table1[[#This Row],[Sales]]*0.65,
Table1[[#This Row],[Sales]]*0.7)))</f>
        <v>6401.85</v>
      </c>
      <c r="I1578" s="11">
        <f ca="1">Table1[[#This Row],[Sales]]-H1578</f>
        <v>3447.1499999999996</v>
      </c>
      <c r="J1578" s="2">
        <f ca="1">Table1[[#This Row],[Profit]]/Table1[[#This Row],[Sales]]</f>
        <v>0.35</v>
      </c>
      <c r="K1578" t="str">
        <f ca="1">TEXT(Table1[[#This Row],[Order_Date]],"mmm")</f>
        <v>Feb</v>
      </c>
      <c r="L1578">
        <f ca="1">YEAR(Table1[[#This Row],[Order_Date]])</f>
        <v>2023</v>
      </c>
    </row>
    <row r="1579" spans="1:12" x14ac:dyDescent="0.3">
      <c r="A1579">
        <f t="shared" si="96"/>
        <v>1578</v>
      </c>
      <c r="B1579" s="1">
        <f t="shared" ca="1" si="97"/>
        <v>45042</v>
      </c>
      <c r="C1579" t="s">
        <v>8</v>
      </c>
      <c r="D1579" t="str">
        <f t="shared" ca="1" si="98"/>
        <v>Furniture</v>
      </c>
      <c r="E1579" t="s">
        <v>84</v>
      </c>
      <c r="F1579" s="11">
        <v>5540</v>
      </c>
      <c r="G1579">
        <f t="shared" ca="1" si="99"/>
        <v>7</v>
      </c>
      <c r="H1579" s="11">
        <f ca="1">IF(Table1[[#This Row],[Category]]="Electronics",Table1[[#This Row],[Sales]]*0.6,
IF(Table1[[#This Row],[Category]]="Furniture",Table1[[#This Row],[Sales]]*0.75,
IF(Table1[[#This Row],[Category]]="Clothing",Table1[[#This Row],[Sales]]*0.65,
Table1[[#This Row],[Sales]]*0.7)))</f>
        <v>4155</v>
      </c>
      <c r="I1579" s="11">
        <f ca="1">Table1[[#This Row],[Sales]]-H1579</f>
        <v>1385</v>
      </c>
      <c r="J1579" s="2">
        <f ca="1">Table1[[#This Row],[Profit]]/Table1[[#This Row],[Sales]]</f>
        <v>0.25</v>
      </c>
      <c r="K1579" t="str">
        <f ca="1">TEXT(Table1[[#This Row],[Order_Date]],"mmm")</f>
        <v>Apr</v>
      </c>
      <c r="L1579">
        <f ca="1">YEAR(Table1[[#This Row],[Order_Date]])</f>
        <v>2023</v>
      </c>
    </row>
    <row r="1580" spans="1:12" x14ac:dyDescent="0.3">
      <c r="A1580">
        <f t="shared" si="96"/>
        <v>1579</v>
      </c>
      <c r="B1580" s="1">
        <f t="shared" ca="1" si="97"/>
        <v>44972</v>
      </c>
      <c r="C1580" t="s">
        <v>9</v>
      </c>
      <c r="D1580" t="str">
        <f t="shared" ca="1" si="98"/>
        <v>Electronics</v>
      </c>
      <c r="E1580" t="s">
        <v>48</v>
      </c>
      <c r="F1580" s="11">
        <v>568</v>
      </c>
      <c r="G1580">
        <f t="shared" ca="1" si="99"/>
        <v>6</v>
      </c>
      <c r="H1580" s="11">
        <f ca="1">IF(Table1[[#This Row],[Category]]="Electronics",Table1[[#This Row],[Sales]]*0.6,
IF(Table1[[#This Row],[Category]]="Furniture",Table1[[#This Row],[Sales]]*0.75,
IF(Table1[[#This Row],[Category]]="Clothing",Table1[[#This Row],[Sales]]*0.65,
Table1[[#This Row],[Sales]]*0.7)))</f>
        <v>340.8</v>
      </c>
      <c r="I1580" s="11">
        <f ca="1">Table1[[#This Row],[Sales]]-H1580</f>
        <v>227.2</v>
      </c>
      <c r="J1580" s="2">
        <f ca="1">Table1[[#This Row],[Profit]]/Table1[[#This Row],[Sales]]</f>
        <v>0.39999999999999997</v>
      </c>
      <c r="K1580" t="str">
        <f ca="1">TEXT(Table1[[#This Row],[Order_Date]],"mmm")</f>
        <v>Feb</v>
      </c>
      <c r="L1580">
        <f ca="1">YEAR(Table1[[#This Row],[Order_Date]])</f>
        <v>2023</v>
      </c>
    </row>
    <row r="1581" spans="1:12" x14ac:dyDescent="0.3">
      <c r="A1581">
        <f t="shared" si="96"/>
        <v>1580</v>
      </c>
      <c r="B1581" s="1">
        <f t="shared" ca="1" si="97"/>
        <v>45273</v>
      </c>
      <c r="C1581" t="s">
        <v>10</v>
      </c>
      <c r="D1581" t="str">
        <f t="shared" ca="1" si="98"/>
        <v>Furniture</v>
      </c>
      <c r="E1581" t="s">
        <v>60</v>
      </c>
      <c r="F1581" s="11">
        <v>17972</v>
      </c>
      <c r="G1581">
        <f t="shared" ca="1" si="99"/>
        <v>7</v>
      </c>
      <c r="H1581" s="11">
        <f ca="1">IF(Table1[[#This Row],[Category]]="Electronics",Table1[[#This Row],[Sales]]*0.6,
IF(Table1[[#This Row],[Category]]="Furniture",Table1[[#This Row],[Sales]]*0.75,
IF(Table1[[#This Row],[Category]]="Clothing",Table1[[#This Row],[Sales]]*0.65,
Table1[[#This Row],[Sales]]*0.7)))</f>
        <v>13479</v>
      </c>
      <c r="I1581" s="11">
        <f ca="1">Table1[[#This Row],[Sales]]-H1581</f>
        <v>4493</v>
      </c>
      <c r="J1581" s="2">
        <f ca="1">Table1[[#This Row],[Profit]]/Table1[[#This Row],[Sales]]</f>
        <v>0.25</v>
      </c>
      <c r="K1581" t="str">
        <f ca="1">TEXT(Table1[[#This Row],[Order_Date]],"mmm")</f>
        <v>Dec</v>
      </c>
      <c r="L1581">
        <f ca="1">YEAR(Table1[[#This Row],[Order_Date]])</f>
        <v>2023</v>
      </c>
    </row>
    <row r="1582" spans="1:12" x14ac:dyDescent="0.3">
      <c r="A1582">
        <f t="shared" si="96"/>
        <v>1581</v>
      </c>
      <c r="B1582" s="1">
        <f t="shared" ca="1" si="97"/>
        <v>45032</v>
      </c>
      <c r="C1582" t="s">
        <v>7</v>
      </c>
      <c r="D1582" t="str">
        <f t="shared" ca="1" si="98"/>
        <v>Office Supplies</v>
      </c>
      <c r="E1582" t="s">
        <v>58</v>
      </c>
      <c r="F1582" s="11">
        <v>10882</v>
      </c>
      <c r="G1582">
        <f t="shared" ca="1" si="99"/>
        <v>5</v>
      </c>
      <c r="H1582" s="11">
        <f ca="1">IF(Table1[[#This Row],[Category]]="Electronics",Table1[[#This Row],[Sales]]*0.6,
IF(Table1[[#This Row],[Category]]="Furniture",Table1[[#This Row],[Sales]]*0.75,
IF(Table1[[#This Row],[Category]]="Clothing",Table1[[#This Row],[Sales]]*0.65,
Table1[[#This Row],[Sales]]*0.7)))</f>
        <v>7617.4</v>
      </c>
      <c r="I1582" s="11">
        <f ca="1">Table1[[#This Row],[Sales]]-H1582</f>
        <v>3264.6000000000004</v>
      </c>
      <c r="J1582" s="2">
        <f ca="1">Table1[[#This Row],[Profit]]/Table1[[#This Row],[Sales]]</f>
        <v>0.30000000000000004</v>
      </c>
      <c r="K1582" t="str">
        <f ca="1">TEXT(Table1[[#This Row],[Order_Date]],"mmm")</f>
        <v>Apr</v>
      </c>
      <c r="L1582">
        <f ca="1">YEAR(Table1[[#This Row],[Order_Date]])</f>
        <v>2023</v>
      </c>
    </row>
    <row r="1583" spans="1:12" x14ac:dyDescent="0.3">
      <c r="A1583">
        <f t="shared" si="96"/>
        <v>1582</v>
      </c>
      <c r="B1583" s="1">
        <f t="shared" ca="1" si="97"/>
        <v>45120</v>
      </c>
      <c r="C1583" t="s">
        <v>8</v>
      </c>
      <c r="D1583" t="str">
        <f t="shared" ca="1" si="98"/>
        <v>Office Supplies</v>
      </c>
      <c r="E1583" t="s">
        <v>42</v>
      </c>
      <c r="F1583" s="11">
        <v>5994</v>
      </c>
      <c r="G1583">
        <f t="shared" ca="1" si="99"/>
        <v>3</v>
      </c>
      <c r="H1583" s="11">
        <f ca="1">IF(Table1[[#This Row],[Category]]="Electronics",Table1[[#This Row],[Sales]]*0.6,
IF(Table1[[#This Row],[Category]]="Furniture",Table1[[#This Row],[Sales]]*0.75,
IF(Table1[[#This Row],[Category]]="Clothing",Table1[[#This Row],[Sales]]*0.65,
Table1[[#This Row],[Sales]]*0.7)))</f>
        <v>4195.8</v>
      </c>
      <c r="I1583" s="11">
        <f ca="1">Table1[[#This Row],[Sales]]-H1583</f>
        <v>1798.1999999999998</v>
      </c>
      <c r="J1583" s="2">
        <f ca="1">Table1[[#This Row],[Profit]]/Table1[[#This Row],[Sales]]</f>
        <v>0.3</v>
      </c>
      <c r="K1583" t="str">
        <f ca="1">TEXT(Table1[[#This Row],[Order_Date]],"mmm")</f>
        <v>Jul</v>
      </c>
      <c r="L1583">
        <f ca="1">YEAR(Table1[[#This Row],[Order_Date]])</f>
        <v>2023</v>
      </c>
    </row>
    <row r="1584" spans="1:12" x14ac:dyDescent="0.3">
      <c r="A1584">
        <f t="shared" si="96"/>
        <v>1583</v>
      </c>
      <c r="B1584" s="1">
        <f t="shared" ca="1" si="97"/>
        <v>44948</v>
      </c>
      <c r="C1584" t="s">
        <v>9</v>
      </c>
      <c r="D1584" t="str">
        <f t="shared" ca="1" si="98"/>
        <v>Office Supplies</v>
      </c>
      <c r="E1584" t="s">
        <v>85</v>
      </c>
      <c r="F1584" s="11">
        <v>4378</v>
      </c>
      <c r="G1584">
        <f t="shared" ca="1" si="99"/>
        <v>7</v>
      </c>
      <c r="H1584" s="11">
        <f ca="1">IF(Table1[[#This Row],[Category]]="Electronics",Table1[[#This Row],[Sales]]*0.6,
IF(Table1[[#This Row],[Category]]="Furniture",Table1[[#This Row],[Sales]]*0.75,
IF(Table1[[#This Row],[Category]]="Clothing",Table1[[#This Row],[Sales]]*0.65,
Table1[[#This Row],[Sales]]*0.7)))</f>
        <v>3064.6</v>
      </c>
      <c r="I1584" s="11">
        <f ca="1">Table1[[#This Row],[Sales]]-H1584</f>
        <v>1313.4</v>
      </c>
      <c r="J1584" s="2">
        <f ca="1">Table1[[#This Row],[Profit]]/Table1[[#This Row],[Sales]]</f>
        <v>0.30000000000000004</v>
      </c>
      <c r="K1584" t="str">
        <f ca="1">TEXT(Table1[[#This Row],[Order_Date]],"mmm")</f>
        <v>Jan</v>
      </c>
      <c r="L1584">
        <f ca="1">YEAR(Table1[[#This Row],[Order_Date]])</f>
        <v>2023</v>
      </c>
    </row>
    <row r="1585" spans="1:12" x14ac:dyDescent="0.3">
      <c r="A1585">
        <f t="shared" si="96"/>
        <v>1584</v>
      </c>
      <c r="B1585" s="1">
        <f t="shared" ca="1" si="97"/>
        <v>45235</v>
      </c>
      <c r="C1585" t="s">
        <v>10</v>
      </c>
      <c r="D1585" t="str">
        <f t="shared" ca="1" si="98"/>
        <v>Office Supplies</v>
      </c>
      <c r="E1585" t="s">
        <v>83</v>
      </c>
      <c r="F1585" s="11">
        <v>9436</v>
      </c>
      <c r="G1585">
        <f t="shared" ca="1" si="99"/>
        <v>8</v>
      </c>
      <c r="H1585" s="11">
        <f ca="1">IF(Table1[[#This Row],[Category]]="Electronics",Table1[[#This Row],[Sales]]*0.6,
IF(Table1[[#This Row],[Category]]="Furniture",Table1[[#This Row],[Sales]]*0.75,
IF(Table1[[#This Row],[Category]]="Clothing",Table1[[#This Row],[Sales]]*0.65,
Table1[[#This Row],[Sales]]*0.7)))</f>
        <v>6605.2</v>
      </c>
      <c r="I1585" s="11">
        <f ca="1">Table1[[#This Row],[Sales]]-H1585</f>
        <v>2830.8</v>
      </c>
      <c r="J1585" s="2">
        <f ca="1">Table1[[#This Row],[Profit]]/Table1[[#This Row],[Sales]]</f>
        <v>0.30000000000000004</v>
      </c>
      <c r="K1585" t="str">
        <f ca="1">TEXT(Table1[[#This Row],[Order_Date]],"mmm")</f>
        <v>Nov</v>
      </c>
      <c r="L1585">
        <f ca="1">YEAR(Table1[[#This Row],[Order_Date]])</f>
        <v>2023</v>
      </c>
    </row>
    <row r="1586" spans="1:12" x14ac:dyDescent="0.3">
      <c r="A1586">
        <f t="shared" si="96"/>
        <v>1585</v>
      </c>
      <c r="B1586" s="1">
        <f t="shared" ca="1" si="97"/>
        <v>44949</v>
      </c>
      <c r="C1586" t="s">
        <v>7</v>
      </c>
      <c r="D1586" t="str">
        <f t="shared" ca="1" si="98"/>
        <v>Electronics</v>
      </c>
      <c r="E1586" t="s">
        <v>57</v>
      </c>
      <c r="F1586" s="11">
        <v>3809</v>
      </c>
      <c r="G1586">
        <f t="shared" ca="1" si="99"/>
        <v>2</v>
      </c>
      <c r="H1586" s="11">
        <f ca="1">IF(Table1[[#This Row],[Category]]="Electronics",Table1[[#This Row],[Sales]]*0.6,
IF(Table1[[#This Row],[Category]]="Furniture",Table1[[#This Row],[Sales]]*0.75,
IF(Table1[[#This Row],[Category]]="Clothing",Table1[[#This Row],[Sales]]*0.65,
Table1[[#This Row],[Sales]]*0.7)))</f>
        <v>2285.4</v>
      </c>
      <c r="I1586" s="11">
        <f ca="1">Table1[[#This Row],[Sales]]-H1586</f>
        <v>1523.6</v>
      </c>
      <c r="J1586" s="2">
        <f ca="1">Table1[[#This Row],[Profit]]/Table1[[#This Row],[Sales]]</f>
        <v>0.39999999999999997</v>
      </c>
      <c r="K1586" t="str">
        <f ca="1">TEXT(Table1[[#This Row],[Order_Date]],"mmm")</f>
        <v>Jan</v>
      </c>
      <c r="L1586">
        <f ca="1">YEAR(Table1[[#This Row],[Order_Date]])</f>
        <v>2023</v>
      </c>
    </row>
    <row r="1587" spans="1:12" x14ac:dyDescent="0.3">
      <c r="A1587">
        <f t="shared" si="96"/>
        <v>1586</v>
      </c>
      <c r="B1587" s="1">
        <f t="shared" ca="1" si="97"/>
        <v>45145</v>
      </c>
      <c r="C1587" t="s">
        <v>8</v>
      </c>
      <c r="D1587" t="str">
        <f t="shared" ca="1" si="98"/>
        <v>Furniture</v>
      </c>
      <c r="E1587" t="s">
        <v>84</v>
      </c>
      <c r="F1587" s="11">
        <v>12951</v>
      </c>
      <c r="G1587">
        <f t="shared" ca="1" si="99"/>
        <v>8</v>
      </c>
      <c r="H1587" s="11">
        <f ca="1">IF(Table1[[#This Row],[Category]]="Electronics",Table1[[#This Row],[Sales]]*0.6,
IF(Table1[[#This Row],[Category]]="Furniture",Table1[[#This Row],[Sales]]*0.75,
IF(Table1[[#This Row],[Category]]="Clothing",Table1[[#This Row],[Sales]]*0.65,
Table1[[#This Row],[Sales]]*0.7)))</f>
        <v>9713.25</v>
      </c>
      <c r="I1587" s="11">
        <f ca="1">Table1[[#This Row],[Sales]]-H1587</f>
        <v>3237.75</v>
      </c>
      <c r="J1587" s="2">
        <f ca="1">Table1[[#This Row],[Profit]]/Table1[[#This Row],[Sales]]</f>
        <v>0.25</v>
      </c>
      <c r="K1587" t="str">
        <f ca="1">TEXT(Table1[[#This Row],[Order_Date]],"mmm")</f>
        <v>Aug</v>
      </c>
      <c r="L1587">
        <f ca="1">YEAR(Table1[[#This Row],[Order_Date]])</f>
        <v>2023</v>
      </c>
    </row>
    <row r="1588" spans="1:12" x14ac:dyDescent="0.3">
      <c r="A1588">
        <f t="shared" si="96"/>
        <v>1587</v>
      </c>
      <c r="B1588" s="1">
        <f t="shared" ca="1" si="97"/>
        <v>44945</v>
      </c>
      <c r="C1588" t="s">
        <v>9</v>
      </c>
      <c r="D1588" t="str">
        <f t="shared" ca="1" si="98"/>
        <v>Clothing</v>
      </c>
      <c r="E1588" t="s">
        <v>61</v>
      </c>
      <c r="F1588" s="11">
        <v>15159</v>
      </c>
      <c r="G1588">
        <f t="shared" ca="1" si="99"/>
        <v>1</v>
      </c>
      <c r="H1588" s="11">
        <f ca="1">IF(Table1[[#This Row],[Category]]="Electronics",Table1[[#This Row],[Sales]]*0.6,
IF(Table1[[#This Row],[Category]]="Furniture",Table1[[#This Row],[Sales]]*0.75,
IF(Table1[[#This Row],[Category]]="Clothing",Table1[[#This Row],[Sales]]*0.65,
Table1[[#This Row],[Sales]]*0.7)))</f>
        <v>9853.35</v>
      </c>
      <c r="I1588" s="11">
        <f ca="1">Table1[[#This Row],[Sales]]-H1588</f>
        <v>5305.65</v>
      </c>
      <c r="J1588" s="2">
        <f ca="1">Table1[[#This Row],[Profit]]/Table1[[#This Row],[Sales]]</f>
        <v>0.35</v>
      </c>
      <c r="K1588" t="str">
        <f ca="1">TEXT(Table1[[#This Row],[Order_Date]],"mmm")</f>
        <v>Jan</v>
      </c>
      <c r="L1588">
        <f ca="1">YEAR(Table1[[#This Row],[Order_Date]])</f>
        <v>2023</v>
      </c>
    </row>
    <row r="1589" spans="1:12" x14ac:dyDescent="0.3">
      <c r="A1589">
        <f t="shared" si="96"/>
        <v>1588</v>
      </c>
      <c r="B1589" s="1">
        <f t="shared" ca="1" si="97"/>
        <v>45163</v>
      </c>
      <c r="C1589" t="s">
        <v>10</v>
      </c>
      <c r="D1589" t="str">
        <f t="shared" ca="1" si="98"/>
        <v>Furniture</v>
      </c>
      <c r="E1589" t="s">
        <v>51</v>
      </c>
      <c r="F1589" s="11">
        <v>2938</v>
      </c>
      <c r="G1589">
        <f t="shared" ca="1" si="99"/>
        <v>2</v>
      </c>
      <c r="H1589" s="11">
        <f ca="1">IF(Table1[[#This Row],[Category]]="Electronics",Table1[[#This Row],[Sales]]*0.6,
IF(Table1[[#This Row],[Category]]="Furniture",Table1[[#This Row],[Sales]]*0.75,
IF(Table1[[#This Row],[Category]]="Clothing",Table1[[#This Row],[Sales]]*0.65,
Table1[[#This Row],[Sales]]*0.7)))</f>
        <v>2203.5</v>
      </c>
      <c r="I1589" s="11">
        <f ca="1">Table1[[#This Row],[Sales]]-H1589</f>
        <v>734.5</v>
      </c>
      <c r="J1589" s="2">
        <f ca="1">Table1[[#This Row],[Profit]]/Table1[[#This Row],[Sales]]</f>
        <v>0.25</v>
      </c>
      <c r="K1589" t="str">
        <f ca="1">TEXT(Table1[[#This Row],[Order_Date]],"mmm")</f>
        <v>Aug</v>
      </c>
      <c r="L1589">
        <f ca="1">YEAR(Table1[[#This Row],[Order_Date]])</f>
        <v>2023</v>
      </c>
    </row>
    <row r="1590" spans="1:12" x14ac:dyDescent="0.3">
      <c r="A1590">
        <f t="shared" si="96"/>
        <v>1589</v>
      </c>
      <c r="B1590" s="1">
        <f t="shared" ca="1" si="97"/>
        <v>45084</v>
      </c>
      <c r="C1590" t="s">
        <v>7</v>
      </c>
      <c r="D1590" t="str">
        <f t="shared" ca="1" si="98"/>
        <v>Clothing</v>
      </c>
      <c r="E1590" t="s">
        <v>66</v>
      </c>
      <c r="F1590" s="11">
        <v>18075</v>
      </c>
      <c r="G1590">
        <f t="shared" ca="1" si="99"/>
        <v>5</v>
      </c>
      <c r="H1590" s="11">
        <f ca="1">IF(Table1[[#This Row],[Category]]="Electronics",Table1[[#This Row],[Sales]]*0.6,
IF(Table1[[#This Row],[Category]]="Furniture",Table1[[#This Row],[Sales]]*0.75,
IF(Table1[[#This Row],[Category]]="Clothing",Table1[[#This Row],[Sales]]*0.65,
Table1[[#This Row],[Sales]]*0.7)))</f>
        <v>11748.75</v>
      </c>
      <c r="I1590" s="11">
        <f ca="1">Table1[[#This Row],[Sales]]-H1590</f>
        <v>6326.25</v>
      </c>
      <c r="J1590" s="2">
        <f ca="1">Table1[[#This Row],[Profit]]/Table1[[#This Row],[Sales]]</f>
        <v>0.35</v>
      </c>
      <c r="K1590" t="str">
        <f ca="1">TEXT(Table1[[#This Row],[Order_Date]],"mmm")</f>
        <v>Jun</v>
      </c>
      <c r="L1590">
        <f ca="1">YEAR(Table1[[#This Row],[Order_Date]])</f>
        <v>2023</v>
      </c>
    </row>
    <row r="1591" spans="1:12" x14ac:dyDescent="0.3">
      <c r="A1591">
        <f t="shared" si="96"/>
        <v>1590</v>
      </c>
      <c r="B1591" s="1">
        <f t="shared" ca="1" si="97"/>
        <v>45284</v>
      </c>
      <c r="C1591" t="s">
        <v>8</v>
      </c>
      <c r="D1591" t="str">
        <f t="shared" ca="1" si="98"/>
        <v>Clothing</v>
      </c>
      <c r="E1591" t="s">
        <v>49</v>
      </c>
      <c r="F1591" s="11">
        <v>14006</v>
      </c>
      <c r="G1591">
        <f t="shared" ca="1" si="99"/>
        <v>7</v>
      </c>
      <c r="H1591" s="11">
        <f ca="1">IF(Table1[[#This Row],[Category]]="Electronics",Table1[[#This Row],[Sales]]*0.6,
IF(Table1[[#This Row],[Category]]="Furniture",Table1[[#This Row],[Sales]]*0.75,
IF(Table1[[#This Row],[Category]]="Clothing",Table1[[#This Row],[Sales]]*0.65,
Table1[[#This Row],[Sales]]*0.7)))</f>
        <v>9103.9</v>
      </c>
      <c r="I1591" s="11">
        <f ca="1">Table1[[#This Row],[Sales]]-H1591</f>
        <v>4902.1000000000004</v>
      </c>
      <c r="J1591" s="2">
        <f ca="1">Table1[[#This Row],[Profit]]/Table1[[#This Row],[Sales]]</f>
        <v>0.35000000000000003</v>
      </c>
      <c r="K1591" t="str">
        <f ca="1">TEXT(Table1[[#This Row],[Order_Date]],"mmm")</f>
        <v>Dec</v>
      </c>
      <c r="L1591">
        <f ca="1">YEAR(Table1[[#This Row],[Order_Date]])</f>
        <v>2023</v>
      </c>
    </row>
    <row r="1592" spans="1:12" x14ac:dyDescent="0.3">
      <c r="A1592">
        <f t="shared" si="96"/>
        <v>1591</v>
      </c>
      <c r="B1592" s="1">
        <f t="shared" ca="1" si="97"/>
        <v>45115</v>
      </c>
      <c r="C1592" t="s">
        <v>9</v>
      </c>
      <c r="D1592" t="str">
        <f t="shared" ca="1" si="98"/>
        <v>Electronics</v>
      </c>
      <c r="E1592" t="s">
        <v>47</v>
      </c>
      <c r="F1592" s="11">
        <v>16437</v>
      </c>
      <c r="G1592">
        <f t="shared" ca="1" si="99"/>
        <v>4</v>
      </c>
      <c r="H1592" s="11">
        <f ca="1">IF(Table1[[#This Row],[Category]]="Electronics",Table1[[#This Row],[Sales]]*0.6,
IF(Table1[[#This Row],[Category]]="Furniture",Table1[[#This Row],[Sales]]*0.75,
IF(Table1[[#This Row],[Category]]="Clothing",Table1[[#This Row],[Sales]]*0.65,
Table1[[#This Row],[Sales]]*0.7)))</f>
        <v>9862.1999999999989</v>
      </c>
      <c r="I1592" s="11">
        <f ca="1">Table1[[#This Row],[Sales]]-H1592</f>
        <v>6574.8000000000011</v>
      </c>
      <c r="J1592" s="2">
        <f ca="1">Table1[[#This Row],[Profit]]/Table1[[#This Row],[Sales]]</f>
        <v>0.40000000000000008</v>
      </c>
      <c r="K1592" t="str">
        <f ca="1">TEXT(Table1[[#This Row],[Order_Date]],"mmm")</f>
        <v>Jul</v>
      </c>
      <c r="L1592">
        <f ca="1">YEAR(Table1[[#This Row],[Order_Date]])</f>
        <v>2023</v>
      </c>
    </row>
    <row r="1593" spans="1:12" x14ac:dyDescent="0.3">
      <c r="A1593">
        <f t="shared" si="96"/>
        <v>1592</v>
      </c>
      <c r="B1593" s="1">
        <f t="shared" ca="1" si="97"/>
        <v>44968</v>
      </c>
      <c r="C1593" t="s">
        <v>10</v>
      </c>
      <c r="D1593" t="str">
        <f t="shared" ca="1" si="98"/>
        <v>Clothing</v>
      </c>
      <c r="E1593" t="s">
        <v>65</v>
      </c>
      <c r="F1593" s="11">
        <v>4316</v>
      </c>
      <c r="G1593">
        <f t="shared" ca="1" si="99"/>
        <v>2</v>
      </c>
      <c r="H1593" s="11">
        <f ca="1">IF(Table1[[#This Row],[Category]]="Electronics",Table1[[#This Row],[Sales]]*0.6,
IF(Table1[[#This Row],[Category]]="Furniture",Table1[[#This Row],[Sales]]*0.75,
IF(Table1[[#This Row],[Category]]="Clothing",Table1[[#This Row],[Sales]]*0.65,
Table1[[#This Row],[Sales]]*0.7)))</f>
        <v>2805.4</v>
      </c>
      <c r="I1593" s="11">
        <f ca="1">Table1[[#This Row],[Sales]]-H1593</f>
        <v>1510.6</v>
      </c>
      <c r="J1593" s="2">
        <f ca="1">Table1[[#This Row],[Profit]]/Table1[[#This Row],[Sales]]</f>
        <v>0.35</v>
      </c>
      <c r="K1593" t="str">
        <f ca="1">TEXT(Table1[[#This Row],[Order_Date]],"mmm")</f>
        <v>Feb</v>
      </c>
      <c r="L1593">
        <f ca="1">YEAR(Table1[[#This Row],[Order_Date]])</f>
        <v>2023</v>
      </c>
    </row>
    <row r="1594" spans="1:12" x14ac:dyDescent="0.3">
      <c r="A1594">
        <f t="shared" si="96"/>
        <v>1593</v>
      </c>
      <c r="B1594" s="1">
        <f t="shared" ca="1" si="97"/>
        <v>45251</v>
      </c>
      <c r="C1594" t="s">
        <v>7</v>
      </c>
      <c r="D1594" t="str">
        <f t="shared" ca="1" si="98"/>
        <v>Clothing</v>
      </c>
      <c r="E1594" t="s">
        <v>64</v>
      </c>
      <c r="F1594" s="11">
        <v>5383</v>
      </c>
      <c r="G1594">
        <f t="shared" ca="1" si="99"/>
        <v>9</v>
      </c>
      <c r="H1594" s="11">
        <f ca="1">IF(Table1[[#This Row],[Category]]="Electronics",Table1[[#This Row],[Sales]]*0.6,
IF(Table1[[#This Row],[Category]]="Furniture",Table1[[#This Row],[Sales]]*0.75,
IF(Table1[[#This Row],[Category]]="Clothing",Table1[[#This Row],[Sales]]*0.65,
Table1[[#This Row],[Sales]]*0.7)))</f>
        <v>3498.9500000000003</v>
      </c>
      <c r="I1594" s="11">
        <f ca="1">Table1[[#This Row],[Sales]]-H1594</f>
        <v>1884.0499999999997</v>
      </c>
      <c r="J1594" s="2">
        <f ca="1">Table1[[#This Row],[Profit]]/Table1[[#This Row],[Sales]]</f>
        <v>0.34999999999999992</v>
      </c>
      <c r="K1594" t="str">
        <f ca="1">TEXT(Table1[[#This Row],[Order_Date]],"mmm")</f>
        <v>Nov</v>
      </c>
      <c r="L1594">
        <f ca="1">YEAR(Table1[[#This Row],[Order_Date]])</f>
        <v>2023</v>
      </c>
    </row>
    <row r="1595" spans="1:12" x14ac:dyDescent="0.3">
      <c r="A1595">
        <f t="shared" si="96"/>
        <v>1594</v>
      </c>
      <c r="B1595" s="1">
        <f t="shared" ca="1" si="97"/>
        <v>45116</v>
      </c>
      <c r="C1595" t="s">
        <v>8</v>
      </c>
      <c r="D1595" t="str">
        <f t="shared" ca="1" si="98"/>
        <v>Furniture</v>
      </c>
      <c r="E1595" t="s">
        <v>46</v>
      </c>
      <c r="F1595" s="11">
        <v>10714</v>
      </c>
      <c r="G1595">
        <f t="shared" ca="1" si="99"/>
        <v>9</v>
      </c>
      <c r="H1595" s="11">
        <f ca="1">IF(Table1[[#This Row],[Category]]="Electronics",Table1[[#This Row],[Sales]]*0.6,
IF(Table1[[#This Row],[Category]]="Furniture",Table1[[#This Row],[Sales]]*0.75,
IF(Table1[[#This Row],[Category]]="Clothing",Table1[[#This Row],[Sales]]*0.65,
Table1[[#This Row],[Sales]]*0.7)))</f>
        <v>8035.5</v>
      </c>
      <c r="I1595" s="11">
        <f ca="1">Table1[[#This Row],[Sales]]-H1595</f>
        <v>2678.5</v>
      </c>
      <c r="J1595" s="2">
        <f ca="1">Table1[[#This Row],[Profit]]/Table1[[#This Row],[Sales]]</f>
        <v>0.25</v>
      </c>
      <c r="K1595" t="str">
        <f ca="1">TEXT(Table1[[#This Row],[Order_Date]],"mmm")</f>
        <v>Jul</v>
      </c>
      <c r="L1595">
        <f ca="1">YEAR(Table1[[#This Row],[Order_Date]])</f>
        <v>2023</v>
      </c>
    </row>
    <row r="1596" spans="1:12" x14ac:dyDescent="0.3">
      <c r="A1596">
        <f t="shared" si="96"/>
        <v>1595</v>
      </c>
      <c r="B1596" s="1">
        <f t="shared" ca="1" si="97"/>
        <v>44954</v>
      </c>
      <c r="C1596" t="s">
        <v>9</v>
      </c>
      <c r="D1596" t="str">
        <f t="shared" ca="1" si="98"/>
        <v>Furniture</v>
      </c>
      <c r="E1596" t="s">
        <v>47</v>
      </c>
      <c r="F1596" s="11">
        <v>4383</v>
      </c>
      <c r="G1596">
        <f t="shared" ca="1" si="99"/>
        <v>2</v>
      </c>
      <c r="H1596" s="11">
        <f ca="1">IF(Table1[[#This Row],[Category]]="Electronics",Table1[[#This Row],[Sales]]*0.6,
IF(Table1[[#This Row],[Category]]="Furniture",Table1[[#This Row],[Sales]]*0.75,
IF(Table1[[#This Row],[Category]]="Clothing",Table1[[#This Row],[Sales]]*0.65,
Table1[[#This Row],[Sales]]*0.7)))</f>
        <v>3287.25</v>
      </c>
      <c r="I1596" s="11">
        <f ca="1">Table1[[#This Row],[Sales]]-H1596</f>
        <v>1095.75</v>
      </c>
      <c r="J1596" s="2">
        <f ca="1">Table1[[#This Row],[Profit]]/Table1[[#This Row],[Sales]]</f>
        <v>0.25</v>
      </c>
      <c r="K1596" t="str">
        <f ca="1">TEXT(Table1[[#This Row],[Order_Date]],"mmm")</f>
        <v>Jan</v>
      </c>
      <c r="L1596">
        <f ca="1">YEAR(Table1[[#This Row],[Order_Date]])</f>
        <v>2023</v>
      </c>
    </row>
    <row r="1597" spans="1:12" x14ac:dyDescent="0.3">
      <c r="A1597">
        <f t="shared" si="96"/>
        <v>1596</v>
      </c>
      <c r="B1597" s="1">
        <f t="shared" ca="1" si="97"/>
        <v>45247</v>
      </c>
      <c r="C1597" t="s">
        <v>10</v>
      </c>
      <c r="D1597" t="str">
        <f t="shared" ca="1" si="98"/>
        <v>Clothing</v>
      </c>
      <c r="E1597" t="s">
        <v>58</v>
      </c>
      <c r="F1597" s="11">
        <v>5644</v>
      </c>
      <c r="G1597">
        <f t="shared" ca="1" si="99"/>
        <v>6</v>
      </c>
      <c r="H1597" s="11">
        <f ca="1">IF(Table1[[#This Row],[Category]]="Electronics",Table1[[#This Row],[Sales]]*0.6,
IF(Table1[[#This Row],[Category]]="Furniture",Table1[[#This Row],[Sales]]*0.75,
IF(Table1[[#This Row],[Category]]="Clothing",Table1[[#This Row],[Sales]]*0.65,
Table1[[#This Row],[Sales]]*0.7)))</f>
        <v>3668.6</v>
      </c>
      <c r="I1597" s="11">
        <f ca="1">Table1[[#This Row],[Sales]]-H1597</f>
        <v>1975.4</v>
      </c>
      <c r="J1597" s="2">
        <f ca="1">Table1[[#This Row],[Profit]]/Table1[[#This Row],[Sales]]</f>
        <v>0.35000000000000003</v>
      </c>
      <c r="K1597" t="str">
        <f ca="1">TEXT(Table1[[#This Row],[Order_Date]],"mmm")</f>
        <v>Nov</v>
      </c>
      <c r="L1597">
        <f ca="1">YEAR(Table1[[#This Row],[Order_Date]])</f>
        <v>2023</v>
      </c>
    </row>
    <row r="1598" spans="1:12" x14ac:dyDescent="0.3">
      <c r="A1598">
        <f t="shared" si="96"/>
        <v>1597</v>
      </c>
      <c r="B1598" s="1">
        <f t="shared" ca="1" si="97"/>
        <v>45283</v>
      </c>
      <c r="C1598" t="s">
        <v>7</v>
      </c>
      <c r="D1598" t="str">
        <f t="shared" ca="1" si="98"/>
        <v>Furniture</v>
      </c>
      <c r="E1598" t="s">
        <v>52</v>
      </c>
      <c r="F1598" s="11">
        <v>5293</v>
      </c>
      <c r="G1598">
        <f t="shared" ca="1" si="99"/>
        <v>2</v>
      </c>
      <c r="H1598" s="11">
        <f ca="1">IF(Table1[[#This Row],[Category]]="Electronics",Table1[[#This Row],[Sales]]*0.6,
IF(Table1[[#This Row],[Category]]="Furniture",Table1[[#This Row],[Sales]]*0.75,
IF(Table1[[#This Row],[Category]]="Clothing",Table1[[#This Row],[Sales]]*0.65,
Table1[[#This Row],[Sales]]*0.7)))</f>
        <v>3969.75</v>
      </c>
      <c r="I1598" s="11">
        <f ca="1">Table1[[#This Row],[Sales]]-H1598</f>
        <v>1323.25</v>
      </c>
      <c r="J1598" s="2">
        <f ca="1">Table1[[#This Row],[Profit]]/Table1[[#This Row],[Sales]]</f>
        <v>0.25</v>
      </c>
      <c r="K1598" t="str">
        <f ca="1">TEXT(Table1[[#This Row],[Order_Date]],"mmm")</f>
        <v>Dec</v>
      </c>
      <c r="L1598">
        <f ca="1">YEAR(Table1[[#This Row],[Order_Date]])</f>
        <v>2023</v>
      </c>
    </row>
    <row r="1599" spans="1:12" x14ac:dyDescent="0.3">
      <c r="A1599">
        <f t="shared" si="96"/>
        <v>1598</v>
      </c>
      <c r="B1599" s="1">
        <f t="shared" ca="1" si="97"/>
        <v>45128</v>
      </c>
      <c r="C1599" t="s">
        <v>8</v>
      </c>
      <c r="D1599" t="str">
        <f t="shared" ca="1" si="98"/>
        <v>Electronics</v>
      </c>
      <c r="E1599" t="s">
        <v>77</v>
      </c>
      <c r="F1599" s="11">
        <v>14367</v>
      </c>
      <c r="G1599">
        <f t="shared" ca="1" si="99"/>
        <v>4</v>
      </c>
      <c r="H1599" s="11">
        <f ca="1">IF(Table1[[#This Row],[Category]]="Electronics",Table1[[#This Row],[Sales]]*0.6,
IF(Table1[[#This Row],[Category]]="Furniture",Table1[[#This Row],[Sales]]*0.75,
IF(Table1[[#This Row],[Category]]="Clothing",Table1[[#This Row],[Sales]]*0.65,
Table1[[#This Row],[Sales]]*0.7)))</f>
        <v>8620.1999999999989</v>
      </c>
      <c r="I1599" s="11">
        <f ca="1">Table1[[#This Row],[Sales]]-H1599</f>
        <v>5746.8000000000011</v>
      </c>
      <c r="J1599" s="2">
        <f ca="1">Table1[[#This Row],[Profit]]/Table1[[#This Row],[Sales]]</f>
        <v>0.40000000000000008</v>
      </c>
      <c r="K1599" t="str">
        <f ca="1">TEXT(Table1[[#This Row],[Order_Date]],"mmm")</f>
        <v>Jul</v>
      </c>
      <c r="L1599">
        <f ca="1">YEAR(Table1[[#This Row],[Order_Date]])</f>
        <v>2023</v>
      </c>
    </row>
    <row r="1600" spans="1:12" x14ac:dyDescent="0.3">
      <c r="A1600">
        <f t="shared" si="96"/>
        <v>1599</v>
      </c>
      <c r="B1600" s="1">
        <f t="shared" ca="1" si="97"/>
        <v>44952</v>
      </c>
      <c r="C1600" t="s">
        <v>9</v>
      </c>
      <c r="D1600" t="str">
        <f t="shared" ca="1" si="98"/>
        <v>Office Supplies</v>
      </c>
      <c r="E1600" t="s">
        <v>64</v>
      </c>
      <c r="F1600" s="11">
        <v>11190</v>
      </c>
      <c r="G1600">
        <f t="shared" ca="1" si="99"/>
        <v>6</v>
      </c>
      <c r="H1600" s="11">
        <f ca="1">IF(Table1[[#This Row],[Category]]="Electronics",Table1[[#This Row],[Sales]]*0.6,
IF(Table1[[#This Row],[Category]]="Furniture",Table1[[#This Row],[Sales]]*0.75,
IF(Table1[[#This Row],[Category]]="Clothing",Table1[[#This Row],[Sales]]*0.65,
Table1[[#This Row],[Sales]]*0.7)))</f>
        <v>7832.9999999999991</v>
      </c>
      <c r="I1600" s="11">
        <f ca="1">Table1[[#This Row],[Sales]]-H1600</f>
        <v>3357.0000000000009</v>
      </c>
      <c r="J1600" s="2">
        <f ca="1">Table1[[#This Row],[Profit]]/Table1[[#This Row],[Sales]]</f>
        <v>0.3000000000000001</v>
      </c>
      <c r="K1600" t="str">
        <f ca="1">TEXT(Table1[[#This Row],[Order_Date]],"mmm")</f>
        <v>Jan</v>
      </c>
      <c r="L1600">
        <f ca="1">YEAR(Table1[[#This Row],[Order_Date]])</f>
        <v>2023</v>
      </c>
    </row>
    <row r="1601" spans="1:12" x14ac:dyDescent="0.3">
      <c r="A1601">
        <f t="shared" si="96"/>
        <v>1600</v>
      </c>
      <c r="B1601" s="1">
        <f t="shared" ca="1" si="97"/>
        <v>45238</v>
      </c>
      <c r="C1601" t="s">
        <v>10</v>
      </c>
      <c r="D1601" t="str">
        <f t="shared" ca="1" si="98"/>
        <v>Furniture</v>
      </c>
      <c r="E1601" t="s">
        <v>48</v>
      </c>
      <c r="F1601" s="11">
        <v>4064</v>
      </c>
      <c r="G1601">
        <f t="shared" ca="1" si="99"/>
        <v>7</v>
      </c>
      <c r="H1601" s="11">
        <f ca="1">IF(Table1[[#This Row],[Category]]="Electronics",Table1[[#This Row],[Sales]]*0.6,
IF(Table1[[#This Row],[Category]]="Furniture",Table1[[#This Row],[Sales]]*0.75,
IF(Table1[[#This Row],[Category]]="Clothing",Table1[[#This Row],[Sales]]*0.65,
Table1[[#This Row],[Sales]]*0.7)))</f>
        <v>3048</v>
      </c>
      <c r="I1601" s="11">
        <f ca="1">Table1[[#This Row],[Sales]]-H1601</f>
        <v>1016</v>
      </c>
      <c r="J1601" s="2">
        <f ca="1">Table1[[#This Row],[Profit]]/Table1[[#This Row],[Sales]]</f>
        <v>0.25</v>
      </c>
      <c r="K1601" t="str">
        <f ca="1">TEXT(Table1[[#This Row],[Order_Date]],"mmm")</f>
        <v>Nov</v>
      </c>
      <c r="L1601">
        <f ca="1">YEAR(Table1[[#This Row],[Order_Date]])</f>
        <v>2023</v>
      </c>
    </row>
    <row r="1602" spans="1:12" x14ac:dyDescent="0.3">
      <c r="A1602">
        <f t="shared" si="96"/>
        <v>1601</v>
      </c>
      <c r="B1602" s="1">
        <f t="shared" ca="1" si="97"/>
        <v>45275</v>
      </c>
      <c r="C1602" t="s">
        <v>7</v>
      </c>
      <c r="D1602" t="str">
        <f t="shared" ca="1" si="98"/>
        <v>Electronics</v>
      </c>
      <c r="E1602" t="s">
        <v>60</v>
      </c>
      <c r="F1602" s="11">
        <v>4928</v>
      </c>
      <c r="G1602">
        <f t="shared" ca="1" si="99"/>
        <v>3</v>
      </c>
      <c r="H1602" s="11">
        <f ca="1">IF(Table1[[#This Row],[Category]]="Electronics",Table1[[#This Row],[Sales]]*0.6,
IF(Table1[[#This Row],[Category]]="Furniture",Table1[[#This Row],[Sales]]*0.75,
IF(Table1[[#This Row],[Category]]="Clothing",Table1[[#This Row],[Sales]]*0.65,
Table1[[#This Row],[Sales]]*0.7)))</f>
        <v>2956.7999999999997</v>
      </c>
      <c r="I1602" s="11">
        <f ca="1">Table1[[#This Row],[Sales]]-H1602</f>
        <v>1971.2000000000003</v>
      </c>
      <c r="J1602" s="2">
        <f ca="1">Table1[[#This Row],[Profit]]/Table1[[#This Row],[Sales]]</f>
        <v>0.40000000000000008</v>
      </c>
      <c r="K1602" t="str">
        <f ca="1">TEXT(Table1[[#This Row],[Order_Date]],"mmm")</f>
        <v>Dec</v>
      </c>
      <c r="L1602">
        <f ca="1">YEAR(Table1[[#This Row],[Order_Date]])</f>
        <v>2023</v>
      </c>
    </row>
    <row r="1603" spans="1:12" x14ac:dyDescent="0.3">
      <c r="A1603">
        <f t="shared" ref="A1603:A1666" si="100">ROW()-1</f>
        <v>1602</v>
      </c>
      <c r="B1603" s="1">
        <f t="shared" ref="B1603:B1666" ca="1" si="101">DATE(2023, RANDBETWEEN(1,12), RANDBETWEEN(1,28))</f>
        <v>44993</v>
      </c>
      <c r="C1603" t="s">
        <v>8</v>
      </c>
      <c r="D1603" t="str">
        <f t="shared" ref="D1603:D1666" ca="1" si="102">CHOOSE(RANDBETWEEN(1,4),"Electronics","Furniture","Clothing","Office Supplies")</f>
        <v>Electronics</v>
      </c>
      <c r="E1603" t="s">
        <v>49</v>
      </c>
      <c r="F1603" s="11">
        <v>12256</v>
      </c>
      <c r="G1603">
        <f t="shared" ref="G1603:G1666" ca="1" si="103">RANDBETWEEN(1,10)</f>
        <v>10</v>
      </c>
      <c r="H1603" s="11">
        <f ca="1">IF(Table1[[#This Row],[Category]]="Electronics",Table1[[#This Row],[Sales]]*0.6,
IF(Table1[[#This Row],[Category]]="Furniture",Table1[[#This Row],[Sales]]*0.75,
IF(Table1[[#This Row],[Category]]="Clothing",Table1[[#This Row],[Sales]]*0.65,
Table1[[#This Row],[Sales]]*0.7)))</f>
        <v>7353.5999999999995</v>
      </c>
      <c r="I1603" s="11">
        <f ca="1">Table1[[#This Row],[Sales]]-H1603</f>
        <v>4902.4000000000005</v>
      </c>
      <c r="J1603" s="2">
        <f ca="1">Table1[[#This Row],[Profit]]/Table1[[#This Row],[Sales]]</f>
        <v>0.4</v>
      </c>
      <c r="K1603" t="str">
        <f ca="1">TEXT(Table1[[#This Row],[Order_Date]],"mmm")</f>
        <v>Mar</v>
      </c>
      <c r="L1603">
        <f ca="1">YEAR(Table1[[#This Row],[Order_Date]])</f>
        <v>2023</v>
      </c>
    </row>
    <row r="1604" spans="1:12" x14ac:dyDescent="0.3">
      <c r="A1604">
        <f t="shared" si="100"/>
        <v>1603</v>
      </c>
      <c r="B1604" s="1">
        <f t="shared" ca="1" si="101"/>
        <v>45262</v>
      </c>
      <c r="C1604" t="s">
        <v>9</v>
      </c>
      <c r="D1604" t="str">
        <f t="shared" ca="1" si="102"/>
        <v>Clothing</v>
      </c>
      <c r="E1604" t="s">
        <v>67</v>
      </c>
      <c r="F1604" s="11">
        <v>4542</v>
      </c>
      <c r="G1604">
        <f t="shared" ca="1" si="103"/>
        <v>9</v>
      </c>
      <c r="H1604" s="11">
        <f ca="1">IF(Table1[[#This Row],[Category]]="Electronics",Table1[[#This Row],[Sales]]*0.6,
IF(Table1[[#This Row],[Category]]="Furniture",Table1[[#This Row],[Sales]]*0.75,
IF(Table1[[#This Row],[Category]]="Clothing",Table1[[#This Row],[Sales]]*0.65,
Table1[[#This Row],[Sales]]*0.7)))</f>
        <v>2952.3</v>
      </c>
      <c r="I1604" s="11">
        <f ca="1">Table1[[#This Row],[Sales]]-H1604</f>
        <v>1589.6999999999998</v>
      </c>
      <c r="J1604" s="2">
        <f ca="1">Table1[[#This Row],[Profit]]/Table1[[#This Row],[Sales]]</f>
        <v>0.35</v>
      </c>
      <c r="K1604" t="str">
        <f ca="1">TEXT(Table1[[#This Row],[Order_Date]],"mmm")</f>
        <v>Dec</v>
      </c>
      <c r="L1604">
        <f ca="1">YEAR(Table1[[#This Row],[Order_Date]])</f>
        <v>2023</v>
      </c>
    </row>
    <row r="1605" spans="1:12" x14ac:dyDescent="0.3">
      <c r="A1605">
        <f t="shared" si="100"/>
        <v>1604</v>
      </c>
      <c r="B1605" s="1">
        <f t="shared" ca="1" si="101"/>
        <v>44959</v>
      </c>
      <c r="C1605" t="s">
        <v>10</v>
      </c>
      <c r="D1605" t="str">
        <f t="shared" ca="1" si="102"/>
        <v>Electronics</v>
      </c>
      <c r="E1605" t="s">
        <v>83</v>
      </c>
      <c r="F1605" s="11">
        <v>6690</v>
      </c>
      <c r="G1605">
        <f t="shared" ca="1" si="103"/>
        <v>9</v>
      </c>
      <c r="H1605" s="11">
        <f ca="1">IF(Table1[[#This Row],[Category]]="Electronics",Table1[[#This Row],[Sales]]*0.6,
IF(Table1[[#This Row],[Category]]="Furniture",Table1[[#This Row],[Sales]]*0.75,
IF(Table1[[#This Row],[Category]]="Clothing",Table1[[#This Row],[Sales]]*0.65,
Table1[[#This Row],[Sales]]*0.7)))</f>
        <v>4014</v>
      </c>
      <c r="I1605" s="11">
        <f ca="1">Table1[[#This Row],[Sales]]-H1605</f>
        <v>2676</v>
      </c>
      <c r="J1605" s="2">
        <f ca="1">Table1[[#This Row],[Profit]]/Table1[[#This Row],[Sales]]</f>
        <v>0.4</v>
      </c>
      <c r="K1605" t="str">
        <f ca="1">TEXT(Table1[[#This Row],[Order_Date]],"mmm")</f>
        <v>Feb</v>
      </c>
      <c r="L1605">
        <f ca="1">YEAR(Table1[[#This Row],[Order_Date]])</f>
        <v>2023</v>
      </c>
    </row>
    <row r="1606" spans="1:12" x14ac:dyDescent="0.3">
      <c r="A1606">
        <f t="shared" si="100"/>
        <v>1605</v>
      </c>
      <c r="B1606" s="1">
        <f t="shared" ca="1" si="101"/>
        <v>45255</v>
      </c>
      <c r="C1606" t="s">
        <v>7</v>
      </c>
      <c r="D1606" t="str">
        <f t="shared" ca="1" si="102"/>
        <v>Office Supplies</v>
      </c>
      <c r="E1606" t="s">
        <v>56</v>
      </c>
      <c r="F1606" s="11">
        <v>4813</v>
      </c>
      <c r="G1606">
        <f t="shared" ca="1" si="103"/>
        <v>3</v>
      </c>
      <c r="H1606" s="11">
        <f ca="1">IF(Table1[[#This Row],[Category]]="Electronics",Table1[[#This Row],[Sales]]*0.6,
IF(Table1[[#This Row],[Category]]="Furniture",Table1[[#This Row],[Sales]]*0.75,
IF(Table1[[#This Row],[Category]]="Clothing",Table1[[#This Row],[Sales]]*0.65,
Table1[[#This Row],[Sales]]*0.7)))</f>
        <v>3369.1</v>
      </c>
      <c r="I1606" s="11">
        <f ca="1">Table1[[#This Row],[Sales]]-H1606</f>
        <v>1443.9</v>
      </c>
      <c r="J1606" s="2">
        <f ca="1">Table1[[#This Row],[Profit]]/Table1[[#This Row],[Sales]]</f>
        <v>0.30000000000000004</v>
      </c>
      <c r="K1606" t="str">
        <f ca="1">TEXT(Table1[[#This Row],[Order_Date]],"mmm")</f>
        <v>Nov</v>
      </c>
      <c r="L1606">
        <f ca="1">YEAR(Table1[[#This Row],[Order_Date]])</f>
        <v>2023</v>
      </c>
    </row>
    <row r="1607" spans="1:12" x14ac:dyDescent="0.3">
      <c r="A1607">
        <f t="shared" si="100"/>
        <v>1606</v>
      </c>
      <c r="B1607" s="1">
        <f t="shared" ca="1" si="101"/>
        <v>45256</v>
      </c>
      <c r="C1607" t="s">
        <v>8</v>
      </c>
      <c r="D1607" t="str">
        <f t="shared" ca="1" si="102"/>
        <v>Electronics</v>
      </c>
      <c r="E1607" t="s">
        <v>50</v>
      </c>
      <c r="F1607" s="11">
        <v>1135</v>
      </c>
      <c r="G1607">
        <f t="shared" ca="1" si="103"/>
        <v>8</v>
      </c>
      <c r="H1607" s="11">
        <f ca="1">IF(Table1[[#This Row],[Category]]="Electronics",Table1[[#This Row],[Sales]]*0.6,
IF(Table1[[#This Row],[Category]]="Furniture",Table1[[#This Row],[Sales]]*0.75,
IF(Table1[[#This Row],[Category]]="Clothing",Table1[[#This Row],[Sales]]*0.65,
Table1[[#This Row],[Sales]]*0.7)))</f>
        <v>681</v>
      </c>
      <c r="I1607" s="11">
        <f ca="1">Table1[[#This Row],[Sales]]-H1607</f>
        <v>454</v>
      </c>
      <c r="J1607" s="2">
        <f ca="1">Table1[[#This Row],[Profit]]/Table1[[#This Row],[Sales]]</f>
        <v>0.4</v>
      </c>
      <c r="K1607" t="str">
        <f ca="1">TEXT(Table1[[#This Row],[Order_Date]],"mmm")</f>
        <v>Nov</v>
      </c>
      <c r="L1607">
        <f ca="1">YEAR(Table1[[#This Row],[Order_Date]])</f>
        <v>2023</v>
      </c>
    </row>
    <row r="1608" spans="1:12" x14ac:dyDescent="0.3">
      <c r="A1608">
        <f t="shared" si="100"/>
        <v>1607</v>
      </c>
      <c r="B1608" s="1">
        <f t="shared" ca="1" si="101"/>
        <v>45234</v>
      </c>
      <c r="C1608" t="s">
        <v>9</v>
      </c>
      <c r="D1608" t="str">
        <f t="shared" ca="1" si="102"/>
        <v>Office Supplies</v>
      </c>
      <c r="E1608" t="s">
        <v>81</v>
      </c>
      <c r="F1608" s="11">
        <v>10031</v>
      </c>
      <c r="G1608">
        <f t="shared" ca="1" si="103"/>
        <v>9</v>
      </c>
      <c r="H1608" s="11">
        <f ca="1">IF(Table1[[#This Row],[Category]]="Electronics",Table1[[#This Row],[Sales]]*0.6,
IF(Table1[[#This Row],[Category]]="Furniture",Table1[[#This Row],[Sales]]*0.75,
IF(Table1[[#This Row],[Category]]="Clothing",Table1[[#This Row],[Sales]]*0.65,
Table1[[#This Row],[Sales]]*0.7)))</f>
        <v>7021.7</v>
      </c>
      <c r="I1608" s="11">
        <f ca="1">Table1[[#This Row],[Sales]]-H1608</f>
        <v>3009.3</v>
      </c>
      <c r="J1608" s="2">
        <f ca="1">Table1[[#This Row],[Profit]]/Table1[[#This Row],[Sales]]</f>
        <v>0.30000000000000004</v>
      </c>
      <c r="K1608" t="str">
        <f ca="1">TEXT(Table1[[#This Row],[Order_Date]],"mmm")</f>
        <v>Nov</v>
      </c>
      <c r="L1608">
        <f ca="1">YEAR(Table1[[#This Row],[Order_Date]])</f>
        <v>2023</v>
      </c>
    </row>
    <row r="1609" spans="1:12" x14ac:dyDescent="0.3">
      <c r="A1609">
        <f t="shared" si="100"/>
        <v>1608</v>
      </c>
      <c r="B1609" s="1">
        <f t="shared" ca="1" si="101"/>
        <v>45269</v>
      </c>
      <c r="C1609" t="s">
        <v>10</v>
      </c>
      <c r="D1609" t="str">
        <f t="shared" ca="1" si="102"/>
        <v>Office Supplies</v>
      </c>
      <c r="E1609" t="s">
        <v>50</v>
      </c>
      <c r="F1609" s="11">
        <v>8109</v>
      </c>
      <c r="G1609">
        <f t="shared" ca="1" si="103"/>
        <v>3</v>
      </c>
      <c r="H1609" s="11">
        <f ca="1">IF(Table1[[#This Row],[Category]]="Electronics",Table1[[#This Row],[Sales]]*0.6,
IF(Table1[[#This Row],[Category]]="Furniture",Table1[[#This Row],[Sales]]*0.75,
IF(Table1[[#This Row],[Category]]="Clothing",Table1[[#This Row],[Sales]]*0.65,
Table1[[#This Row],[Sales]]*0.7)))</f>
        <v>5676.2999999999993</v>
      </c>
      <c r="I1609" s="11">
        <f ca="1">Table1[[#This Row],[Sales]]-H1609</f>
        <v>2432.7000000000007</v>
      </c>
      <c r="J1609" s="2">
        <f ca="1">Table1[[#This Row],[Profit]]/Table1[[#This Row],[Sales]]</f>
        <v>0.3000000000000001</v>
      </c>
      <c r="K1609" t="str">
        <f ca="1">TEXT(Table1[[#This Row],[Order_Date]],"mmm")</f>
        <v>Dec</v>
      </c>
      <c r="L1609">
        <f ca="1">YEAR(Table1[[#This Row],[Order_Date]])</f>
        <v>2023</v>
      </c>
    </row>
    <row r="1610" spans="1:12" x14ac:dyDescent="0.3">
      <c r="A1610">
        <f t="shared" si="100"/>
        <v>1609</v>
      </c>
      <c r="B1610" s="1">
        <f t="shared" ca="1" si="101"/>
        <v>44945</v>
      </c>
      <c r="C1610" t="s">
        <v>7</v>
      </c>
      <c r="D1610" t="str">
        <f t="shared" ca="1" si="102"/>
        <v>Office Supplies</v>
      </c>
      <c r="E1610" t="s">
        <v>37</v>
      </c>
      <c r="F1610" s="11">
        <v>15544</v>
      </c>
      <c r="G1610">
        <f t="shared" ca="1" si="103"/>
        <v>6</v>
      </c>
      <c r="H1610" s="11">
        <f ca="1">IF(Table1[[#This Row],[Category]]="Electronics",Table1[[#This Row],[Sales]]*0.6,
IF(Table1[[#This Row],[Category]]="Furniture",Table1[[#This Row],[Sales]]*0.75,
IF(Table1[[#This Row],[Category]]="Clothing",Table1[[#This Row],[Sales]]*0.65,
Table1[[#This Row],[Sales]]*0.7)))</f>
        <v>10880.8</v>
      </c>
      <c r="I1610" s="11">
        <f ca="1">Table1[[#This Row],[Sales]]-H1610</f>
        <v>4663.2000000000007</v>
      </c>
      <c r="J1610" s="2">
        <f ca="1">Table1[[#This Row],[Profit]]/Table1[[#This Row],[Sales]]</f>
        <v>0.30000000000000004</v>
      </c>
      <c r="K1610" t="str">
        <f ca="1">TEXT(Table1[[#This Row],[Order_Date]],"mmm")</f>
        <v>Jan</v>
      </c>
      <c r="L1610">
        <f ca="1">YEAR(Table1[[#This Row],[Order_Date]])</f>
        <v>2023</v>
      </c>
    </row>
    <row r="1611" spans="1:12" x14ac:dyDescent="0.3">
      <c r="A1611">
        <f t="shared" si="100"/>
        <v>1610</v>
      </c>
      <c r="B1611" s="1">
        <f t="shared" ca="1" si="101"/>
        <v>45274</v>
      </c>
      <c r="C1611" t="s">
        <v>8</v>
      </c>
      <c r="D1611" t="str">
        <f t="shared" ca="1" si="102"/>
        <v>Electronics</v>
      </c>
      <c r="E1611" t="s">
        <v>68</v>
      </c>
      <c r="F1611" s="11">
        <v>2970</v>
      </c>
      <c r="G1611">
        <f t="shared" ca="1" si="103"/>
        <v>5</v>
      </c>
      <c r="H1611" s="11">
        <f ca="1">IF(Table1[[#This Row],[Category]]="Electronics",Table1[[#This Row],[Sales]]*0.6,
IF(Table1[[#This Row],[Category]]="Furniture",Table1[[#This Row],[Sales]]*0.75,
IF(Table1[[#This Row],[Category]]="Clothing",Table1[[#This Row],[Sales]]*0.65,
Table1[[#This Row],[Sales]]*0.7)))</f>
        <v>1782</v>
      </c>
      <c r="I1611" s="11">
        <f ca="1">Table1[[#This Row],[Sales]]-H1611</f>
        <v>1188</v>
      </c>
      <c r="J1611" s="2">
        <f ca="1">Table1[[#This Row],[Profit]]/Table1[[#This Row],[Sales]]</f>
        <v>0.4</v>
      </c>
      <c r="K1611" t="str">
        <f ca="1">TEXT(Table1[[#This Row],[Order_Date]],"mmm")</f>
        <v>Dec</v>
      </c>
      <c r="L1611">
        <f ca="1">YEAR(Table1[[#This Row],[Order_Date]])</f>
        <v>2023</v>
      </c>
    </row>
    <row r="1612" spans="1:12" x14ac:dyDescent="0.3">
      <c r="A1612">
        <f t="shared" si="100"/>
        <v>1611</v>
      </c>
      <c r="B1612" s="1">
        <f t="shared" ca="1" si="101"/>
        <v>44997</v>
      </c>
      <c r="C1612" t="s">
        <v>9</v>
      </c>
      <c r="D1612" t="str">
        <f t="shared" ca="1" si="102"/>
        <v>Clothing</v>
      </c>
      <c r="E1612" t="s">
        <v>77</v>
      </c>
      <c r="F1612" s="11">
        <v>15917</v>
      </c>
      <c r="G1612">
        <f t="shared" ca="1" si="103"/>
        <v>10</v>
      </c>
      <c r="H1612" s="11">
        <f ca="1">IF(Table1[[#This Row],[Category]]="Electronics",Table1[[#This Row],[Sales]]*0.6,
IF(Table1[[#This Row],[Category]]="Furniture",Table1[[#This Row],[Sales]]*0.75,
IF(Table1[[#This Row],[Category]]="Clothing",Table1[[#This Row],[Sales]]*0.65,
Table1[[#This Row],[Sales]]*0.7)))</f>
        <v>10346.050000000001</v>
      </c>
      <c r="I1612" s="11">
        <f ca="1">Table1[[#This Row],[Sales]]-H1612</f>
        <v>5570.9499999999989</v>
      </c>
      <c r="J1612" s="2">
        <f ca="1">Table1[[#This Row],[Profit]]/Table1[[#This Row],[Sales]]</f>
        <v>0.34999999999999992</v>
      </c>
      <c r="K1612" t="str">
        <f ca="1">TEXT(Table1[[#This Row],[Order_Date]],"mmm")</f>
        <v>Mar</v>
      </c>
      <c r="L1612">
        <f ca="1">YEAR(Table1[[#This Row],[Order_Date]])</f>
        <v>2023</v>
      </c>
    </row>
    <row r="1613" spans="1:12" x14ac:dyDescent="0.3">
      <c r="A1613">
        <f t="shared" si="100"/>
        <v>1612</v>
      </c>
      <c r="B1613" s="1">
        <f t="shared" ca="1" si="101"/>
        <v>45011</v>
      </c>
      <c r="C1613" t="s">
        <v>10</v>
      </c>
      <c r="D1613" t="str">
        <f t="shared" ca="1" si="102"/>
        <v>Furniture</v>
      </c>
      <c r="E1613" t="s">
        <v>78</v>
      </c>
      <c r="F1613" s="11">
        <v>6526</v>
      </c>
      <c r="G1613">
        <f t="shared" ca="1" si="103"/>
        <v>1</v>
      </c>
      <c r="H1613" s="11">
        <f ca="1">IF(Table1[[#This Row],[Category]]="Electronics",Table1[[#This Row],[Sales]]*0.6,
IF(Table1[[#This Row],[Category]]="Furniture",Table1[[#This Row],[Sales]]*0.75,
IF(Table1[[#This Row],[Category]]="Clothing",Table1[[#This Row],[Sales]]*0.65,
Table1[[#This Row],[Sales]]*0.7)))</f>
        <v>4894.5</v>
      </c>
      <c r="I1613" s="11">
        <f ca="1">Table1[[#This Row],[Sales]]-H1613</f>
        <v>1631.5</v>
      </c>
      <c r="J1613" s="2">
        <f ca="1">Table1[[#This Row],[Profit]]/Table1[[#This Row],[Sales]]</f>
        <v>0.25</v>
      </c>
      <c r="K1613" t="str">
        <f ca="1">TEXT(Table1[[#This Row],[Order_Date]],"mmm")</f>
        <v>Mar</v>
      </c>
      <c r="L1613">
        <f ca="1">YEAR(Table1[[#This Row],[Order_Date]])</f>
        <v>2023</v>
      </c>
    </row>
    <row r="1614" spans="1:12" x14ac:dyDescent="0.3">
      <c r="A1614">
        <f t="shared" si="100"/>
        <v>1613</v>
      </c>
      <c r="B1614" s="1">
        <f t="shared" ca="1" si="101"/>
        <v>45040</v>
      </c>
      <c r="C1614" t="s">
        <v>7</v>
      </c>
      <c r="D1614" t="str">
        <f t="shared" ca="1" si="102"/>
        <v>Office Supplies</v>
      </c>
      <c r="E1614" t="s">
        <v>61</v>
      </c>
      <c r="F1614" s="11">
        <v>1542</v>
      </c>
      <c r="G1614">
        <f t="shared" ca="1" si="103"/>
        <v>3</v>
      </c>
      <c r="H1614" s="11">
        <f ca="1">IF(Table1[[#This Row],[Category]]="Electronics",Table1[[#This Row],[Sales]]*0.6,
IF(Table1[[#This Row],[Category]]="Furniture",Table1[[#This Row],[Sales]]*0.75,
IF(Table1[[#This Row],[Category]]="Clothing",Table1[[#This Row],[Sales]]*0.65,
Table1[[#This Row],[Sales]]*0.7)))</f>
        <v>1079.3999999999999</v>
      </c>
      <c r="I1614" s="11">
        <f ca="1">Table1[[#This Row],[Sales]]-H1614</f>
        <v>462.60000000000014</v>
      </c>
      <c r="J1614" s="2">
        <f ca="1">Table1[[#This Row],[Profit]]/Table1[[#This Row],[Sales]]</f>
        <v>0.3000000000000001</v>
      </c>
      <c r="K1614" t="str">
        <f ca="1">TEXT(Table1[[#This Row],[Order_Date]],"mmm")</f>
        <v>Apr</v>
      </c>
      <c r="L1614">
        <f ca="1">YEAR(Table1[[#This Row],[Order_Date]])</f>
        <v>2023</v>
      </c>
    </row>
    <row r="1615" spans="1:12" x14ac:dyDescent="0.3">
      <c r="A1615">
        <f t="shared" si="100"/>
        <v>1614</v>
      </c>
      <c r="B1615" s="1">
        <f t="shared" ca="1" si="101"/>
        <v>44944</v>
      </c>
      <c r="C1615" t="s">
        <v>8</v>
      </c>
      <c r="D1615" t="str">
        <f t="shared" ca="1" si="102"/>
        <v>Electronics</v>
      </c>
      <c r="E1615" t="s">
        <v>57</v>
      </c>
      <c r="F1615" s="11">
        <v>18710</v>
      </c>
      <c r="G1615">
        <f t="shared" ca="1" si="103"/>
        <v>9</v>
      </c>
      <c r="H1615" s="11">
        <f ca="1">IF(Table1[[#This Row],[Category]]="Electronics",Table1[[#This Row],[Sales]]*0.6,
IF(Table1[[#This Row],[Category]]="Furniture",Table1[[#This Row],[Sales]]*0.75,
IF(Table1[[#This Row],[Category]]="Clothing",Table1[[#This Row],[Sales]]*0.65,
Table1[[#This Row],[Sales]]*0.7)))</f>
        <v>11226</v>
      </c>
      <c r="I1615" s="11">
        <f ca="1">Table1[[#This Row],[Sales]]-H1615</f>
        <v>7484</v>
      </c>
      <c r="J1615" s="2">
        <f ca="1">Table1[[#This Row],[Profit]]/Table1[[#This Row],[Sales]]</f>
        <v>0.4</v>
      </c>
      <c r="K1615" t="str">
        <f ca="1">TEXT(Table1[[#This Row],[Order_Date]],"mmm")</f>
        <v>Jan</v>
      </c>
      <c r="L1615">
        <f ca="1">YEAR(Table1[[#This Row],[Order_Date]])</f>
        <v>2023</v>
      </c>
    </row>
    <row r="1616" spans="1:12" x14ac:dyDescent="0.3">
      <c r="A1616">
        <f t="shared" si="100"/>
        <v>1615</v>
      </c>
      <c r="B1616" s="1">
        <f t="shared" ca="1" si="101"/>
        <v>45034</v>
      </c>
      <c r="C1616" t="s">
        <v>9</v>
      </c>
      <c r="D1616" t="str">
        <f t="shared" ca="1" si="102"/>
        <v>Clothing</v>
      </c>
      <c r="E1616" t="s">
        <v>37</v>
      </c>
      <c r="F1616" s="11">
        <v>17304</v>
      </c>
      <c r="G1616">
        <f t="shared" ca="1" si="103"/>
        <v>2</v>
      </c>
      <c r="H1616" s="11">
        <f ca="1">IF(Table1[[#This Row],[Category]]="Electronics",Table1[[#This Row],[Sales]]*0.6,
IF(Table1[[#This Row],[Category]]="Furniture",Table1[[#This Row],[Sales]]*0.75,
IF(Table1[[#This Row],[Category]]="Clothing",Table1[[#This Row],[Sales]]*0.65,
Table1[[#This Row],[Sales]]*0.7)))</f>
        <v>11247.6</v>
      </c>
      <c r="I1616" s="11">
        <f ca="1">Table1[[#This Row],[Sales]]-H1616</f>
        <v>6056.4</v>
      </c>
      <c r="J1616" s="2">
        <f ca="1">Table1[[#This Row],[Profit]]/Table1[[#This Row],[Sales]]</f>
        <v>0.35</v>
      </c>
      <c r="K1616" t="str">
        <f ca="1">TEXT(Table1[[#This Row],[Order_Date]],"mmm")</f>
        <v>Apr</v>
      </c>
      <c r="L1616">
        <f ca="1">YEAR(Table1[[#This Row],[Order_Date]])</f>
        <v>2023</v>
      </c>
    </row>
    <row r="1617" spans="1:12" x14ac:dyDescent="0.3">
      <c r="A1617">
        <f t="shared" si="100"/>
        <v>1616</v>
      </c>
      <c r="B1617" s="1">
        <f t="shared" ca="1" si="101"/>
        <v>44992</v>
      </c>
      <c r="C1617" t="s">
        <v>10</v>
      </c>
      <c r="D1617" t="str">
        <f t="shared" ca="1" si="102"/>
        <v>Electronics</v>
      </c>
      <c r="E1617" t="s">
        <v>73</v>
      </c>
      <c r="F1617" s="11">
        <v>3231</v>
      </c>
      <c r="G1617">
        <f t="shared" ca="1" si="103"/>
        <v>4</v>
      </c>
      <c r="H1617" s="11">
        <f ca="1">IF(Table1[[#This Row],[Category]]="Electronics",Table1[[#This Row],[Sales]]*0.6,
IF(Table1[[#This Row],[Category]]="Furniture",Table1[[#This Row],[Sales]]*0.75,
IF(Table1[[#This Row],[Category]]="Clothing",Table1[[#This Row],[Sales]]*0.65,
Table1[[#This Row],[Sales]]*0.7)))</f>
        <v>1938.6</v>
      </c>
      <c r="I1617" s="11">
        <f ca="1">Table1[[#This Row],[Sales]]-H1617</f>
        <v>1292.4000000000001</v>
      </c>
      <c r="J1617" s="2">
        <f ca="1">Table1[[#This Row],[Profit]]/Table1[[#This Row],[Sales]]</f>
        <v>0.4</v>
      </c>
      <c r="K1617" t="str">
        <f ca="1">TEXT(Table1[[#This Row],[Order_Date]],"mmm")</f>
        <v>Mar</v>
      </c>
      <c r="L1617">
        <f ca="1">YEAR(Table1[[#This Row],[Order_Date]])</f>
        <v>2023</v>
      </c>
    </row>
    <row r="1618" spans="1:12" x14ac:dyDescent="0.3">
      <c r="A1618">
        <f t="shared" si="100"/>
        <v>1617</v>
      </c>
      <c r="B1618" s="1">
        <f t="shared" ca="1" si="101"/>
        <v>45135</v>
      </c>
      <c r="C1618" t="s">
        <v>7</v>
      </c>
      <c r="D1618" t="str">
        <f t="shared" ca="1" si="102"/>
        <v>Office Supplies</v>
      </c>
      <c r="E1618" t="s">
        <v>75</v>
      </c>
      <c r="F1618" s="11">
        <v>8687</v>
      </c>
      <c r="G1618">
        <f t="shared" ca="1" si="103"/>
        <v>4</v>
      </c>
      <c r="H1618" s="11">
        <f ca="1">IF(Table1[[#This Row],[Category]]="Electronics",Table1[[#This Row],[Sales]]*0.6,
IF(Table1[[#This Row],[Category]]="Furniture",Table1[[#This Row],[Sales]]*0.75,
IF(Table1[[#This Row],[Category]]="Clothing",Table1[[#This Row],[Sales]]*0.65,
Table1[[#This Row],[Sales]]*0.7)))</f>
        <v>6080.9</v>
      </c>
      <c r="I1618" s="11">
        <f ca="1">Table1[[#This Row],[Sales]]-H1618</f>
        <v>2606.1000000000004</v>
      </c>
      <c r="J1618" s="2">
        <f ca="1">Table1[[#This Row],[Profit]]/Table1[[#This Row],[Sales]]</f>
        <v>0.30000000000000004</v>
      </c>
      <c r="K1618" t="str">
        <f ca="1">TEXT(Table1[[#This Row],[Order_Date]],"mmm")</f>
        <v>Jul</v>
      </c>
      <c r="L1618">
        <f ca="1">YEAR(Table1[[#This Row],[Order_Date]])</f>
        <v>2023</v>
      </c>
    </row>
    <row r="1619" spans="1:12" x14ac:dyDescent="0.3">
      <c r="A1619">
        <f t="shared" si="100"/>
        <v>1618</v>
      </c>
      <c r="B1619" s="1">
        <f t="shared" ca="1" si="101"/>
        <v>45285</v>
      </c>
      <c r="C1619" t="s">
        <v>8</v>
      </c>
      <c r="D1619" t="str">
        <f t="shared" ca="1" si="102"/>
        <v>Clothing</v>
      </c>
      <c r="E1619" t="s">
        <v>47</v>
      </c>
      <c r="F1619" s="11">
        <v>14373</v>
      </c>
      <c r="G1619">
        <f t="shared" ca="1" si="103"/>
        <v>2</v>
      </c>
      <c r="H1619" s="11">
        <f ca="1">IF(Table1[[#This Row],[Category]]="Electronics",Table1[[#This Row],[Sales]]*0.6,
IF(Table1[[#This Row],[Category]]="Furniture",Table1[[#This Row],[Sales]]*0.75,
IF(Table1[[#This Row],[Category]]="Clothing",Table1[[#This Row],[Sales]]*0.65,
Table1[[#This Row],[Sales]]*0.7)))</f>
        <v>9342.4500000000007</v>
      </c>
      <c r="I1619" s="11">
        <f ca="1">Table1[[#This Row],[Sales]]-H1619</f>
        <v>5030.5499999999993</v>
      </c>
      <c r="J1619" s="2">
        <f ca="1">Table1[[#This Row],[Profit]]/Table1[[#This Row],[Sales]]</f>
        <v>0.34999999999999992</v>
      </c>
      <c r="K1619" t="str">
        <f ca="1">TEXT(Table1[[#This Row],[Order_Date]],"mmm")</f>
        <v>Dec</v>
      </c>
      <c r="L1619">
        <f ca="1">YEAR(Table1[[#This Row],[Order_Date]])</f>
        <v>2023</v>
      </c>
    </row>
    <row r="1620" spans="1:12" x14ac:dyDescent="0.3">
      <c r="A1620">
        <f t="shared" si="100"/>
        <v>1619</v>
      </c>
      <c r="B1620" s="1">
        <f t="shared" ca="1" si="101"/>
        <v>44996</v>
      </c>
      <c r="C1620" t="s">
        <v>9</v>
      </c>
      <c r="D1620" t="str">
        <f t="shared" ca="1" si="102"/>
        <v>Electronics</v>
      </c>
      <c r="E1620" t="s">
        <v>38</v>
      </c>
      <c r="F1620" s="11">
        <v>12444</v>
      </c>
      <c r="G1620">
        <f t="shared" ca="1" si="103"/>
        <v>7</v>
      </c>
      <c r="H1620" s="11">
        <f ca="1">IF(Table1[[#This Row],[Category]]="Electronics",Table1[[#This Row],[Sales]]*0.6,
IF(Table1[[#This Row],[Category]]="Furniture",Table1[[#This Row],[Sales]]*0.75,
IF(Table1[[#This Row],[Category]]="Clothing",Table1[[#This Row],[Sales]]*0.65,
Table1[[#This Row],[Sales]]*0.7)))</f>
        <v>7466.4</v>
      </c>
      <c r="I1620" s="11">
        <f ca="1">Table1[[#This Row],[Sales]]-H1620</f>
        <v>4977.6000000000004</v>
      </c>
      <c r="J1620" s="2">
        <f ca="1">Table1[[#This Row],[Profit]]/Table1[[#This Row],[Sales]]</f>
        <v>0.4</v>
      </c>
      <c r="K1620" t="str">
        <f ca="1">TEXT(Table1[[#This Row],[Order_Date]],"mmm")</f>
        <v>Mar</v>
      </c>
      <c r="L1620">
        <f ca="1">YEAR(Table1[[#This Row],[Order_Date]])</f>
        <v>2023</v>
      </c>
    </row>
    <row r="1621" spans="1:12" x14ac:dyDescent="0.3">
      <c r="A1621">
        <f t="shared" si="100"/>
        <v>1620</v>
      </c>
      <c r="B1621" s="1">
        <f t="shared" ca="1" si="101"/>
        <v>45013</v>
      </c>
      <c r="C1621" t="s">
        <v>10</v>
      </c>
      <c r="D1621" t="str">
        <f t="shared" ca="1" si="102"/>
        <v>Clothing</v>
      </c>
      <c r="E1621" t="s">
        <v>53</v>
      </c>
      <c r="F1621" s="11">
        <v>4910</v>
      </c>
      <c r="G1621">
        <f t="shared" ca="1" si="103"/>
        <v>7</v>
      </c>
      <c r="H1621" s="11">
        <f ca="1">IF(Table1[[#This Row],[Category]]="Electronics",Table1[[#This Row],[Sales]]*0.6,
IF(Table1[[#This Row],[Category]]="Furniture",Table1[[#This Row],[Sales]]*0.75,
IF(Table1[[#This Row],[Category]]="Clothing",Table1[[#This Row],[Sales]]*0.65,
Table1[[#This Row],[Sales]]*0.7)))</f>
        <v>3191.5</v>
      </c>
      <c r="I1621" s="11">
        <f ca="1">Table1[[#This Row],[Sales]]-H1621</f>
        <v>1718.5</v>
      </c>
      <c r="J1621" s="2">
        <f ca="1">Table1[[#This Row],[Profit]]/Table1[[#This Row],[Sales]]</f>
        <v>0.35</v>
      </c>
      <c r="K1621" t="str">
        <f ca="1">TEXT(Table1[[#This Row],[Order_Date]],"mmm")</f>
        <v>Mar</v>
      </c>
      <c r="L1621">
        <f ca="1">YEAR(Table1[[#This Row],[Order_Date]])</f>
        <v>2023</v>
      </c>
    </row>
    <row r="1622" spans="1:12" x14ac:dyDescent="0.3">
      <c r="A1622">
        <f t="shared" si="100"/>
        <v>1621</v>
      </c>
      <c r="B1622" s="1">
        <f t="shared" ca="1" si="101"/>
        <v>45179</v>
      </c>
      <c r="C1622" t="s">
        <v>7</v>
      </c>
      <c r="D1622" t="str">
        <f t="shared" ca="1" si="102"/>
        <v>Electronics</v>
      </c>
      <c r="E1622" t="s">
        <v>66</v>
      </c>
      <c r="F1622" s="11">
        <v>5422</v>
      </c>
      <c r="G1622">
        <f t="shared" ca="1" si="103"/>
        <v>5</v>
      </c>
      <c r="H1622" s="11">
        <f ca="1">IF(Table1[[#This Row],[Category]]="Electronics",Table1[[#This Row],[Sales]]*0.6,
IF(Table1[[#This Row],[Category]]="Furniture",Table1[[#This Row],[Sales]]*0.75,
IF(Table1[[#This Row],[Category]]="Clothing",Table1[[#This Row],[Sales]]*0.65,
Table1[[#This Row],[Sales]]*0.7)))</f>
        <v>3253.2</v>
      </c>
      <c r="I1622" s="11">
        <f ca="1">Table1[[#This Row],[Sales]]-H1622</f>
        <v>2168.8000000000002</v>
      </c>
      <c r="J1622" s="2">
        <f ca="1">Table1[[#This Row],[Profit]]/Table1[[#This Row],[Sales]]</f>
        <v>0.4</v>
      </c>
      <c r="K1622" t="str">
        <f ca="1">TEXT(Table1[[#This Row],[Order_Date]],"mmm")</f>
        <v>Sep</v>
      </c>
      <c r="L1622">
        <f ca="1">YEAR(Table1[[#This Row],[Order_Date]])</f>
        <v>2023</v>
      </c>
    </row>
    <row r="1623" spans="1:12" x14ac:dyDescent="0.3">
      <c r="A1623">
        <f t="shared" si="100"/>
        <v>1622</v>
      </c>
      <c r="B1623" s="1">
        <f t="shared" ca="1" si="101"/>
        <v>44934</v>
      </c>
      <c r="C1623" t="s">
        <v>8</v>
      </c>
      <c r="D1623" t="str">
        <f t="shared" ca="1" si="102"/>
        <v>Furniture</v>
      </c>
      <c r="E1623" t="s">
        <v>81</v>
      </c>
      <c r="F1623" s="11">
        <v>13448</v>
      </c>
      <c r="G1623">
        <f t="shared" ca="1" si="103"/>
        <v>7</v>
      </c>
      <c r="H1623" s="11">
        <f ca="1">IF(Table1[[#This Row],[Category]]="Electronics",Table1[[#This Row],[Sales]]*0.6,
IF(Table1[[#This Row],[Category]]="Furniture",Table1[[#This Row],[Sales]]*0.75,
IF(Table1[[#This Row],[Category]]="Clothing",Table1[[#This Row],[Sales]]*0.65,
Table1[[#This Row],[Sales]]*0.7)))</f>
        <v>10086</v>
      </c>
      <c r="I1623" s="11">
        <f ca="1">Table1[[#This Row],[Sales]]-H1623</f>
        <v>3362</v>
      </c>
      <c r="J1623" s="2">
        <f ca="1">Table1[[#This Row],[Profit]]/Table1[[#This Row],[Sales]]</f>
        <v>0.25</v>
      </c>
      <c r="K1623" t="str">
        <f ca="1">TEXT(Table1[[#This Row],[Order_Date]],"mmm")</f>
        <v>Jan</v>
      </c>
      <c r="L1623">
        <f ca="1">YEAR(Table1[[#This Row],[Order_Date]])</f>
        <v>2023</v>
      </c>
    </row>
    <row r="1624" spans="1:12" x14ac:dyDescent="0.3">
      <c r="A1624">
        <f t="shared" si="100"/>
        <v>1623</v>
      </c>
      <c r="B1624" s="1">
        <f t="shared" ca="1" si="101"/>
        <v>45088</v>
      </c>
      <c r="C1624" t="s">
        <v>9</v>
      </c>
      <c r="D1624" t="str">
        <f t="shared" ca="1" si="102"/>
        <v>Electronics</v>
      </c>
      <c r="E1624" t="s">
        <v>36</v>
      </c>
      <c r="F1624" s="11">
        <v>9135</v>
      </c>
      <c r="G1624">
        <f t="shared" ca="1" si="103"/>
        <v>7</v>
      </c>
      <c r="H1624" s="11">
        <f ca="1">IF(Table1[[#This Row],[Category]]="Electronics",Table1[[#This Row],[Sales]]*0.6,
IF(Table1[[#This Row],[Category]]="Furniture",Table1[[#This Row],[Sales]]*0.75,
IF(Table1[[#This Row],[Category]]="Clothing",Table1[[#This Row],[Sales]]*0.65,
Table1[[#This Row],[Sales]]*0.7)))</f>
        <v>5481</v>
      </c>
      <c r="I1624" s="11">
        <f ca="1">Table1[[#This Row],[Sales]]-H1624</f>
        <v>3654</v>
      </c>
      <c r="J1624" s="2">
        <f ca="1">Table1[[#This Row],[Profit]]/Table1[[#This Row],[Sales]]</f>
        <v>0.4</v>
      </c>
      <c r="K1624" t="str">
        <f ca="1">TEXT(Table1[[#This Row],[Order_Date]],"mmm")</f>
        <v>Jun</v>
      </c>
      <c r="L1624">
        <f ca="1">YEAR(Table1[[#This Row],[Order_Date]])</f>
        <v>2023</v>
      </c>
    </row>
    <row r="1625" spans="1:12" x14ac:dyDescent="0.3">
      <c r="A1625">
        <f t="shared" si="100"/>
        <v>1624</v>
      </c>
      <c r="B1625" s="1">
        <f t="shared" ca="1" si="101"/>
        <v>45127</v>
      </c>
      <c r="C1625" t="s">
        <v>10</v>
      </c>
      <c r="D1625" t="str">
        <f t="shared" ca="1" si="102"/>
        <v>Electronics</v>
      </c>
      <c r="E1625" t="s">
        <v>73</v>
      </c>
      <c r="F1625" s="11">
        <v>15920</v>
      </c>
      <c r="G1625">
        <f t="shared" ca="1" si="103"/>
        <v>3</v>
      </c>
      <c r="H1625" s="11">
        <f ca="1">IF(Table1[[#This Row],[Category]]="Electronics",Table1[[#This Row],[Sales]]*0.6,
IF(Table1[[#This Row],[Category]]="Furniture",Table1[[#This Row],[Sales]]*0.75,
IF(Table1[[#This Row],[Category]]="Clothing",Table1[[#This Row],[Sales]]*0.65,
Table1[[#This Row],[Sales]]*0.7)))</f>
        <v>9552</v>
      </c>
      <c r="I1625" s="11">
        <f ca="1">Table1[[#This Row],[Sales]]-H1625</f>
        <v>6368</v>
      </c>
      <c r="J1625" s="2">
        <f ca="1">Table1[[#This Row],[Profit]]/Table1[[#This Row],[Sales]]</f>
        <v>0.4</v>
      </c>
      <c r="K1625" t="str">
        <f ca="1">TEXT(Table1[[#This Row],[Order_Date]],"mmm")</f>
        <v>Jul</v>
      </c>
      <c r="L1625">
        <f ca="1">YEAR(Table1[[#This Row],[Order_Date]])</f>
        <v>2023</v>
      </c>
    </row>
    <row r="1626" spans="1:12" x14ac:dyDescent="0.3">
      <c r="A1626">
        <f t="shared" si="100"/>
        <v>1625</v>
      </c>
      <c r="B1626" s="1">
        <f t="shared" ca="1" si="101"/>
        <v>45135</v>
      </c>
      <c r="C1626" t="s">
        <v>7</v>
      </c>
      <c r="D1626" t="str">
        <f t="shared" ca="1" si="102"/>
        <v>Electronics</v>
      </c>
      <c r="E1626" t="s">
        <v>65</v>
      </c>
      <c r="F1626" s="11">
        <v>2131</v>
      </c>
      <c r="G1626">
        <f t="shared" ca="1" si="103"/>
        <v>3</v>
      </c>
      <c r="H1626" s="11">
        <f ca="1">IF(Table1[[#This Row],[Category]]="Electronics",Table1[[#This Row],[Sales]]*0.6,
IF(Table1[[#This Row],[Category]]="Furniture",Table1[[#This Row],[Sales]]*0.75,
IF(Table1[[#This Row],[Category]]="Clothing",Table1[[#This Row],[Sales]]*0.65,
Table1[[#This Row],[Sales]]*0.7)))</f>
        <v>1278.5999999999999</v>
      </c>
      <c r="I1626" s="11">
        <f ca="1">Table1[[#This Row],[Sales]]-H1626</f>
        <v>852.40000000000009</v>
      </c>
      <c r="J1626" s="2">
        <f ca="1">Table1[[#This Row],[Profit]]/Table1[[#This Row],[Sales]]</f>
        <v>0.4</v>
      </c>
      <c r="K1626" t="str">
        <f ca="1">TEXT(Table1[[#This Row],[Order_Date]],"mmm")</f>
        <v>Jul</v>
      </c>
      <c r="L1626">
        <f ca="1">YEAR(Table1[[#This Row],[Order_Date]])</f>
        <v>2023</v>
      </c>
    </row>
    <row r="1627" spans="1:12" x14ac:dyDescent="0.3">
      <c r="A1627">
        <f t="shared" si="100"/>
        <v>1626</v>
      </c>
      <c r="B1627" s="1">
        <f t="shared" ca="1" si="101"/>
        <v>45226</v>
      </c>
      <c r="C1627" t="s">
        <v>8</v>
      </c>
      <c r="D1627" t="str">
        <f t="shared" ca="1" si="102"/>
        <v>Furniture</v>
      </c>
      <c r="E1627" t="s">
        <v>63</v>
      </c>
      <c r="F1627" s="11">
        <v>18127</v>
      </c>
      <c r="G1627">
        <f t="shared" ca="1" si="103"/>
        <v>4</v>
      </c>
      <c r="H1627" s="11">
        <f ca="1">IF(Table1[[#This Row],[Category]]="Electronics",Table1[[#This Row],[Sales]]*0.6,
IF(Table1[[#This Row],[Category]]="Furniture",Table1[[#This Row],[Sales]]*0.75,
IF(Table1[[#This Row],[Category]]="Clothing",Table1[[#This Row],[Sales]]*0.65,
Table1[[#This Row],[Sales]]*0.7)))</f>
        <v>13595.25</v>
      </c>
      <c r="I1627" s="11">
        <f ca="1">Table1[[#This Row],[Sales]]-H1627</f>
        <v>4531.75</v>
      </c>
      <c r="J1627" s="2">
        <f ca="1">Table1[[#This Row],[Profit]]/Table1[[#This Row],[Sales]]</f>
        <v>0.25</v>
      </c>
      <c r="K1627" t="str">
        <f ca="1">TEXT(Table1[[#This Row],[Order_Date]],"mmm")</f>
        <v>Oct</v>
      </c>
      <c r="L1627">
        <f ca="1">YEAR(Table1[[#This Row],[Order_Date]])</f>
        <v>2023</v>
      </c>
    </row>
    <row r="1628" spans="1:12" x14ac:dyDescent="0.3">
      <c r="A1628">
        <f t="shared" si="100"/>
        <v>1627</v>
      </c>
      <c r="B1628" s="1">
        <f t="shared" ca="1" si="101"/>
        <v>45053</v>
      </c>
      <c r="C1628" t="s">
        <v>9</v>
      </c>
      <c r="D1628" t="str">
        <f t="shared" ca="1" si="102"/>
        <v>Office Supplies</v>
      </c>
      <c r="E1628" t="s">
        <v>70</v>
      </c>
      <c r="F1628" s="11">
        <v>2519</v>
      </c>
      <c r="G1628">
        <f t="shared" ca="1" si="103"/>
        <v>9</v>
      </c>
      <c r="H1628" s="11">
        <f ca="1">IF(Table1[[#This Row],[Category]]="Electronics",Table1[[#This Row],[Sales]]*0.6,
IF(Table1[[#This Row],[Category]]="Furniture",Table1[[#This Row],[Sales]]*0.75,
IF(Table1[[#This Row],[Category]]="Clothing",Table1[[#This Row],[Sales]]*0.65,
Table1[[#This Row],[Sales]]*0.7)))</f>
        <v>1763.3</v>
      </c>
      <c r="I1628" s="11">
        <f ca="1">Table1[[#This Row],[Sales]]-H1628</f>
        <v>755.7</v>
      </c>
      <c r="J1628" s="2">
        <f ca="1">Table1[[#This Row],[Profit]]/Table1[[#This Row],[Sales]]</f>
        <v>0.30000000000000004</v>
      </c>
      <c r="K1628" t="str">
        <f ca="1">TEXT(Table1[[#This Row],[Order_Date]],"mmm")</f>
        <v>May</v>
      </c>
      <c r="L1628">
        <f ca="1">YEAR(Table1[[#This Row],[Order_Date]])</f>
        <v>2023</v>
      </c>
    </row>
    <row r="1629" spans="1:12" x14ac:dyDescent="0.3">
      <c r="A1629">
        <f t="shared" si="100"/>
        <v>1628</v>
      </c>
      <c r="B1629" s="1">
        <f t="shared" ca="1" si="101"/>
        <v>45067</v>
      </c>
      <c r="C1629" t="s">
        <v>10</v>
      </c>
      <c r="D1629" t="str">
        <f t="shared" ca="1" si="102"/>
        <v>Clothing</v>
      </c>
      <c r="E1629" t="s">
        <v>37</v>
      </c>
      <c r="F1629" s="11">
        <v>4517</v>
      </c>
      <c r="G1629">
        <f t="shared" ca="1" si="103"/>
        <v>7</v>
      </c>
      <c r="H1629" s="11">
        <f ca="1">IF(Table1[[#This Row],[Category]]="Electronics",Table1[[#This Row],[Sales]]*0.6,
IF(Table1[[#This Row],[Category]]="Furniture",Table1[[#This Row],[Sales]]*0.75,
IF(Table1[[#This Row],[Category]]="Clothing",Table1[[#This Row],[Sales]]*0.65,
Table1[[#This Row],[Sales]]*0.7)))</f>
        <v>2936.05</v>
      </c>
      <c r="I1629" s="11">
        <f ca="1">Table1[[#This Row],[Sales]]-H1629</f>
        <v>1580.9499999999998</v>
      </c>
      <c r="J1629" s="2">
        <f ca="1">Table1[[#This Row],[Profit]]/Table1[[#This Row],[Sales]]</f>
        <v>0.35</v>
      </c>
      <c r="K1629" t="str">
        <f ca="1">TEXT(Table1[[#This Row],[Order_Date]],"mmm")</f>
        <v>May</v>
      </c>
      <c r="L1629">
        <f ca="1">YEAR(Table1[[#This Row],[Order_Date]])</f>
        <v>2023</v>
      </c>
    </row>
    <row r="1630" spans="1:12" x14ac:dyDescent="0.3">
      <c r="A1630">
        <f t="shared" si="100"/>
        <v>1629</v>
      </c>
      <c r="B1630" s="1">
        <f t="shared" ca="1" si="101"/>
        <v>45085</v>
      </c>
      <c r="C1630" t="s">
        <v>7</v>
      </c>
      <c r="D1630" t="str">
        <f t="shared" ca="1" si="102"/>
        <v>Furniture</v>
      </c>
      <c r="E1630" t="s">
        <v>43</v>
      </c>
      <c r="F1630" s="11">
        <v>10623</v>
      </c>
      <c r="G1630">
        <f t="shared" ca="1" si="103"/>
        <v>1</v>
      </c>
      <c r="H1630" s="11">
        <f ca="1">IF(Table1[[#This Row],[Category]]="Electronics",Table1[[#This Row],[Sales]]*0.6,
IF(Table1[[#This Row],[Category]]="Furniture",Table1[[#This Row],[Sales]]*0.75,
IF(Table1[[#This Row],[Category]]="Clothing",Table1[[#This Row],[Sales]]*0.65,
Table1[[#This Row],[Sales]]*0.7)))</f>
        <v>7967.25</v>
      </c>
      <c r="I1630" s="11">
        <f ca="1">Table1[[#This Row],[Sales]]-H1630</f>
        <v>2655.75</v>
      </c>
      <c r="J1630" s="2">
        <f ca="1">Table1[[#This Row],[Profit]]/Table1[[#This Row],[Sales]]</f>
        <v>0.25</v>
      </c>
      <c r="K1630" t="str">
        <f ca="1">TEXT(Table1[[#This Row],[Order_Date]],"mmm")</f>
        <v>Jun</v>
      </c>
      <c r="L1630">
        <f ca="1">YEAR(Table1[[#This Row],[Order_Date]])</f>
        <v>2023</v>
      </c>
    </row>
    <row r="1631" spans="1:12" x14ac:dyDescent="0.3">
      <c r="A1631">
        <f t="shared" si="100"/>
        <v>1630</v>
      </c>
      <c r="B1631" s="1">
        <f t="shared" ca="1" si="101"/>
        <v>44989</v>
      </c>
      <c r="C1631" t="s">
        <v>8</v>
      </c>
      <c r="D1631" t="str">
        <f t="shared" ca="1" si="102"/>
        <v>Electronics</v>
      </c>
      <c r="E1631" t="s">
        <v>43</v>
      </c>
      <c r="F1631" s="11">
        <v>16788</v>
      </c>
      <c r="G1631">
        <f t="shared" ca="1" si="103"/>
        <v>10</v>
      </c>
      <c r="H1631" s="11">
        <f ca="1">IF(Table1[[#This Row],[Category]]="Electronics",Table1[[#This Row],[Sales]]*0.6,
IF(Table1[[#This Row],[Category]]="Furniture",Table1[[#This Row],[Sales]]*0.75,
IF(Table1[[#This Row],[Category]]="Clothing",Table1[[#This Row],[Sales]]*0.65,
Table1[[#This Row],[Sales]]*0.7)))</f>
        <v>10072.799999999999</v>
      </c>
      <c r="I1631" s="11">
        <f ca="1">Table1[[#This Row],[Sales]]-H1631</f>
        <v>6715.2000000000007</v>
      </c>
      <c r="J1631" s="2">
        <f ca="1">Table1[[#This Row],[Profit]]/Table1[[#This Row],[Sales]]</f>
        <v>0.4</v>
      </c>
      <c r="K1631" t="str">
        <f ca="1">TEXT(Table1[[#This Row],[Order_Date]],"mmm")</f>
        <v>Mar</v>
      </c>
      <c r="L1631">
        <f ca="1">YEAR(Table1[[#This Row],[Order_Date]])</f>
        <v>2023</v>
      </c>
    </row>
    <row r="1632" spans="1:12" x14ac:dyDescent="0.3">
      <c r="A1632">
        <f t="shared" si="100"/>
        <v>1631</v>
      </c>
      <c r="B1632" s="1">
        <f t="shared" ca="1" si="101"/>
        <v>45159</v>
      </c>
      <c r="C1632" t="s">
        <v>9</v>
      </c>
      <c r="D1632" t="str">
        <f t="shared" ca="1" si="102"/>
        <v>Electronics</v>
      </c>
      <c r="E1632" t="s">
        <v>80</v>
      </c>
      <c r="F1632" s="11">
        <v>10945</v>
      </c>
      <c r="G1632">
        <f t="shared" ca="1" si="103"/>
        <v>10</v>
      </c>
      <c r="H1632" s="11">
        <f ca="1">IF(Table1[[#This Row],[Category]]="Electronics",Table1[[#This Row],[Sales]]*0.6,
IF(Table1[[#This Row],[Category]]="Furniture",Table1[[#This Row],[Sales]]*0.75,
IF(Table1[[#This Row],[Category]]="Clothing",Table1[[#This Row],[Sales]]*0.65,
Table1[[#This Row],[Sales]]*0.7)))</f>
        <v>6567</v>
      </c>
      <c r="I1632" s="11">
        <f ca="1">Table1[[#This Row],[Sales]]-H1632</f>
        <v>4378</v>
      </c>
      <c r="J1632" s="2">
        <f ca="1">Table1[[#This Row],[Profit]]/Table1[[#This Row],[Sales]]</f>
        <v>0.4</v>
      </c>
      <c r="K1632" t="str">
        <f ca="1">TEXT(Table1[[#This Row],[Order_Date]],"mmm")</f>
        <v>Aug</v>
      </c>
      <c r="L1632">
        <f ca="1">YEAR(Table1[[#This Row],[Order_Date]])</f>
        <v>2023</v>
      </c>
    </row>
    <row r="1633" spans="1:12" x14ac:dyDescent="0.3">
      <c r="A1633">
        <f t="shared" si="100"/>
        <v>1632</v>
      </c>
      <c r="B1633" s="1">
        <f t="shared" ca="1" si="101"/>
        <v>44992</v>
      </c>
      <c r="C1633" t="s">
        <v>10</v>
      </c>
      <c r="D1633" t="str">
        <f t="shared" ca="1" si="102"/>
        <v>Office Supplies</v>
      </c>
      <c r="E1633" t="s">
        <v>41</v>
      </c>
      <c r="F1633" s="11">
        <v>17081</v>
      </c>
      <c r="G1633">
        <f t="shared" ca="1" si="103"/>
        <v>3</v>
      </c>
      <c r="H1633" s="11">
        <f ca="1">IF(Table1[[#This Row],[Category]]="Electronics",Table1[[#This Row],[Sales]]*0.6,
IF(Table1[[#This Row],[Category]]="Furniture",Table1[[#This Row],[Sales]]*0.75,
IF(Table1[[#This Row],[Category]]="Clothing",Table1[[#This Row],[Sales]]*0.65,
Table1[[#This Row],[Sales]]*0.7)))</f>
        <v>11956.699999999999</v>
      </c>
      <c r="I1633" s="11">
        <f ca="1">Table1[[#This Row],[Sales]]-H1633</f>
        <v>5124.3000000000011</v>
      </c>
      <c r="J1633" s="2">
        <f ca="1">Table1[[#This Row],[Profit]]/Table1[[#This Row],[Sales]]</f>
        <v>0.30000000000000004</v>
      </c>
      <c r="K1633" t="str">
        <f ca="1">TEXT(Table1[[#This Row],[Order_Date]],"mmm")</f>
        <v>Mar</v>
      </c>
      <c r="L1633">
        <f ca="1">YEAR(Table1[[#This Row],[Order_Date]])</f>
        <v>2023</v>
      </c>
    </row>
    <row r="1634" spans="1:12" x14ac:dyDescent="0.3">
      <c r="A1634">
        <f t="shared" si="100"/>
        <v>1633</v>
      </c>
      <c r="B1634" s="1">
        <f t="shared" ca="1" si="101"/>
        <v>44935</v>
      </c>
      <c r="C1634" t="s">
        <v>7</v>
      </c>
      <c r="D1634" t="str">
        <f t="shared" ca="1" si="102"/>
        <v>Furniture</v>
      </c>
      <c r="E1634" t="s">
        <v>37</v>
      </c>
      <c r="F1634" s="11">
        <v>1396</v>
      </c>
      <c r="G1634">
        <f t="shared" ca="1" si="103"/>
        <v>6</v>
      </c>
      <c r="H1634" s="11">
        <f ca="1">IF(Table1[[#This Row],[Category]]="Electronics",Table1[[#This Row],[Sales]]*0.6,
IF(Table1[[#This Row],[Category]]="Furniture",Table1[[#This Row],[Sales]]*0.75,
IF(Table1[[#This Row],[Category]]="Clothing",Table1[[#This Row],[Sales]]*0.65,
Table1[[#This Row],[Sales]]*0.7)))</f>
        <v>1047</v>
      </c>
      <c r="I1634" s="11">
        <f ca="1">Table1[[#This Row],[Sales]]-H1634</f>
        <v>349</v>
      </c>
      <c r="J1634" s="2">
        <f ca="1">Table1[[#This Row],[Profit]]/Table1[[#This Row],[Sales]]</f>
        <v>0.25</v>
      </c>
      <c r="K1634" t="str">
        <f ca="1">TEXT(Table1[[#This Row],[Order_Date]],"mmm")</f>
        <v>Jan</v>
      </c>
      <c r="L1634">
        <f ca="1">YEAR(Table1[[#This Row],[Order_Date]])</f>
        <v>2023</v>
      </c>
    </row>
    <row r="1635" spans="1:12" x14ac:dyDescent="0.3">
      <c r="A1635">
        <f t="shared" si="100"/>
        <v>1634</v>
      </c>
      <c r="B1635" s="1">
        <f t="shared" ca="1" si="101"/>
        <v>45238</v>
      </c>
      <c r="C1635" t="s">
        <v>8</v>
      </c>
      <c r="D1635" t="str">
        <f t="shared" ca="1" si="102"/>
        <v>Clothing</v>
      </c>
      <c r="E1635" t="s">
        <v>36</v>
      </c>
      <c r="F1635" s="11">
        <v>3538</v>
      </c>
      <c r="G1635">
        <f t="shared" ca="1" si="103"/>
        <v>8</v>
      </c>
      <c r="H1635" s="11">
        <f ca="1">IF(Table1[[#This Row],[Category]]="Electronics",Table1[[#This Row],[Sales]]*0.6,
IF(Table1[[#This Row],[Category]]="Furniture",Table1[[#This Row],[Sales]]*0.75,
IF(Table1[[#This Row],[Category]]="Clothing",Table1[[#This Row],[Sales]]*0.65,
Table1[[#This Row],[Sales]]*0.7)))</f>
        <v>2299.7000000000003</v>
      </c>
      <c r="I1635" s="11">
        <f ca="1">Table1[[#This Row],[Sales]]-H1635</f>
        <v>1238.2999999999997</v>
      </c>
      <c r="J1635" s="2">
        <f ca="1">Table1[[#This Row],[Profit]]/Table1[[#This Row],[Sales]]</f>
        <v>0.34999999999999992</v>
      </c>
      <c r="K1635" t="str">
        <f ca="1">TEXT(Table1[[#This Row],[Order_Date]],"mmm")</f>
        <v>Nov</v>
      </c>
      <c r="L1635">
        <f ca="1">YEAR(Table1[[#This Row],[Order_Date]])</f>
        <v>2023</v>
      </c>
    </row>
    <row r="1636" spans="1:12" x14ac:dyDescent="0.3">
      <c r="A1636">
        <f t="shared" si="100"/>
        <v>1635</v>
      </c>
      <c r="B1636" s="1">
        <f t="shared" ca="1" si="101"/>
        <v>45279</v>
      </c>
      <c r="C1636" t="s">
        <v>9</v>
      </c>
      <c r="D1636" t="str">
        <f t="shared" ca="1" si="102"/>
        <v>Furniture</v>
      </c>
      <c r="E1636" t="s">
        <v>40</v>
      </c>
      <c r="F1636" s="11">
        <v>3276</v>
      </c>
      <c r="G1636">
        <f t="shared" ca="1" si="103"/>
        <v>6</v>
      </c>
      <c r="H1636" s="11">
        <f ca="1">IF(Table1[[#This Row],[Category]]="Electronics",Table1[[#This Row],[Sales]]*0.6,
IF(Table1[[#This Row],[Category]]="Furniture",Table1[[#This Row],[Sales]]*0.75,
IF(Table1[[#This Row],[Category]]="Clothing",Table1[[#This Row],[Sales]]*0.65,
Table1[[#This Row],[Sales]]*0.7)))</f>
        <v>2457</v>
      </c>
      <c r="I1636" s="11">
        <f ca="1">Table1[[#This Row],[Sales]]-H1636</f>
        <v>819</v>
      </c>
      <c r="J1636" s="2">
        <f ca="1">Table1[[#This Row],[Profit]]/Table1[[#This Row],[Sales]]</f>
        <v>0.25</v>
      </c>
      <c r="K1636" t="str">
        <f ca="1">TEXT(Table1[[#This Row],[Order_Date]],"mmm")</f>
        <v>Dec</v>
      </c>
      <c r="L1636">
        <f ca="1">YEAR(Table1[[#This Row],[Order_Date]])</f>
        <v>2023</v>
      </c>
    </row>
    <row r="1637" spans="1:12" x14ac:dyDescent="0.3">
      <c r="A1637">
        <f t="shared" si="100"/>
        <v>1636</v>
      </c>
      <c r="B1637" s="1">
        <f t="shared" ca="1" si="101"/>
        <v>45126</v>
      </c>
      <c r="C1637" t="s">
        <v>10</v>
      </c>
      <c r="D1637" t="str">
        <f t="shared" ca="1" si="102"/>
        <v>Clothing</v>
      </c>
      <c r="E1637" t="s">
        <v>54</v>
      </c>
      <c r="F1637" s="11">
        <v>13561</v>
      </c>
      <c r="G1637">
        <f t="shared" ca="1" si="103"/>
        <v>9</v>
      </c>
      <c r="H1637" s="11">
        <f ca="1">IF(Table1[[#This Row],[Category]]="Electronics",Table1[[#This Row],[Sales]]*0.6,
IF(Table1[[#This Row],[Category]]="Furniture",Table1[[#This Row],[Sales]]*0.75,
IF(Table1[[#This Row],[Category]]="Clothing",Table1[[#This Row],[Sales]]*0.65,
Table1[[#This Row],[Sales]]*0.7)))</f>
        <v>8814.65</v>
      </c>
      <c r="I1637" s="11">
        <f ca="1">Table1[[#This Row],[Sales]]-H1637</f>
        <v>4746.3500000000004</v>
      </c>
      <c r="J1637" s="2">
        <f ca="1">Table1[[#This Row],[Profit]]/Table1[[#This Row],[Sales]]</f>
        <v>0.35000000000000003</v>
      </c>
      <c r="K1637" t="str">
        <f ca="1">TEXT(Table1[[#This Row],[Order_Date]],"mmm")</f>
        <v>Jul</v>
      </c>
      <c r="L1637">
        <f ca="1">YEAR(Table1[[#This Row],[Order_Date]])</f>
        <v>2023</v>
      </c>
    </row>
    <row r="1638" spans="1:12" x14ac:dyDescent="0.3">
      <c r="A1638">
        <f t="shared" si="100"/>
        <v>1637</v>
      </c>
      <c r="B1638" s="1">
        <f t="shared" ca="1" si="101"/>
        <v>45111</v>
      </c>
      <c r="C1638" t="s">
        <v>7</v>
      </c>
      <c r="D1638" t="str">
        <f t="shared" ca="1" si="102"/>
        <v>Electronics</v>
      </c>
      <c r="E1638" t="s">
        <v>46</v>
      </c>
      <c r="F1638" s="11">
        <v>14668</v>
      </c>
      <c r="G1638">
        <f t="shared" ca="1" si="103"/>
        <v>10</v>
      </c>
      <c r="H1638" s="11">
        <f ca="1">IF(Table1[[#This Row],[Category]]="Electronics",Table1[[#This Row],[Sales]]*0.6,
IF(Table1[[#This Row],[Category]]="Furniture",Table1[[#This Row],[Sales]]*0.75,
IF(Table1[[#This Row],[Category]]="Clothing",Table1[[#This Row],[Sales]]*0.65,
Table1[[#This Row],[Sales]]*0.7)))</f>
        <v>8800.7999999999993</v>
      </c>
      <c r="I1638" s="11">
        <f ca="1">Table1[[#This Row],[Sales]]-H1638</f>
        <v>5867.2000000000007</v>
      </c>
      <c r="J1638" s="2">
        <f ca="1">Table1[[#This Row],[Profit]]/Table1[[#This Row],[Sales]]</f>
        <v>0.4</v>
      </c>
      <c r="K1638" t="str">
        <f ca="1">TEXT(Table1[[#This Row],[Order_Date]],"mmm")</f>
        <v>Jul</v>
      </c>
      <c r="L1638">
        <f ca="1">YEAR(Table1[[#This Row],[Order_Date]])</f>
        <v>2023</v>
      </c>
    </row>
    <row r="1639" spans="1:12" x14ac:dyDescent="0.3">
      <c r="A1639">
        <f t="shared" si="100"/>
        <v>1638</v>
      </c>
      <c r="B1639" s="1">
        <f t="shared" ca="1" si="101"/>
        <v>45009</v>
      </c>
      <c r="C1639" t="s">
        <v>8</v>
      </c>
      <c r="D1639" t="str">
        <f t="shared" ca="1" si="102"/>
        <v>Electronics</v>
      </c>
      <c r="E1639" t="s">
        <v>61</v>
      </c>
      <c r="F1639" s="11">
        <v>2175</v>
      </c>
      <c r="G1639">
        <f t="shared" ca="1" si="103"/>
        <v>10</v>
      </c>
      <c r="H1639" s="11">
        <f ca="1">IF(Table1[[#This Row],[Category]]="Electronics",Table1[[#This Row],[Sales]]*0.6,
IF(Table1[[#This Row],[Category]]="Furniture",Table1[[#This Row],[Sales]]*0.75,
IF(Table1[[#This Row],[Category]]="Clothing",Table1[[#This Row],[Sales]]*0.65,
Table1[[#This Row],[Sales]]*0.7)))</f>
        <v>1305</v>
      </c>
      <c r="I1639" s="11">
        <f ca="1">Table1[[#This Row],[Sales]]-H1639</f>
        <v>870</v>
      </c>
      <c r="J1639" s="2">
        <f ca="1">Table1[[#This Row],[Profit]]/Table1[[#This Row],[Sales]]</f>
        <v>0.4</v>
      </c>
      <c r="K1639" t="str">
        <f ca="1">TEXT(Table1[[#This Row],[Order_Date]],"mmm")</f>
        <v>Mar</v>
      </c>
      <c r="L1639">
        <f ca="1">YEAR(Table1[[#This Row],[Order_Date]])</f>
        <v>2023</v>
      </c>
    </row>
    <row r="1640" spans="1:12" x14ac:dyDescent="0.3">
      <c r="A1640">
        <f t="shared" si="100"/>
        <v>1639</v>
      </c>
      <c r="B1640" s="1">
        <f t="shared" ca="1" si="101"/>
        <v>45082</v>
      </c>
      <c r="C1640" t="s">
        <v>9</v>
      </c>
      <c r="D1640" t="str">
        <f t="shared" ca="1" si="102"/>
        <v>Furniture</v>
      </c>
      <c r="E1640" t="s">
        <v>84</v>
      </c>
      <c r="F1640" s="11">
        <v>12104</v>
      </c>
      <c r="G1640">
        <f t="shared" ca="1" si="103"/>
        <v>9</v>
      </c>
      <c r="H1640" s="11">
        <f ca="1">IF(Table1[[#This Row],[Category]]="Electronics",Table1[[#This Row],[Sales]]*0.6,
IF(Table1[[#This Row],[Category]]="Furniture",Table1[[#This Row],[Sales]]*0.75,
IF(Table1[[#This Row],[Category]]="Clothing",Table1[[#This Row],[Sales]]*0.65,
Table1[[#This Row],[Sales]]*0.7)))</f>
        <v>9078</v>
      </c>
      <c r="I1640" s="11">
        <f ca="1">Table1[[#This Row],[Sales]]-H1640</f>
        <v>3026</v>
      </c>
      <c r="J1640" s="2">
        <f ca="1">Table1[[#This Row],[Profit]]/Table1[[#This Row],[Sales]]</f>
        <v>0.25</v>
      </c>
      <c r="K1640" t="str">
        <f ca="1">TEXT(Table1[[#This Row],[Order_Date]],"mmm")</f>
        <v>Jun</v>
      </c>
      <c r="L1640">
        <f ca="1">YEAR(Table1[[#This Row],[Order_Date]])</f>
        <v>2023</v>
      </c>
    </row>
    <row r="1641" spans="1:12" x14ac:dyDescent="0.3">
      <c r="A1641">
        <f t="shared" si="100"/>
        <v>1640</v>
      </c>
      <c r="B1641" s="1">
        <f t="shared" ca="1" si="101"/>
        <v>44966</v>
      </c>
      <c r="C1641" t="s">
        <v>10</v>
      </c>
      <c r="D1641" t="str">
        <f t="shared" ca="1" si="102"/>
        <v>Furniture</v>
      </c>
      <c r="E1641" t="s">
        <v>84</v>
      </c>
      <c r="F1641" s="11">
        <v>19009</v>
      </c>
      <c r="G1641">
        <f t="shared" ca="1" si="103"/>
        <v>7</v>
      </c>
      <c r="H1641" s="11">
        <f ca="1">IF(Table1[[#This Row],[Category]]="Electronics",Table1[[#This Row],[Sales]]*0.6,
IF(Table1[[#This Row],[Category]]="Furniture",Table1[[#This Row],[Sales]]*0.75,
IF(Table1[[#This Row],[Category]]="Clothing",Table1[[#This Row],[Sales]]*0.65,
Table1[[#This Row],[Sales]]*0.7)))</f>
        <v>14256.75</v>
      </c>
      <c r="I1641" s="11">
        <f ca="1">Table1[[#This Row],[Sales]]-H1641</f>
        <v>4752.25</v>
      </c>
      <c r="J1641" s="2">
        <f ca="1">Table1[[#This Row],[Profit]]/Table1[[#This Row],[Sales]]</f>
        <v>0.25</v>
      </c>
      <c r="K1641" t="str">
        <f ca="1">TEXT(Table1[[#This Row],[Order_Date]],"mmm")</f>
        <v>Feb</v>
      </c>
      <c r="L1641">
        <f ca="1">YEAR(Table1[[#This Row],[Order_Date]])</f>
        <v>2023</v>
      </c>
    </row>
    <row r="1642" spans="1:12" x14ac:dyDescent="0.3">
      <c r="A1642">
        <f t="shared" si="100"/>
        <v>1641</v>
      </c>
      <c r="B1642" s="1">
        <f t="shared" ca="1" si="101"/>
        <v>45020</v>
      </c>
      <c r="C1642" t="s">
        <v>7</v>
      </c>
      <c r="D1642" t="str">
        <f t="shared" ca="1" si="102"/>
        <v>Furniture</v>
      </c>
      <c r="E1642" t="s">
        <v>83</v>
      </c>
      <c r="F1642" s="11">
        <v>9569</v>
      </c>
      <c r="G1642">
        <f t="shared" ca="1" si="103"/>
        <v>8</v>
      </c>
      <c r="H1642" s="11">
        <f ca="1">IF(Table1[[#This Row],[Category]]="Electronics",Table1[[#This Row],[Sales]]*0.6,
IF(Table1[[#This Row],[Category]]="Furniture",Table1[[#This Row],[Sales]]*0.75,
IF(Table1[[#This Row],[Category]]="Clothing",Table1[[#This Row],[Sales]]*0.65,
Table1[[#This Row],[Sales]]*0.7)))</f>
        <v>7176.75</v>
      </c>
      <c r="I1642" s="11">
        <f ca="1">Table1[[#This Row],[Sales]]-H1642</f>
        <v>2392.25</v>
      </c>
      <c r="J1642" s="2">
        <f ca="1">Table1[[#This Row],[Profit]]/Table1[[#This Row],[Sales]]</f>
        <v>0.25</v>
      </c>
      <c r="K1642" t="str">
        <f ca="1">TEXT(Table1[[#This Row],[Order_Date]],"mmm")</f>
        <v>Apr</v>
      </c>
      <c r="L1642">
        <f ca="1">YEAR(Table1[[#This Row],[Order_Date]])</f>
        <v>2023</v>
      </c>
    </row>
    <row r="1643" spans="1:12" x14ac:dyDescent="0.3">
      <c r="A1643">
        <f t="shared" si="100"/>
        <v>1642</v>
      </c>
      <c r="B1643" s="1">
        <f t="shared" ca="1" si="101"/>
        <v>45135</v>
      </c>
      <c r="C1643" t="s">
        <v>8</v>
      </c>
      <c r="D1643" t="str">
        <f t="shared" ca="1" si="102"/>
        <v>Furniture</v>
      </c>
      <c r="E1643" t="s">
        <v>37</v>
      </c>
      <c r="F1643" s="11">
        <v>13704</v>
      </c>
      <c r="G1643">
        <f t="shared" ca="1" si="103"/>
        <v>4</v>
      </c>
      <c r="H1643" s="11">
        <f ca="1">IF(Table1[[#This Row],[Category]]="Electronics",Table1[[#This Row],[Sales]]*0.6,
IF(Table1[[#This Row],[Category]]="Furniture",Table1[[#This Row],[Sales]]*0.75,
IF(Table1[[#This Row],[Category]]="Clothing",Table1[[#This Row],[Sales]]*0.65,
Table1[[#This Row],[Sales]]*0.7)))</f>
        <v>10278</v>
      </c>
      <c r="I1643" s="11">
        <f ca="1">Table1[[#This Row],[Sales]]-H1643</f>
        <v>3426</v>
      </c>
      <c r="J1643" s="2">
        <f ca="1">Table1[[#This Row],[Profit]]/Table1[[#This Row],[Sales]]</f>
        <v>0.25</v>
      </c>
      <c r="K1643" t="str">
        <f ca="1">TEXT(Table1[[#This Row],[Order_Date]],"mmm")</f>
        <v>Jul</v>
      </c>
      <c r="L1643">
        <f ca="1">YEAR(Table1[[#This Row],[Order_Date]])</f>
        <v>2023</v>
      </c>
    </row>
    <row r="1644" spans="1:12" x14ac:dyDescent="0.3">
      <c r="A1644">
        <f t="shared" si="100"/>
        <v>1643</v>
      </c>
      <c r="B1644" s="1">
        <f t="shared" ca="1" si="101"/>
        <v>45255</v>
      </c>
      <c r="C1644" t="s">
        <v>9</v>
      </c>
      <c r="D1644" t="str">
        <f t="shared" ca="1" si="102"/>
        <v>Furniture</v>
      </c>
      <c r="E1644" t="s">
        <v>76</v>
      </c>
      <c r="F1644" s="11">
        <v>14076</v>
      </c>
      <c r="G1644">
        <f t="shared" ca="1" si="103"/>
        <v>7</v>
      </c>
      <c r="H1644" s="11">
        <f ca="1">IF(Table1[[#This Row],[Category]]="Electronics",Table1[[#This Row],[Sales]]*0.6,
IF(Table1[[#This Row],[Category]]="Furniture",Table1[[#This Row],[Sales]]*0.75,
IF(Table1[[#This Row],[Category]]="Clothing",Table1[[#This Row],[Sales]]*0.65,
Table1[[#This Row],[Sales]]*0.7)))</f>
        <v>10557</v>
      </c>
      <c r="I1644" s="11">
        <f ca="1">Table1[[#This Row],[Sales]]-H1644</f>
        <v>3519</v>
      </c>
      <c r="J1644" s="2">
        <f ca="1">Table1[[#This Row],[Profit]]/Table1[[#This Row],[Sales]]</f>
        <v>0.25</v>
      </c>
      <c r="K1644" t="str">
        <f ca="1">TEXT(Table1[[#This Row],[Order_Date]],"mmm")</f>
        <v>Nov</v>
      </c>
      <c r="L1644">
        <f ca="1">YEAR(Table1[[#This Row],[Order_Date]])</f>
        <v>2023</v>
      </c>
    </row>
    <row r="1645" spans="1:12" x14ac:dyDescent="0.3">
      <c r="A1645">
        <f t="shared" si="100"/>
        <v>1644</v>
      </c>
      <c r="B1645" s="1">
        <f t="shared" ca="1" si="101"/>
        <v>45035</v>
      </c>
      <c r="C1645" t="s">
        <v>10</v>
      </c>
      <c r="D1645" t="str">
        <f t="shared" ca="1" si="102"/>
        <v>Furniture</v>
      </c>
      <c r="E1645" t="s">
        <v>54</v>
      </c>
      <c r="F1645" s="11">
        <v>12259</v>
      </c>
      <c r="G1645">
        <f t="shared" ca="1" si="103"/>
        <v>1</v>
      </c>
      <c r="H1645" s="11">
        <f ca="1">IF(Table1[[#This Row],[Category]]="Electronics",Table1[[#This Row],[Sales]]*0.6,
IF(Table1[[#This Row],[Category]]="Furniture",Table1[[#This Row],[Sales]]*0.75,
IF(Table1[[#This Row],[Category]]="Clothing",Table1[[#This Row],[Sales]]*0.65,
Table1[[#This Row],[Sales]]*0.7)))</f>
        <v>9194.25</v>
      </c>
      <c r="I1645" s="11">
        <f ca="1">Table1[[#This Row],[Sales]]-H1645</f>
        <v>3064.75</v>
      </c>
      <c r="J1645" s="2">
        <f ca="1">Table1[[#This Row],[Profit]]/Table1[[#This Row],[Sales]]</f>
        <v>0.25</v>
      </c>
      <c r="K1645" t="str">
        <f ca="1">TEXT(Table1[[#This Row],[Order_Date]],"mmm")</f>
        <v>Apr</v>
      </c>
      <c r="L1645">
        <f ca="1">YEAR(Table1[[#This Row],[Order_Date]])</f>
        <v>2023</v>
      </c>
    </row>
    <row r="1646" spans="1:12" x14ac:dyDescent="0.3">
      <c r="A1646">
        <f t="shared" si="100"/>
        <v>1645</v>
      </c>
      <c r="B1646" s="1">
        <f t="shared" ca="1" si="101"/>
        <v>45203</v>
      </c>
      <c r="C1646" t="s">
        <v>7</v>
      </c>
      <c r="D1646" t="str">
        <f t="shared" ca="1" si="102"/>
        <v>Office Supplies</v>
      </c>
      <c r="E1646" t="s">
        <v>70</v>
      </c>
      <c r="F1646" s="11">
        <v>4040</v>
      </c>
      <c r="G1646">
        <f t="shared" ca="1" si="103"/>
        <v>2</v>
      </c>
      <c r="H1646" s="11">
        <f ca="1">IF(Table1[[#This Row],[Category]]="Electronics",Table1[[#This Row],[Sales]]*0.6,
IF(Table1[[#This Row],[Category]]="Furniture",Table1[[#This Row],[Sales]]*0.75,
IF(Table1[[#This Row],[Category]]="Clothing",Table1[[#This Row],[Sales]]*0.65,
Table1[[#This Row],[Sales]]*0.7)))</f>
        <v>2828</v>
      </c>
      <c r="I1646" s="11">
        <f ca="1">Table1[[#This Row],[Sales]]-H1646</f>
        <v>1212</v>
      </c>
      <c r="J1646" s="2">
        <f ca="1">Table1[[#This Row],[Profit]]/Table1[[#This Row],[Sales]]</f>
        <v>0.3</v>
      </c>
      <c r="K1646" t="str">
        <f ca="1">TEXT(Table1[[#This Row],[Order_Date]],"mmm")</f>
        <v>Oct</v>
      </c>
      <c r="L1646">
        <f ca="1">YEAR(Table1[[#This Row],[Order_Date]])</f>
        <v>2023</v>
      </c>
    </row>
    <row r="1647" spans="1:12" x14ac:dyDescent="0.3">
      <c r="A1647">
        <f t="shared" si="100"/>
        <v>1646</v>
      </c>
      <c r="B1647" s="1">
        <f t="shared" ca="1" si="101"/>
        <v>45152</v>
      </c>
      <c r="C1647" t="s">
        <v>8</v>
      </c>
      <c r="D1647" t="str">
        <f t="shared" ca="1" si="102"/>
        <v>Furniture</v>
      </c>
      <c r="E1647" t="s">
        <v>74</v>
      </c>
      <c r="F1647" s="11">
        <v>5669</v>
      </c>
      <c r="G1647">
        <f t="shared" ca="1" si="103"/>
        <v>2</v>
      </c>
      <c r="H1647" s="11">
        <f ca="1">IF(Table1[[#This Row],[Category]]="Electronics",Table1[[#This Row],[Sales]]*0.6,
IF(Table1[[#This Row],[Category]]="Furniture",Table1[[#This Row],[Sales]]*0.75,
IF(Table1[[#This Row],[Category]]="Clothing",Table1[[#This Row],[Sales]]*0.65,
Table1[[#This Row],[Sales]]*0.7)))</f>
        <v>4251.75</v>
      </c>
      <c r="I1647" s="11">
        <f ca="1">Table1[[#This Row],[Sales]]-H1647</f>
        <v>1417.25</v>
      </c>
      <c r="J1647" s="2">
        <f ca="1">Table1[[#This Row],[Profit]]/Table1[[#This Row],[Sales]]</f>
        <v>0.25</v>
      </c>
      <c r="K1647" t="str">
        <f ca="1">TEXT(Table1[[#This Row],[Order_Date]],"mmm")</f>
        <v>Aug</v>
      </c>
      <c r="L1647">
        <f ca="1">YEAR(Table1[[#This Row],[Order_Date]])</f>
        <v>2023</v>
      </c>
    </row>
    <row r="1648" spans="1:12" x14ac:dyDescent="0.3">
      <c r="A1648">
        <f t="shared" si="100"/>
        <v>1647</v>
      </c>
      <c r="B1648" s="1">
        <f t="shared" ca="1" si="101"/>
        <v>45276</v>
      </c>
      <c r="C1648" t="s">
        <v>9</v>
      </c>
      <c r="D1648" t="str">
        <f t="shared" ca="1" si="102"/>
        <v>Electronics</v>
      </c>
      <c r="E1648" t="s">
        <v>54</v>
      </c>
      <c r="F1648" s="11">
        <v>9919</v>
      </c>
      <c r="G1648">
        <f t="shared" ca="1" si="103"/>
        <v>1</v>
      </c>
      <c r="H1648" s="11">
        <f ca="1">IF(Table1[[#This Row],[Category]]="Electronics",Table1[[#This Row],[Sales]]*0.6,
IF(Table1[[#This Row],[Category]]="Furniture",Table1[[#This Row],[Sales]]*0.75,
IF(Table1[[#This Row],[Category]]="Clothing",Table1[[#This Row],[Sales]]*0.65,
Table1[[#This Row],[Sales]]*0.7)))</f>
        <v>5951.4</v>
      </c>
      <c r="I1648" s="11">
        <f ca="1">Table1[[#This Row],[Sales]]-H1648</f>
        <v>3967.6000000000004</v>
      </c>
      <c r="J1648" s="2">
        <f ca="1">Table1[[#This Row],[Profit]]/Table1[[#This Row],[Sales]]</f>
        <v>0.4</v>
      </c>
      <c r="K1648" t="str">
        <f ca="1">TEXT(Table1[[#This Row],[Order_Date]],"mmm")</f>
        <v>Dec</v>
      </c>
      <c r="L1648">
        <f ca="1">YEAR(Table1[[#This Row],[Order_Date]])</f>
        <v>2023</v>
      </c>
    </row>
    <row r="1649" spans="1:12" x14ac:dyDescent="0.3">
      <c r="A1649">
        <f t="shared" si="100"/>
        <v>1648</v>
      </c>
      <c r="B1649" s="1">
        <f t="shared" ca="1" si="101"/>
        <v>45190</v>
      </c>
      <c r="C1649" t="s">
        <v>10</v>
      </c>
      <c r="D1649" t="str">
        <f t="shared" ca="1" si="102"/>
        <v>Office Supplies</v>
      </c>
      <c r="E1649" t="s">
        <v>68</v>
      </c>
      <c r="F1649" s="11">
        <v>4322</v>
      </c>
      <c r="G1649">
        <f t="shared" ca="1" si="103"/>
        <v>1</v>
      </c>
      <c r="H1649" s="11">
        <f ca="1">IF(Table1[[#This Row],[Category]]="Electronics",Table1[[#This Row],[Sales]]*0.6,
IF(Table1[[#This Row],[Category]]="Furniture",Table1[[#This Row],[Sales]]*0.75,
IF(Table1[[#This Row],[Category]]="Clothing",Table1[[#This Row],[Sales]]*0.65,
Table1[[#This Row],[Sales]]*0.7)))</f>
        <v>3025.3999999999996</v>
      </c>
      <c r="I1649" s="11">
        <f ca="1">Table1[[#This Row],[Sales]]-H1649</f>
        <v>1296.6000000000004</v>
      </c>
      <c r="J1649" s="2">
        <f ca="1">Table1[[#This Row],[Profit]]/Table1[[#This Row],[Sales]]</f>
        <v>0.3000000000000001</v>
      </c>
      <c r="K1649" t="str">
        <f ca="1">TEXT(Table1[[#This Row],[Order_Date]],"mmm")</f>
        <v>Sep</v>
      </c>
      <c r="L1649">
        <f ca="1">YEAR(Table1[[#This Row],[Order_Date]])</f>
        <v>2023</v>
      </c>
    </row>
    <row r="1650" spans="1:12" x14ac:dyDescent="0.3">
      <c r="A1650">
        <f t="shared" si="100"/>
        <v>1649</v>
      </c>
      <c r="B1650" s="1">
        <f t="shared" ca="1" si="101"/>
        <v>45006</v>
      </c>
      <c r="C1650" t="s">
        <v>7</v>
      </c>
      <c r="D1650" t="str">
        <f t="shared" ca="1" si="102"/>
        <v>Office Supplies</v>
      </c>
      <c r="E1650" t="s">
        <v>77</v>
      </c>
      <c r="F1650" s="11">
        <v>2020</v>
      </c>
      <c r="G1650">
        <f t="shared" ca="1" si="103"/>
        <v>5</v>
      </c>
      <c r="H1650" s="11">
        <f ca="1">IF(Table1[[#This Row],[Category]]="Electronics",Table1[[#This Row],[Sales]]*0.6,
IF(Table1[[#This Row],[Category]]="Furniture",Table1[[#This Row],[Sales]]*0.75,
IF(Table1[[#This Row],[Category]]="Clothing",Table1[[#This Row],[Sales]]*0.65,
Table1[[#This Row],[Sales]]*0.7)))</f>
        <v>1414</v>
      </c>
      <c r="I1650" s="11">
        <f ca="1">Table1[[#This Row],[Sales]]-H1650</f>
        <v>606</v>
      </c>
      <c r="J1650" s="2">
        <f ca="1">Table1[[#This Row],[Profit]]/Table1[[#This Row],[Sales]]</f>
        <v>0.3</v>
      </c>
      <c r="K1650" t="str">
        <f ca="1">TEXT(Table1[[#This Row],[Order_Date]],"mmm")</f>
        <v>Mar</v>
      </c>
      <c r="L1650">
        <f ca="1">YEAR(Table1[[#This Row],[Order_Date]])</f>
        <v>2023</v>
      </c>
    </row>
    <row r="1651" spans="1:12" x14ac:dyDescent="0.3">
      <c r="A1651">
        <f t="shared" si="100"/>
        <v>1650</v>
      </c>
      <c r="B1651" s="1">
        <f t="shared" ca="1" si="101"/>
        <v>45261</v>
      </c>
      <c r="C1651" t="s">
        <v>8</v>
      </c>
      <c r="D1651" t="str">
        <f t="shared" ca="1" si="102"/>
        <v>Furniture</v>
      </c>
      <c r="E1651" t="s">
        <v>77</v>
      </c>
      <c r="F1651" s="11">
        <v>2976</v>
      </c>
      <c r="G1651">
        <f t="shared" ca="1" si="103"/>
        <v>4</v>
      </c>
      <c r="H1651" s="11">
        <f ca="1">IF(Table1[[#This Row],[Category]]="Electronics",Table1[[#This Row],[Sales]]*0.6,
IF(Table1[[#This Row],[Category]]="Furniture",Table1[[#This Row],[Sales]]*0.75,
IF(Table1[[#This Row],[Category]]="Clothing",Table1[[#This Row],[Sales]]*0.65,
Table1[[#This Row],[Sales]]*0.7)))</f>
        <v>2232</v>
      </c>
      <c r="I1651" s="11">
        <f ca="1">Table1[[#This Row],[Sales]]-H1651</f>
        <v>744</v>
      </c>
      <c r="J1651" s="2">
        <f ca="1">Table1[[#This Row],[Profit]]/Table1[[#This Row],[Sales]]</f>
        <v>0.25</v>
      </c>
      <c r="K1651" t="str">
        <f ca="1">TEXT(Table1[[#This Row],[Order_Date]],"mmm")</f>
        <v>Dec</v>
      </c>
      <c r="L1651">
        <f ca="1">YEAR(Table1[[#This Row],[Order_Date]])</f>
        <v>2023</v>
      </c>
    </row>
    <row r="1652" spans="1:12" x14ac:dyDescent="0.3">
      <c r="A1652">
        <f t="shared" si="100"/>
        <v>1651</v>
      </c>
      <c r="B1652" s="1">
        <f t="shared" ca="1" si="101"/>
        <v>45145</v>
      </c>
      <c r="C1652" t="s">
        <v>9</v>
      </c>
      <c r="D1652" t="str">
        <f t="shared" ca="1" si="102"/>
        <v>Furniture</v>
      </c>
      <c r="E1652" t="s">
        <v>85</v>
      </c>
      <c r="F1652" s="11">
        <v>7561</v>
      </c>
      <c r="G1652">
        <f t="shared" ca="1" si="103"/>
        <v>4</v>
      </c>
      <c r="H1652" s="11">
        <f ca="1">IF(Table1[[#This Row],[Category]]="Electronics",Table1[[#This Row],[Sales]]*0.6,
IF(Table1[[#This Row],[Category]]="Furniture",Table1[[#This Row],[Sales]]*0.75,
IF(Table1[[#This Row],[Category]]="Clothing",Table1[[#This Row],[Sales]]*0.65,
Table1[[#This Row],[Sales]]*0.7)))</f>
        <v>5670.75</v>
      </c>
      <c r="I1652" s="11">
        <f ca="1">Table1[[#This Row],[Sales]]-H1652</f>
        <v>1890.25</v>
      </c>
      <c r="J1652" s="2">
        <f ca="1">Table1[[#This Row],[Profit]]/Table1[[#This Row],[Sales]]</f>
        <v>0.25</v>
      </c>
      <c r="K1652" t="str">
        <f ca="1">TEXT(Table1[[#This Row],[Order_Date]],"mmm")</f>
        <v>Aug</v>
      </c>
      <c r="L1652">
        <f ca="1">YEAR(Table1[[#This Row],[Order_Date]])</f>
        <v>2023</v>
      </c>
    </row>
    <row r="1653" spans="1:12" x14ac:dyDescent="0.3">
      <c r="A1653">
        <f t="shared" si="100"/>
        <v>1652</v>
      </c>
      <c r="B1653" s="1">
        <f t="shared" ca="1" si="101"/>
        <v>44928</v>
      </c>
      <c r="C1653" t="s">
        <v>10</v>
      </c>
      <c r="D1653" t="str">
        <f t="shared" ca="1" si="102"/>
        <v>Furniture</v>
      </c>
      <c r="E1653" t="s">
        <v>74</v>
      </c>
      <c r="F1653" s="11">
        <v>4714</v>
      </c>
      <c r="G1653">
        <f t="shared" ca="1" si="103"/>
        <v>6</v>
      </c>
      <c r="H1653" s="11">
        <f ca="1">IF(Table1[[#This Row],[Category]]="Electronics",Table1[[#This Row],[Sales]]*0.6,
IF(Table1[[#This Row],[Category]]="Furniture",Table1[[#This Row],[Sales]]*0.75,
IF(Table1[[#This Row],[Category]]="Clothing",Table1[[#This Row],[Sales]]*0.65,
Table1[[#This Row],[Sales]]*0.7)))</f>
        <v>3535.5</v>
      </c>
      <c r="I1653" s="11">
        <f ca="1">Table1[[#This Row],[Sales]]-H1653</f>
        <v>1178.5</v>
      </c>
      <c r="J1653" s="2">
        <f ca="1">Table1[[#This Row],[Profit]]/Table1[[#This Row],[Sales]]</f>
        <v>0.25</v>
      </c>
      <c r="K1653" t="str">
        <f ca="1">TEXT(Table1[[#This Row],[Order_Date]],"mmm")</f>
        <v>Jan</v>
      </c>
      <c r="L1653">
        <f ca="1">YEAR(Table1[[#This Row],[Order_Date]])</f>
        <v>2023</v>
      </c>
    </row>
    <row r="1654" spans="1:12" x14ac:dyDescent="0.3">
      <c r="A1654">
        <f t="shared" si="100"/>
        <v>1653</v>
      </c>
      <c r="B1654" s="1">
        <f t="shared" ca="1" si="101"/>
        <v>45151</v>
      </c>
      <c r="C1654" t="s">
        <v>7</v>
      </c>
      <c r="D1654" t="str">
        <f t="shared" ca="1" si="102"/>
        <v>Electronics</v>
      </c>
      <c r="E1654" t="s">
        <v>42</v>
      </c>
      <c r="F1654" s="11">
        <v>15524</v>
      </c>
      <c r="G1654">
        <f t="shared" ca="1" si="103"/>
        <v>7</v>
      </c>
      <c r="H1654" s="11">
        <f ca="1">IF(Table1[[#This Row],[Category]]="Electronics",Table1[[#This Row],[Sales]]*0.6,
IF(Table1[[#This Row],[Category]]="Furniture",Table1[[#This Row],[Sales]]*0.75,
IF(Table1[[#This Row],[Category]]="Clothing",Table1[[#This Row],[Sales]]*0.65,
Table1[[#This Row],[Sales]]*0.7)))</f>
        <v>9314.4</v>
      </c>
      <c r="I1654" s="11">
        <f ca="1">Table1[[#This Row],[Sales]]-H1654</f>
        <v>6209.6</v>
      </c>
      <c r="J1654" s="2">
        <f ca="1">Table1[[#This Row],[Profit]]/Table1[[#This Row],[Sales]]</f>
        <v>0.4</v>
      </c>
      <c r="K1654" t="str">
        <f ca="1">TEXT(Table1[[#This Row],[Order_Date]],"mmm")</f>
        <v>Aug</v>
      </c>
      <c r="L1654">
        <f ca="1">YEAR(Table1[[#This Row],[Order_Date]])</f>
        <v>2023</v>
      </c>
    </row>
    <row r="1655" spans="1:12" x14ac:dyDescent="0.3">
      <c r="A1655">
        <f t="shared" si="100"/>
        <v>1654</v>
      </c>
      <c r="B1655" s="1">
        <f t="shared" ca="1" si="101"/>
        <v>45215</v>
      </c>
      <c r="C1655" t="s">
        <v>8</v>
      </c>
      <c r="D1655" t="str">
        <f t="shared" ca="1" si="102"/>
        <v>Clothing</v>
      </c>
      <c r="E1655" t="s">
        <v>68</v>
      </c>
      <c r="F1655" s="11">
        <v>2552</v>
      </c>
      <c r="G1655">
        <f t="shared" ca="1" si="103"/>
        <v>8</v>
      </c>
      <c r="H1655" s="11">
        <f ca="1">IF(Table1[[#This Row],[Category]]="Electronics",Table1[[#This Row],[Sales]]*0.6,
IF(Table1[[#This Row],[Category]]="Furniture",Table1[[#This Row],[Sales]]*0.75,
IF(Table1[[#This Row],[Category]]="Clothing",Table1[[#This Row],[Sales]]*0.65,
Table1[[#This Row],[Sales]]*0.7)))</f>
        <v>1658.8</v>
      </c>
      <c r="I1655" s="11">
        <f ca="1">Table1[[#This Row],[Sales]]-H1655</f>
        <v>893.2</v>
      </c>
      <c r="J1655" s="2">
        <f ca="1">Table1[[#This Row],[Profit]]/Table1[[#This Row],[Sales]]</f>
        <v>0.35000000000000003</v>
      </c>
      <c r="K1655" t="str">
        <f ca="1">TEXT(Table1[[#This Row],[Order_Date]],"mmm")</f>
        <v>Oct</v>
      </c>
      <c r="L1655">
        <f ca="1">YEAR(Table1[[#This Row],[Order_Date]])</f>
        <v>2023</v>
      </c>
    </row>
    <row r="1656" spans="1:12" x14ac:dyDescent="0.3">
      <c r="A1656">
        <f t="shared" si="100"/>
        <v>1655</v>
      </c>
      <c r="B1656" s="1">
        <f t="shared" ca="1" si="101"/>
        <v>45193</v>
      </c>
      <c r="C1656" t="s">
        <v>9</v>
      </c>
      <c r="D1656" t="str">
        <f t="shared" ca="1" si="102"/>
        <v>Furniture</v>
      </c>
      <c r="E1656" t="s">
        <v>51</v>
      </c>
      <c r="F1656" s="11">
        <v>13332</v>
      </c>
      <c r="G1656">
        <f t="shared" ca="1" si="103"/>
        <v>8</v>
      </c>
      <c r="H1656" s="11">
        <f ca="1">IF(Table1[[#This Row],[Category]]="Electronics",Table1[[#This Row],[Sales]]*0.6,
IF(Table1[[#This Row],[Category]]="Furniture",Table1[[#This Row],[Sales]]*0.75,
IF(Table1[[#This Row],[Category]]="Clothing",Table1[[#This Row],[Sales]]*0.65,
Table1[[#This Row],[Sales]]*0.7)))</f>
        <v>9999</v>
      </c>
      <c r="I1656" s="11">
        <f ca="1">Table1[[#This Row],[Sales]]-H1656</f>
        <v>3333</v>
      </c>
      <c r="J1656" s="2">
        <f ca="1">Table1[[#This Row],[Profit]]/Table1[[#This Row],[Sales]]</f>
        <v>0.25</v>
      </c>
      <c r="K1656" t="str">
        <f ca="1">TEXT(Table1[[#This Row],[Order_Date]],"mmm")</f>
        <v>Sep</v>
      </c>
      <c r="L1656">
        <f ca="1">YEAR(Table1[[#This Row],[Order_Date]])</f>
        <v>2023</v>
      </c>
    </row>
    <row r="1657" spans="1:12" x14ac:dyDescent="0.3">
      <c r="A1657">
        <f t="shared" si="100"/>
        <v>1656</v>
      </c>
      <c r="B1657" s="1">
        <f t="shared" ca="1" si="101"/>
        <v>45166</v>
      </c>
      <c r="C1657" t="s">
        <v>10</v>
      </c>
      <c r="D1657" t="str">
        <f t="shared" ca="1" si="102"/>
        <v>Clothing</v>
      </c>
      <c r="E1657" t="s">
        <v>74</v>
      </c>
      <c r="F1657" s="11">
        <v>8335</v>
      </c>
      <c r="G1657">
        <f t="shared" ca="1" si="103"/>
        <v>6</v>
      </c>
      <c r="H1657" s="11">
        <f ca="1">IF(Table1[[#This Row],[Category]]="Electronics",Table1[[#This Row],[Sales]]*0.6,
IF(Table1[[#This Row],[Category]]="Furniture",Table1[[#This Row],[Sales]]*0.75,
IF(Table1[[#This Row],[Category]]="Clothing",Table1[[#This Row],[Sales]]*0.65,
Table1[[#This Row],[Sales]]*0.7)))</f>
        <v>5417.75</v>
      </c>
      <c r="I1657" s="11">
        <f ca="1">Table1[[#This Row],[Sales]]-H1657</f>
        <v>2917.25</v>
      </c>
      <c r="J1657" s="2">
        <f ca="1">Table1[[#This Row],[Profit]]/Table1[[#This Row],[Sales]]</f>
        <v>0.35</v>
      </c>
      <c r="K1657" t="str">
        <f ca="1">TEXT(Table1[[#This Row],[Order_Date]],"mmm")</f>
        <v>Aug</v>
      </c>
      <c r="L1657">
        <f ca="1">YEAR(Table1[[#This Row],[Order_Date]])</f>
        <v>2023</v>
      </c>
    </row>
    <row r="1658" spans="1:12" x14ac:dyDescent="0.3">
      <c r="A1658">
        <f t="shared" si="100"/>
        <v>1657</v>
      </c>
      <c r="B1658" s="1">
        <f t="shared" ca="1" si="101"/>
        <v>44954</v>
      </c>
      <c r="C1658" t="s">
        <v>7</v>
      </c>
      <c r="D1658" t="str">
        <f t="shared" ca="1" si="102"/>
        <v>Clothing</v>
      </c>
      <c r="E1658" t="s">
        <v>81</v>
      </c>
      <c r="F1658" s="11">
        <v>2365</v>
      </c>
      <c r="G1658">
        <f t="shared" ca="1" si="103"/>
        <v>8</v>
      </c>
      <c r="H1658" s="11">
        <f ca="1">IF(Table1[[#This Row],[Category]]="Electronics",Table1[[#This Row],[Sales]]*0.6,
IF(Table1[[#This Row],[Category]]="Furniture",Table1[[#This Row],[Sales]]*0.75,
IF(Table1[[#This Row],[Category]]="Clothing",Table1[[#This Row],[Sales]]*0.65,
Table1[[#This Row],[Sales]]*0.7)))</f>
        <v>1537.25</v>
      </c>
      <c r="I1658" s="11">
        <f ca="1">Table1[[#This Row],[Sales]]-H1658</f>
        <v>827.75</v>
      </c>
      <c r="J1658" s="2">
        <f ca="1">Table1[[#This Row],[Profit]]/Table1[[#This Row],[Sales]]</f>
        <v>0.35</v>
      </c>
      <c r="K1658" t="str">
        <f ca="1">TEXT(Table1[[#This Row],[Order_Date]],"mmm")</f>
        <v>Jan</v>
      </c>
      <c r="L1658">
        <f ca="1">YEAR(Table1[[#This Row],[Order_Date]])</f>
        <v>2023</v>
      </c>
    </row>
    <row r="1659" spans="1:12" x14ac:dyDescent="0.3">
      <c r="A1659">
        <f t="shared" si="100"/>
        <v>1658</v>
      </c>
      <c r="B1659" s="1">
        <f t="shared" ca="1" si="101"/>
        <v>44929</v>
      </c>
      <c r="C1659" t="s">
        <v>8</v>
      </c>
      <c r="D1659" t="str">
        <f t="shared" ca="1" si="102"/>
        <v>Furniture</v>
      </c>
      <c r="E1659" t="s">
        <v>59</v>
      </c>
      <c r="F1659" s="11">
        <v>2584</v>
      </c>
      <c r="G1659">
        <f t="shared" ca="1" si="103"/>
        <v>9</v>
      </c>
      <c r="H1659" s="11">
        <f ca="1">IF(Table1[[#This Row],[Category]]="Electronics",Table1[[#This Row],[Sales]]*0.6,
IF(Table1[[#This Row],[Category]]="Furniture",Table1[[#This Row],[Sales]]*0.75,
IF(Table1[[#This Row],[Category]]="Clothing",Table1[[#This Row],[Sales]]*0.65,
Table1[[#This Row],[Sales]]*0.7)))</f>
        <v>1938</v>
      </c>
      <c r="I1659" s="11">
        <f ca="1">Table1[[#This Row],[Sales]]-H1659</f>
        <v>646</v>
      </c>
      <c r="J1659" s="2">
        <f ca="1">Table1[[#This Row],[Profit]]/Table1[[#This Row],[Sales]]</f>
        <v>0.25</v>
      </c>
      <c r="K1659" t="str">
        <f ca="1">TEXT(Table1[[#This Row],[Order_Date]],"mmm")</f>
        <v>Jan</v>
      </c>
      <c r="L1659">
        <f ca="1">YEAR(Table1[[#This Row],[Order_Date]])</f>
        <v>2023</v>
      </c>
    </row>
    <row r="1660" spans="1:12" x14ac:dyDescent="0.3">
      <c r="A1660">
        <f t="shared" si="100"/>
        <v>1659</v>
      </c>
      <c r="B1660" s="1">
        <f t="shared" ca="1" si="101"/>
        <v>45208</v>
      </c>
      <c r="C1660" t="s">
        <v>9</v>
      </c>
      <c r="D1660" t="str">
        <f t="shared" ca="1" si="102"/>
        <v>Furniture</v>
      </c>
      <c r="E1660" t="s">
        <v>54</v>
      </c>
      <c r="F1660" s="11">
        <v>15586</v>
      </c>
      <c r="G1660">
        <f t="shared" ca="1" si="103"/>
        <v>7</v>
      </c>
      <c r="H1660" s="11">
        <f ca="1">IF(Table1[[#This Row],[Category]]="Electronics",Table1[[#This Row],[Sales]]*0.6,
IF(Table1[[#This Row],[Category]]="Furniture",Table1[[#This Row],[Sales]]*0.75,
IF(Table1[[#This Row],[Category]]="Clothing",Table1[[#This Row],[Sales]]*0.65,
Table1[[#This Row],[Sales]]*0.7)))</f>
        <v>11689.5</v>
      </c>
      <c r="I1660" s="11">
        <f ca="1">Table1[[#This Row],[Sales]]-H1660</f>
        <v>3896.5</v>
      </c>
      <c r="J1660" s="2">
        <f ca="1">Table1[[#This Row],[Profit]]/Table1[[#This Row],[Sales]]</f>
        <v>0.25</v>
      </c>
      <c r="K1660" t="str">
        <f ca="1">TEXT(Table1[[#This Row],[Order_Date]],"mmm")</f>
        <v>Oct</v>
      </c>
      <c r="L1660">
        <f ca="1">YEAR(Table1[[#This Row],[Order_Date]])</f>
        <v>2023</v>
      </c>
    </row>
    <row r="1661" spans="1:12" x14ac:dyDescent="0.3">
      <c r="A1661">
        <f t="shared" si="100"/>
        <v>1660</v>
      </c>
      <c r="B1661" s="1">
        <f t="shared" ca="1" si="101"/>
        <v>45081</v>
      </c>
      <c r="C1661" t="s">
        <v>10</v>
      </c>
      <c r="D1661" t="str">
        <f t="shared" ca="1" si="102"/>
        <v>Office Supplies</v>
      </c>
      <c r="E1661" t="s">
        <v>81</v>
      </c>
      <c r="F1661" s="11">
        <v>7165</v>
      </c>
      <c r="G1661">
        <f t="shared" ca="1" si="103"/>
        <v>6</v>
      </c>
      <c r="H1661" s="11">
        <f ca="1">IF(Table1[[#This Row],[Category]]="Electronics",Table1[[#This Row],[Sales]]*0.6,
IF(Table1[[#This Row],[Category]]="Furniture",Table1[[#This Row],[Sales]]*0.75,
IF(Table1[[#This Row],[Category]]="Clothing",Table1[[#This Row],[Sales]]*0.65,
Table1[[#This Row],[Sales]]*0.7)))</f>
        <v>5015.5</v>
      </c>
      <c r="I1661" s="11">
        <f ca="1">Table1[[#This Row],[Sales]]-H1661</f>
        <v>2149.5</v>
      </c>
      <c r="J1661" s="2">
        <f ca="1">Table1[[#This Row],[Profit]]/Table1[[#This Row],[Sales]]</f>
        <v>0.3</v>
      </c>
      <c r="K1661" t="str">
        <f ca="1">TEXT(Table1[[#This Row],[Order_Date]],"mmm")</f>
        <v>Jun</v>
      </c>
      <c r="L1661">
        <f ca="1">YEAR(Table1[[#This Row],[Order_Date]])</f>
        <v>2023</v>
      </c>
    </row>
    <row r="1662" spans="1:12" x14ac:dyDescent="0.3">
      <c r="A1662">
        <f t="shared" si="100"/>
        <v>1661</v>
      </c>
      <c r="B1662" s="1">
        <f t="shared" ca="1" si="101"/>
        <v>45111</v>
      </c>
      <c r="C1662" t="s">
        <v>7</v>
      </c>
      <c r="D1662" t="str">
        <f t="shared" ca="1" si="102"/>
        <v>Furniture</v>
      </c>
      <c r="E1662" t="s">
        <v>63</v>
      </c>
      <c r="F1662" s="11">
        <v>19714</v>
      </c>
      <c r="G1662">
        <f t="shared" ca="1" si="103"/>
        <v>3</v>
      </c>
      <c r="H1662" s="11">
        <f ca="1">IF(Table1[[#This Row],[Category]]="Electronics",Table1[[#This Row],[Sales]]*0.6,
IF(Table1[[#This Row],[Category]]="Furniture",Table1[[#This Row],[Sales]]*0.75,
IF(Table1[[#This Row],[Category]]="Clothing",Table1[[#This Row],[Sales]]*0.65,
Table1[[#This Row],[Sales]]*0.7)))</f>
        <v>14785.5</v>
      </c>
      <c r="I1662" s="11">
        <f ca="1">Table1[[#This Row],[Sales]]-H1662</f>
        <v>4928.5</v>
      </c>
      <c r="J1662" s="2">
        <f ca="1">Table1[[#This Row],[Profit]]/Table1[[#This Row],[Sales]]</f>
        <v>0.25</v>
      </c>
      <c r="K1662" t="str">
        <f ca="1">TEXT(Table1[[#This Row],[Order_Date]],"mmm")</f>
        <v>Jul</v>
      </c>
      <c r="L1662">
        <f ca="1">YEAR(Table1[[#This Row],[Order_Date]])</f>
        <v>2023</v>
      </c>
    </row>
    <row r="1663" spans="1:12" x14ac:dyDescent="0.3">
      <c r="A1663">
        <f t="shared" si="100"/>
        <v>1662</v>
      </c>
      <c r="B1663" s="1">
        <f t="shared" ca="1" si="101"/>
        <v>45130</v>
      </c>
      <c r="C1663" t="s">
        <v>8</v>
      </c>
      <c r="D1663" t="str">
        <f t="shared" ca="1" si="102"/>
        <v>Electronics</v>
      </c>
      <c r="E1663" t="s">
        <v>42</v>
      </c>
      <c r="F1663" s="11">
        <v>15804</v>
      </c>
      <c r="G1663">
        <f t="shared" ca="1" si="103"/>
        <v>10</v>
      </c>
      <c r="H1663" s="11">
        <f ca="1">IF(Table1[[#This Row],[Category]]="Electronics",Table1[[#This Row],[Sales]]*0.6,
IF(Table1[[#This Row],[Category]]="Furniture",Table1[[#This Row],[Sales]]*0.75,
IF(Table1[[#This Row],[Category]]="Clothing",Table1[[#This Row],[Sales]]*0.65,
Table1[[#This Row],[Sales]]*0.7)))</f>
        <v>9482.4</v>
      </c>
      <c r="I1663" s="11">
        <f ca="1">Table1[[#This Row],[Sales]]-H1663</f>
        <v>6321.6</v>
      </c>
      <c r="J1663" s="2">
        <f ca="1">Table1[[#This Row],[Profit]]/Table1[[#This Row],[Sales]]</f>
        <v>0.4</v>
      </c>
      <c r="K1663" t="str">
        <f ca="1">TEXT(Table1[[#This Row],[Order_Date]],"mmm")</f>
        <v>Jul</v>
      </c>
      <c r="L1663">
        <f ca="1">YEAR(Table1[[#This Row],[Order_Date]])</f>
        <v>2023</v>
      </c>
    </row>
    <row r="1664" spans="1:12" x14ac:dyDescent="0.3">
      <c r="A1664">
        <f t="shared" si="100"/>
        <v>1663</v>
      </c>
      <c r="B1664" s="1">
        <f t="shared" ca="1" si="101"/>
        <v>45284</v>
      </c>
      <c r="C1664" t="s">
        <v>9</v>
      </c>
      <c r="D1664" t="str">
        <f t="shared" ca="1" si="102"/>
        <v>Furniture</v>
      </c>
      <c r="E1664" t="s">
        <v>40</v>
      </c>
      <c r="F1664" s="11">
        <v>17597</v>
      </c>
      <c r="G1664">
        <f t="shared" ca="1" si="103"/>
        <v>2</v>
      </c>
      <c r="H1664" s="11">
        <f ca="1">IF(Table1[[#This Row],[Category]]="Electronics",Table1[[#This Row],[Sales]]*0.6,
IF(Table1[[#This Row],[Category]]="Furniture",Table1[[#This Row],[Sales]]*0.75,
IF(Table1[[#This Row],[Category]]="Clothing",Table1[[#This Row],[Sales]]*0.65,
Table1[[#This Row],[Sales]]*0.7)))</f>
        <v>13197.75</v>
      </c>
      <c r="I1664" s="11">
        <f ca="1">Table1[[#This Row],[Sales]]-H1664</f>
        <v>4399.25</v>
      </c>
      <c r="J1664" s="2">
        <f ca="1">Table1[[#This Row],[Profit]]/Table1[[#This Row],[Sales]]</f>
        <v>0.25</v>
      </c>
      <c r="K1664" t="str">
        <f ca="1">TEXT(Table1[[#This Row],[Order_Date]],"mmm")</f>
        <v>Dec</v>
      </c>
      <c r="L1664">
        <f ca="1">YEAR(Table1[[#This Row],[Order_Date]])</f>
        <v>2023</v>
      </c>
    </row>
    <row r="1665" spans="1:12" x14ac:dyDescent="0.3">
      <c r="A1665">
        <f t="shared" si="100"/>
        <v>1664</v>
      </c>
      <c r="B1665" s="1">
        <f t="shared" ca="1" si="101"/>
        <v>45124</v>
      </c>
      <c r="C1665" t="s">
        <v>10</v>
      </c>
      <c r="D1665" t="str">
        <f t="shared" ca="1" si="102"/>
        <v>Furniture</v>
      </c>
      <c r="E1665" t="s">
        <v>41</v>
      </c>
      <c r="F1665" s="11">
        <v>4234</v>
      </c>
      <c r="G1665">
        <f t="shared" ca="1" si="103"/>
        <v>9</v>
      </c>
      <c r="H1665" s="11">
        <f ca="1">IF(Table1[[#This Row],[Category]]="Electronics",Table1[[#This Row],[Sales]]*0.6,
IF(Table1[[#This Row],[Category]]="Furniture",Table1[[#This Row],[Sales]]*0.75,
IF(Table1[[#This Row],[Category]]="Clothing",Table1[[#This Row],[Sales]]*0.65,
Table1[[#This Row],[Sales]]*0.7)))</f>
        <v>3175.5</v>
      </c>
      <c r="I1665" s="11">
        <f ca="1">Table1[[#This Row],[Sales]]-H1665</f>
        <v>1058.5</v>
      </c>
      <c r="J1665" s="2">
        <f ca="1">Table1[[#This Row],[Profit]]/Table1[[#This Row],[Sales]]</f>
        <v>0.25</v>
      </c>
      <c r="K1665" t="str">
        <f ca="1">TEXT(Table1[[#This Row],[Order_Date]],"mmm")</f>
        <v>Jul</v>
      </c>
      <c r="L1665">
        <f ca="1">YEAR(Table1[[#This Row],[Order_Date]])</f>
        <v>2023</v>
      </c>
    </row>
    <row r="1666" spans="1:12" x14ac:dyDescent="0.3">
      <c r="A1666">
        <f t="shared" si="100"/>
        <v>1665</v>
      </c>
      <c r="B1666" s="1">
        <f t="shared" ca="1" si="101"/>
        <v>45216</v>
      </c>
      <c r="C1666" t="s">
        <v>7</v>
      </c>
      <c r="D1666" t="str">
        <f t="shared" ca="1" si="102"/>
        <v>Furniture</v>
      </c>
      <c r="E1666" t="s">
        <v>54</v>
      </c>
      <c r="F1666" s="11">
        <v>17550</v>
      </c>
      <c r="G1666">
        <f t="shared" ca="1" si="103"/>
        <v>7</v>
      </c>
      <c r="H1666" s="11">
        <f ca="1">IF(Table1[[#This Row],[Category]]="Electronics",Table1[[#This Row],[Sales]]*0.6,
IF(Table1[[#This Row],[Category]]="Furniture",Table1[[#This Row],[Sales]]*0.75,
IF(Table1[[#This Row],[Category]]="Clothing",Table1[[#This Row],[Sales]]*0.65,
Table1[[#This Row],[Sales]]*0.7)))</f>
        <v>13162.5</v>
      </c>
      <c r="I1666" s="11">
        <f ca="1">Table1[[#This Row],[Sales]]-H1666</f>
        <v>4387.5</v>
      </c>
      <c r="J1666" s="2">
        <f ca="1">Table1[[#This Row],[Profit]]/Table1[[#This Row],[Sales]]</f>
        <v>0.25</v>
      </c>
      <c r="K1666" t="str">
        <f ca="1">TEXT(Table1[[#This Row],[Order_Date]],"mmm")</f>
        <v>Oct</v>
      </c>
      <c r="L1666">
        <f ca="1">YEAR(Table1[[#This Row],[Order_Date]])</f>
        <v>2023</v>
      </c>
    </row>
    <row r="1667" spans="1:12" x14ac:dyDescent="0.3">
      <c r="A1667">
        <f t="shared" ref="A1667:A1730" si="104">ROW()-1</f>
        <v>1666</v>
      </c>
      <c r="B1667" s="1">
        <f t="shared" ref="B1667:B1730" ca="1" si="105">DATE(2023, RANDBETWEEN(1,12), RANDBETWEEN(1,28))</f>
        <v>45148</v>
      </c>
      <c r="C1667" t="s">
        <v>8</v>
      </c>
      <c r="D1667" t="str">
        <f t="shared" ref="D1667:D1730" ca="1" si="106">CHOOSE(RANDBETWEEN(1,4),"Electronics","Furniture","Clothing","Office Supplies")</f>
        <v>Office Supplies</v>
      </c>
      <c r="E1667" t="s">
        <v>36</v>
      </c>
      <c r="F1667" s="11">
        <v>4768</v>
      </c>
      <c r="G1667">
        <f t="shared" ref="G1667:G1730" ca="1" si="107">RANDBETWEEN(1,10)</f>
        <v>1</v>
      </c>
      <c r="H1667" s="11">
        <f ca="1">IF(Table1[[#This Row],[Category]]="Electronics",Table1[[#This Row],[Sales]]*0.6,
IF(Table1[[#This Row],[Category]]="Furniture",Table1[[#This Row],[Sales]]*0.75,
IF(Table1[[#This Row],[Category]]="Clothing",Table1[[#This Row],[Sales]]*0.65,
Table1[[#This Row],[Sales]]*0.7)))</f>
        <v>3337.6</v>
      </c>
      <c r="I1667" s="11">
        <f ca="1">Table1[[#This Row],[Sales]]-H1667</f>
        <v>1430.4</v>
      </c>
      <c r="J1667" s="2">
        <f ca="1">Table1[[#This Row],[Profit]]/Table1[[#This Row],[Sales]]</f>
        <v>0.30000000000000004</v>
      </c>
      <c r="K1667" t="str">
        <f ca="1">TEXT(Table1[[#This Row],[Order_Date]],"mmm")</f>
        <v>Aug</v>
      </c>
      <c r="L1667">
        <f ca="1">YEAR(Table1[[#This Row],[Order_Date]])</f>
        <v>2023</v>
      </c>
    </row>
    <row r="1668" spans="1:12" x14ac:dyDescent="0.3">
      <c r="A1668">
        <f t="shared" si="104"/>
        <v>1667</v>
      </c>
      <c r="B1668" s="1">
        <f t="shared" ca="1" si="105"/>
        <v>45234</v>
      </c>
      <c r="C1668" t="s">
        <v>9</v>
      </c>
      <c r="D1668" t="str">
        <f t="shared" ca="1" si="106"/>
        <v>Office Supplies</v>
      </c>
      <c r="E1668" t="s">
        <v>59</v>
      </c>
      <c r="F1668" s="11">
        <v>18195</v>
      </c>
      <c r="G1668">
        <f t="shared" ca="1" si="107"/>
        <v>7</v>
      </c>
      <c r="H1668" s="11">
        <f ca="1">IF(Table1[[#This Row],[Category]]="Electronics",Table1[[#This Row],[Sales]]*0.6,
IF(Table1[[#This Row],[Category]]="Furniture",Table1[[#This Row],[Sales]]*0.75,
IF(Table1[[#This Row],[Category]]="Clothing",Table1[[#This Row],[Sales]]*0.65,
Table1[[#This Row],[Sales]]*0.7)))</f>
        <v>12736.5</v>
      </c>
      <c r="I1668" s="11">
        <f ca="1">Table1[[#This Row],[Sales]]-H1668</f>
        <v>5458.5</v>
      </c>
      <c r="J1668" s="2">
        <f ca="1">Table1[[#This Row],[Profit]]/Table1[[#This Row],[Sales]]</f>
        <v>0.3</v>
      </c>
      <c r="K1668" t="str">
        <f ca="1">TEXT(Table1[[#This Row],[Order_Date]],"mmm")</f>
        <v>Nov</v>
      </c>
      <c r="L1668">
        <f ca="1">YEAR(Table1[[#This Row],[Order_Date]])</f>
        <v>2023</v>
      </c>
    </row>
    <row r="1669" spans="1:12" x14ac:dyDescent="0.3">
      <c r="A1669">
        <f t="shared" si="104"/>
        <v>1668</v>
      </c>
      <c r="B1669" s="1">
        <f t="shared" ca="1" si="105"/>
        <v>45133</v>
      </c>
      <c r="C1669" t="s">
        <v>10</v>
      </c>
      <c r="D1669" t="str">
        <f t="shared" ca="1" si="106"/>
        <v>Furniture</v>
      </c>
      <c r="E1669" t="s">
        <v>85</v>
      </c>
      <c r="F1669" s="11">
        <v>10686</v>
      </c>
      <c r="G1669">
        <f t="shared" ca="1" si="107"/>
        <v>5</v>
      </c>
      <c r="H1669" s="11">
        <f ca="1">IF(Table1[[#This Row],[Category]]="Electronics",Table1[[#This Row],[Sales]]*0.6,
IF(Table1[[#This Row],[Category]]="Furniture",Table1[[#This Row],[Sales]]*0.75,
IF(Table1[[#This Row],[Category]]="Clothing",Table1[[#This Row],[Sales]]*0.65,
Table1[[#This Row],[Sales]]*0.7)))</f>
        <v>8014.5</v>
      </c>
      <c r="I1669" s="11">
        <f ca="1">Table1[[#This Row],[Sales]]-H1669</f>
        <v>2671.5</v>
      </c>
      <c r="J1669" s="2">
        <f ca="1">Table1[[#This Row],[Profit]]/Table1[[#This Row],[Sales]]</f>
        <v>0.25</v>
      </c>
      <c r="K1669" t="str">
        <f ca="1">TEXT(Table1[[#This Row],[Order_Date]],"mmm")</f>
        <v>Jul</v>
      </c>
      <c r="L1669">
        <f ca="1">YEAR(Table1[[#This Row],[Order_Date]])</f>
        <v>2023</v>
      </c>
    </row>
    <row r="1670" spans="1:12" x14ac:dyDescent="0.3">
      <c r="A1670">
        <f t="shared" si="104"/>
        <v>1669</v>
      </c>
      <c r="B1670" s="1">
        <f t="shared" ca="1" si="105"/>
        <v>45152</v>
      </c>
      <c r="C1670" t="s">
        <v>7</v>
      </c>
      <c r="D1670" t="str">
        <f t="shared" ca="1" si="106"/>
        <v>Electronics</v>
      </c>
      <c r="E1670" t="s">
        <v>62</v>
      </c>
      <c r="F1670" s="11">
        <v>18229</v>
      </c>
      <c r="G1670">
        <f t="shared" ca="1" si="107"/>
        <v>10</v>
      </c>
      <c r="H1670" s="11">
        <f ca="1">IF(Table1[[#This Row],[Category]]="Electronics",Table1[[#This Row],[Sales]]*0.6,
IF(Table1[[#This Row],[Category]]="Furniture",Table1[[#This Row],[Sales]]*0.75,
IF(Table1[[#This Row],[Category]]="Clothing",Table1[[#This Row],[Sales]]*0.65,
Table1[[#This Row],[Sales]]*0.7)))</f>
        <v>10937.4</v>
      </c>
      <c r="I1670" s="11">
        <f ca="1">Table1[[#This Row],[Sales]]-H1670</f>
        <v>7291.6</v>
      </c>
      <c r="J1670" s="2">
        <f ca="1">Table1[[#This Row],[Profit]]/Table1[[#This Row],[Sales]]</f>
        <v>0.4</v>
      </c>
      <c r="K1670" t="str">
        <f ca="1">TEXT(Table1[[#This Row],[Order_Date]],"mmm")</f>
        <v>Aug</v>
      </c>
      <c r="L1670">
        <f ca="1">YEAR(Table1[[#This Row],[Order_Date]])</f>
        <v>2023</v>
      </c>
    </row>
    <row r="1671" spans="1:12" x14ac:dyDescent="0.3">
      <c r="A1671">
        <f t="shared" si="104"/>
        <v>1670</v>
      </c>
      <c r="B1671" s="1">
        <f t="shared" ca="1" si="105"/>
        <v>45096</v>
      </c>
      <c r="C1671" t="s">
        <v>8</v>
      </c>
      <c r="D1671" t="str">
        <f t="shared" ca="1" si="106"/>
        <v>Office Supplies</v>
      </c>
      <c r="E1671" t="s">
        <v>41</v>
      </c>
      <c r="F1671" s="11">
        <v>2070</v>
      </c>
      <c r="G1671">
        <f t="shared" ca="1" si="107"/>
        <v>10</v>
      </c>
      <c r="H1671" s="11">
        <f ca="1">IF(Table1[[#This Row],[Category]]="Electronics",Table1[[#This Row],[Sales]]*0.6,
IF(Table1[[#This Row],[Category]]="Furniture",Table1[[#This Row],[Sales]]*0.75,
IF(Table1[[#This Row],[Category]]="Clothing",Table1[[#This Row],[Sales]]*0.65,
Table1[[#This Row],[Sales]]*0.7)))</f>
        <v>1449</v>
      </c>
      <c r="I1671" s="11">
        <f ca="1">Table1[[#This Row],[Sales]]-H1671</f>
        <v>621</v>
      </c>
      <c r="J1671" s="2">
        <f ca="1">Table1[[#This Row],[Profit]]/Table1[[#This Row],[Sales]]</f>
        <v>0.3</v>
      </c>
      <c r="K1671" t="str">
        <f ca="1">TEXT(Table1[[#This Row],[Order_Date]],"mmm")</f>
        <v>Jun</v>
      </c>
      <c r="L1671">
        <f ca="1">YEAR(Table1[[#This Row],[Order_Date]])</f>
        <v>2023</v>
      </c>
    </row>
    <row r="1672" spans="1:12" x14ac:dyDescent="0.3">
      <c r="A1672">
        <f t="shared" si="104"/>
        <v>1671</v>
      </c>
      <c r="B1672" s="1">
        <f t="shared" ca="1" si="105"/>
        <v>45101</v>
      </c>
      <c r="C1672" t="s">
        <v>9</v>
      </c>
      <c r="D1672" t="str">
        <f t="shared" ca="1" si="106"/>
        <v>Electronics</v>
      </c>
      <c r="E1672" t="s">
        <v>43</v>
      </c>
      <c r="F1672" s="11">
        <v>8687</v>
      </c>
      <c r="G1672">
        <f t="shared" ca="1" si="107"/>
        <v>5</v>
      </c>
      <c r="H1672" s="11">
        <f ca="1">IF(Table1[[#This Row],[Category]]="Electronics",Table1[[#This Row],[Sales]]*0.6,
IF(Table1[[#This Row],[Category]]="Furniture",Table1[[#This Row],[Sales]]*0.75,
IF(Table1[[#This Row],[Category]]="Clothing",Table1[[#This Row],[Sales]]*0.65,
Table1[[#This Row],[Sales]]*0.7)))</f>
        <v>5212.2</v>
      </c>
      <c r="I1672" s="11">
        <f ca="1">Table1[[#This Row],[Sales]]-H1672</f>
        <v>3474.8</v>
      </c>
      <c r="J1672" s="2">
        <f ca="1">Table1[[#This Row],[Profit]]/Table1[[#This Row],[Sales]]</f>
        <v>0.4</v>
      </c>
      <c r="K1672" t="str">
        <f ca="1">TEXT(Table1[[#This Row],[Order_Date]],"mmm")</f>
        <v>Jun</v>
      </c>
      <c r="L1672">
        <f ca="1">YEAR(Table1[[#This Row],[Order_Date]])</f>
        <v>2023</v>
      </c>
    </row>
    <row r="1673" spans="1:12" x14ac:dyDescent="0.3">
      <c r="A1673">
        <f t="shared" si="104"/>
        <v>1672</v>
      </c>
      <c r="B1673" s="1">
        <f t="shared" ca="1" si="105"/>
        <v>45172</v>
      </c>
      <c r="C1673" t="s">
        <v>10</v>
      </c>
      <c r="D1673" t="str">
        <f t="shared" ca="1" si="106"/>
        <v>Electronics</v>
      </c>
      <c r="E1673" t="s">
        <v>70</v>
      </c>
      <c r="F1673" s="11">
        <v>1925</v>
      </c>
      <c r="G1673">
        <f t="shared" ca="1" si="107"/>
        <v>5</v>
      </c>
      <c r="H1673" s="11">
        <f ca="1">IF(Table1[[#This Row],[Category]]="Electronics",Table1[[#This Row],[Sales]]*0.6,
IF(Table1[[#This Row],[Category]]="Furniture",Table1[[#This Row],[Sales]]*0.75,
IF(Table1[[#This Row],[Category]]="Clothing",Table1[[#This Row],[Sales]]*0.65,
Table1[[#This Row],[Sales]]*0.7)))</f>
        <v>1155</v>
      </c>
      <c r="I1673" s="11">
        <f ca="1">Table1[[#This Row],[Sales]]-H1673</f>
        <v>770</v>
      </c>
      <c r="J1673" s="2">
        <f ca="1">Table1[[#This Row],[Profit]]/Table1[[#This Row],[Sales]]</f>
        <v>0.4</v>
      </c>
      <c r="K1673" t="str">
        <f ca="1">TEXT(Table1[[#This Row],[Order_Date]],"mmm")</f>
        <v>Sep</v>
      </c>
      <c r="L1673">
        <f ca="1">YEAR(Table1[[#This Row],[Order_Date]])</f>
        <v>2023</v>
      </c>
    </row>
    <row r="1674" spans="1:12" x14ac:dyDescent="0.3">
      <c r="A1674">
        <f t="shared" si="104"/>
        <v>1673</v>
      </c>
      <c r="B1674" s="1">
        <f t="shared" ca="1" si="105"/>
        <v>45274</v>
      </c>
      <c r="C1674" t="s">
        <v>7</v>
      </c>
      <c r="D1674" t="str">
        <f t="shared" ca="1" si="106"/>
        <v>Clothing</v>
      </c>
      <c r="E1674" t="s">
        <v>75</v>
      </c>
      <c r="F1674" s="11">
        <v>4291</v>
      </c>
      <c r="G1674">
        <f t="shared" ca="1" si="107"/>
        <v>1</v>
      </c>
      <c r="H1674" s="11">
        <f ca="1">IF(Table1[[#This Row],[Category]]="Electronics",Table1[[#This Row],[Sales]]*0.6,
IF(Table1[[#This Row],[Category]]="Furniture",Table1[[#This Row],[Sales]]*0.75,
IF(Table1[[#This Row],[Category]]="Clothing",Table1[[#This Row],[Sales]]*0.65,
Table1[[#This Row],[Sales]]*0.7)))</f>
        <v>2789.15</v>
      </c>
      <c r="I1674" s="11">
        <f ca="1">Table1[[#This Row],[Sales]]-H1674</f>
        <v>1501.85</v>
      </c>
      <c r="J1674" s="2">
        <f ca="1">Table1[[#This Row],[Profit]]/Table1[[#This Row],[Sales]]</f>
        <v>0.35</v>
      </c>
      <c r="K1674" t="str">
        <f ca="1">TEXT(Table1[[#This Row],[Order_Date]],"mmm")</f>
        <v>Dec</v>
      </c>
      <c r="L1674">
        <f ca="1">YEAR(Table1[[#This Row],[Order_Date]])</f>
        <v>2023</v>
      </c>
    </row>
    <row r="1675" spans="1:12" x14ac:dyDescent="0.3">
      <c r="A1675">
        <f t="shared" si="104"/>
        <v>1674</v>
      </c>
      <c r="B1675" s="1">
        <f t="shared" ca="1" si="105"/>
        <v>44991</v>
      </c>
      <c r="C1675" t="s">
        <v>8</v>
      </c>
      <c r="D1675" t="str">
        <f t="shared" ca="1" si="106"/>
        <v>Electronics</v>
      </c>
      <c r="E1675" t="s">
        <v>78</v>
      </c>
      <c r="F1675" s="11">
        <v>8573</v>
      </c>
      <c r="G1675">
        <f t="shared" ca="1" si="107"/>
        <v>5</v>
      </c>
      <c r="H1675" s="11">
        <f ca="1">IF(Table1[[#This Row],[Category]]="Electronics",Table1[[#This Row],[Sales]]*0.6,
IF(Table1[[#This Row],[Category]]="Furniture",Table1[[#This Row],[Sales]]*0.75,
IF(Table1[[#This Row],[Category]]="Clothing",Table1[[#This Row],[Sales]]*0.65,
Table1[[#This Row],[Sales]]*0.7)))</f>
        <v>5143.8</v>
      </c>
      <c r="I1675" s="11">
        <f ca="1">Table1[[#This Row],[Sales]]-H1675</f>
        <v>3429.2</v>
      </c>
      <c r="J1675" s="2">
        <f ca="1">Table1[[#This Row],[Profit]]/Table1[[#This Row],[Sales]]</f>
        <v>0.39999999999999997</v>
      </c>
      <c r="K1675" t="str">
        <f ca="1">TEXT(Table1[[#This Row],[Order_Date]],"mmm")</f>
        <v>Mar</v>
      </c>
      <c r="L1675">
        <f ca="1">YEAR(Table1[[#This Row],[Order_Date]])</f>
        <v>2023</v>
      </c>
    </row>
    <row r="1676" spans="1:12" x14ac:dyDescent="0.3">
      <c r="A1676">
        <f t="shared" si="104"/>
        <v>1675</v>
      </c>
      <c r="B1676" s="1">
        <f t="shared" ca="1" si="105"/>
        <v>45162</v>
      </c>
      <c r="C1676" t="s">
        <v>9</v>
      </c>
      <c r="D1676" t="str">
        <f t="shared" ca="1" si="106"/>
        <v>Office Supplies</v>
      </c>
      <c r="E1676" t="s">
        <v>62</v>
      </c>
      <c r="F1676" s="11">
        <v>17184</v>
      </c>
      <c r="G1676">
        <f t="shared" ca="1" si="107"/>
        <v>7</v>
      </c>
      <c r="H1676" s="11">
        <f ca="1">IF(Table1[[#This Row],[Category]]="Electronics",Table1[[#This Row],[Sales]]*0.6,
IF(Table1[[#This Row],[Category]]="Furniture",Table1[[#This Row],[Sales]]*0.75,
IF(Table1[[#This Row],[Category]]="Clothing",Table1[[#This Row],[Sales]]*0.65,
Table1[[#This Row],[Sales]]*0.7)))</f>
        <v>12028.8</v>
      </c>
      <c r="I1676" s="11">
        <f ca="1">Table1[[#This Row],[Sales]]-H1676</f>
        <v>5155.2000000000007</v>
      </c>
      <c r="J1676" s="2">
        <f ca="1">Table1[[#This Row],[Profit]]/Table1[[#This Row],[Sales]]</f>
        <v>0.30000000000000004</v>
      </c>
      <c r="K1676" t="str">
        <f ca="1">TEXT(Table1[[#This Row],[Order_Date]],"mmm")</f>
        <v>Aug</v>
      </c>
      <c r="L1676">
        <f ca="1">YEAR(Table1[[#This Row],[Order_Date]])</f>
        <v>2023</v>
      </c>
    </row>
    <row r="1677" spans="1:12" x14ac:dyDescent="0.3">
      <c r="A1677">
        <f t="shared" si="104"/>
        <v>1676</v>
      </c>
      <c r="B1677" s="1">
        <f t="shared" ca="1" si="105"/>
        <v>44962</v>
      </c>
      <c r="C1677" t="s">
        <v>10</v>
      </c>
      <c r="D1677" t="str">
        <f t="shared" ca="1" si="106"/>
        <v>Furniture</v>
      </c>
      <c r="E1677" t="s">
        <v>64</v>
      </c>
      <c r="F1677" s="11">
        <v>13267</v>
      </c>
      <c r="G1677">
        <f t="shared" ca="1" si="107"/>
        <v>8</v>
      </c>
      <c r="H1677" s="11">
        <f ca="1">IF(Table1[[#This Row],[Category]]="Electronics",Table1[[#This Row],[Sales]]*0.6,
IF(Table1[[#This Row],[Category]]="Furniture",Table1[[#This Row],[Sales]]*0.75,
IF(Table1[[#This Row],[Category]]="Clothing",Table1[[#This Row],[Sales]]*0.65,
Table1[[#This Row],[Sales]]*0.7)))</f>
        <v>9950.25</v>
      </c>
      <c r="I1677" s="11">
        <f ca="1">Table1[[#This Row],[Sales]]-H1677</f>
        <v>3316.75</v>
      </c>
      <c r="J1677" s="2">
        <f ca="1">Table1[[#This Row],[Profit]]/Table1[[#This Row],[Sales]]</f>
        <v>0.25</v>
      </c>
      <c r="K1677" t="str">
        <f ca="1">TEXT(Table1[[#This Row],[Order_Date]],"mmm")</f>
        <v>Feb</v>
      </c>
      <c r="L1677">
        <f ca="1">YEAR(Table1[[#This Row],[Order_Date]])</f>
        <v>2023</v>
      </c>
    </row>
    <row r="1678" spans="1:12" x14ac:dyDescent="0.3">
      <c r="A1678">
        <f t="shared" si="104"/>
        <v>1677</v>
      </c>
      <c r="B1678" s="1">
        <f t="shared" ca="1" si="105"/>
        <v>45196</v>
      </c>
      <c r="C1678" t="s">
        <v>7</v>
      </c>
      <c r="D1678" t="str">
        <f t="shared" ca="1" si="106"/>
        <v>Furniture</v>
      </c>
      <c r="E1678" t="s">
        <v>72</v>
      </c>
      <c r="F1678" s="11">
        <v>11298</v>
      </c>
      <c r="G1678">
        <f t="shared" ca="1" si="107"/>
        <v>1</v>
      </c>
      <c r="H1678" s="11">
        <f ca="1">IF(Table1[[#This Row],[Category]]="Electronics",Table1[[#This Row],[Sales]]*0.6,
IF(Table1[[#This Row],[Category]]="Furniture",Table1[[#This Row],[Sales]]*0.75,
IF(Table1[[#This Row],[Category]]="Clothing",Table1[[#This Row],[Sales]]*0.65,
Table1[[#This Row],[Sales]]*0.7)))</f>
        <v>8473.5</v>
      </c>
      <c r="I1678" s="11">
        <f ca="1">Table1[[#This Row],[Sales]]-H1678</f>
        <v>2824.5</v>
      </c>
      <c r="J1678" s="2">
        <f ca="1">Table1[[#This Row],[Profit]]/Table1[[#This Row],[Sales]]</f>
        <v>0.25</v>
      </c>
      <c r="K1678" t="str">
        <f ca="1">TEXT(Table1[[#This Row],[Order_Date]],"mmm")</f>
        <v>Sep</v>
      </c>
      <c r="L1678">
        <f ca="1">YEAR(Table1[[#This Row],[Order_Date]])</f>
        <v>2023</v>
      </c>
    </row>
    <row r="1679" spans="1:12" x14ac:dyDescent="0.3">
      <c r="A1679">
        <f t="shared" si="104"/>
        <v>1678</v>
      </c>
      <c r="B1679" s="1">
        <f t="shared" ca="1" si="105"/>
        <v>45131</v>
      </c>
      <c r="C1679" t="s">
        <v>8</v>
      </c>
      <c r="D1679" t="str">
        <f t="shared" ca="1" si="106"/>
        <v>Office Supplies</v>
      </c>
      <c r="E1679" t="s">
        <v>53</v>
      </c>
      <c r="F1679" s="11">
        <v>19659</v>
      </c>
      <c r="G1679">
        <f t="shared" ca="1" si="107"/>
        <v>1</v>
      </c>
      <c r="H1679" s="11">
        <f ca="1">IF(Table1[[#This Row],[Category]]="Electronics",Table1[[#This Row],[Sales]]*0.6,
IF(Table1[[#This Row],[Category]]="Furniture",Table1[[#This Row],[Sales]]*0.75,
IF(Table1[[#This Row],[Category]]="Clothing",Table1[[#This Row],[Sales]]*0.65,
Table1[[#This Row],[Sales]]*0.7)))</f>
        <v>13761.3</v>
      </c>
      <c r="I1679" s="11">
        <f ca="1">Table1[[#This Row],[Sales]]-H1679</f>
        <v>5897.7000000000007</v>
      </c>
      <c r="J1679" s="2">
        <f ca="1">Table1[[#This Row],[Profit]]/Table1[[#This Row],[Sales]]</f>
        <v>0.30000000000000004</v>
      </c>
      <c r="K1679" t="str">
        <f ca="1">TEXT(Table1[[#This Row],[Order_Date]],"mmm")</f>
        <v>Jul</v>
      </c>
      <c r="L1679">
        <f ca="1">YEAR(Table1[[#This Row],[Order_Date]])</f>
        <v>2023</v>
      </c>
    </row>
    <row r="1680" spans="1:12" x14ac:dyDescent="0.3">
      <c r="A1680">
        <f t="shared" si="104"/>
        <v>1679</v>
      </c>
      <c r="B1680" s="1">
        <f t="shared" ca="1" si="105"/>
        <v>45223</v>
      </c>
      <c r="C1680" t="s">
        <v>9</v>
      </c>
      <c r="D1680" t="str">
        <f t="shared" ca="1" si="106"/>
        <v>Electronics</v>
      </c>
      <c r="E1680" t="s">
        <v>57</v>
      </c>
      <c r="F1680" s="11">
        <v>14847</v>
      </c>
      <c r="G1680">
        <f t="shared" ca="1" si="107"/>
        <v>10</v>
      </c>
      <c r="H1680" s="11">
        <f ca="1">IF(Table1[[#This Row],[Category]]="Electronics",Table1[[#This Row],[Sales]]*0.6,
IF(Table1[[#This Row],[Category]]="Furniture",Table1[[#This Row],[Sales]]*0.75,
IF(Table1[[#This Row],[Category]]="Clothing",Table1[[#This Row],[Sales]]*0.65,
Table1[[#This Row],[Sales]]*0.7)))</f>
        <v>8908.1999999999989</v>
      </c>
      <c r="I1680" s="11">
        <f ca="1">Table1[[#This Row],[Sales]]-H1680</f>
        <v>5938.8000000000011</v>
      </c>
      <c r="J1680" s="2">
        <f ca="1">Table1[[#This Row],[Profit]]/Table1[[#This Row],[Sales]]</f>
        <v>0.40000000000000008</v>
      </c>
      <c r="K1680" t="str">
        <f ca="1">TEXT(Table1[[#This Row],[Order_Date]],"mmm")</f>
        <v>Oct</v>
      </c>
      <c r="L1680">
        <f ca="1">YEAR(Table1[[#This Row],[Order_Date]])</f>
        <v>2023</v>
      </c>
    </row>
    <row r="1681" spans="1:12" x14ac:dyDescent="0.3">
      <c r="A1681">
        <f t="shared" si="104"/>
        <v>1680</v>
      </c>
      <c r="B1681" s="1">
        <f t="shared" ca="1" si="105"/>
        <v>45184</v>
      </c>
      <c r="C1681" t="s">
        <v>10</v>
      </c>
      <c r="D1681" t="str">
        <f t="shared" ca="1" si="106"/>
        <v>Office Supplies</v>
      </c>
      <c r="E1681" t="s">
        <v>85</v>
      </c>
      <c r="F1681" s="11">
        <v>4938</v>
      </c>
      <c r="G1681">
        <f t="shared" ca="1" si="107"/>
        <v>2</v>
      </c>
      <c r="H1681" s="11">
        <f ca="1">IF(Table1[[#This Row],[Category]]="Electronics",Table1[[#This Row],[Sales]]*0.6,
IF(Table1[[#This Row],[Category]]="Furniture",Table1[[#This Row],[Sales]]*0.75,
IF(Table1[[#This Row],[Category]]="Clothing",Table1[[#This Row],[Sales]]*0.65,
Table1[[#This Row],[Sales]]*0.7)))</f>
        <v>3456.6</v>
      </c>
      <c r="I1681" s="11">
        <f ca="1">Table1[[#This Row],[Sales]]-H1681</f>
        <v>1481.4</v>
      </c>
      <c r="J1681" s="2">
        <f ca="1">Table1[[#This Row],[Profit]]/Table1[[#This Row],[Sales]]</f>
        <v>0.30000000000000004</v>
      </c>
      <c r="K1681" t="str">
        <f ca="1">TEXT(Table1[[#This Row],[Order_Date]],"mmm")</f>
        <v>Sep</v>
      </c>
      <c r="L1681">
        <f ca="1">YEAR(Table1[[#This Row],[Order_Date]])</f>
        <v>2023</v>
      </c>
    </row>
    <row r="1682" spans="1:12" x14ac:dyDescent="0.3">
      <c r="A1682">
        <f t="shared" si="104"/>
        <v>1681</v>
      </c>
      <c r="B1682" s="1">
        <f t="shared" ca="1" si="105"/>
        <v>45285</v>
      </c>
      <c r="C1682" t="s">
        <v>7</v>
      </c>
      <c r="D1682" t="str">
        <f t="shared" ca="1" si="106"/>
        <v>Office Supplies</v>
      </c>
      <c r="E1682" t="s">
        <v>51</v>
      </c>
      <c r="F1682" s="11">
        <v>9301</v>
      </c>
      <c r="G1682">
        <f t="shared" ca="1" si="107"/>
        <v>7</v>
      </c>
      <c r="H1682" s="11">
        <f ca="1">IF(Table1[[#This Row],[Category]]="Electronics",Table1[[#This Row],[Sales]]*0.6,
IF(Table1[[#This Row],[Category]]="Furniture",Table1[[#This Row],[Sales]]*0.75,
IF(Table1[[#This Row],[Category]]="Clothing",Table1[[#This Row],[Sales]]*0.65,
Table1[[#This Row],[Sales]]*0.7)))</f>
        <v>6510.7</v>
      </c>
      <c r="I1682" s="11">
        <f ca="1">Table1[[#This Row],[Sales]]-H1682</f>
        <v>2790.3</v>
      </c>
      <c r="J1682" s="2">
        <f ca="1">Table1[[#This Row],[Profit]]/Table1[[#This Row],[Sales]]</f>
        <v>0.30000000000000004</v>
      </c>
      <c r="K1682" t="str">
        <f ca="1">TEXT(Table1[[#This Row],[Order_Date]],"mmm")</f>
        <v>Dec</v>
      </c>
      <c r="L1682">
        <f ca="1">YEAR(Table1[[#This Row],[Order_Date]])</f>
        <v>2023</v>
      </c>
    </row>
    <row r="1683" spans="1:12" x14ac:dyDescent="0.3">
      <c r="A1683">
        <f t="shared" si="104"/>
        <v>1682</v>
      </c>
      <c r="B1683" s="1">
        <f t="shared" ca="1" si="105"/>
        <v>45128</v>
      </c>
      <c r="C1683" t="s">
        <v>8</v>
      </c>
      <c r="D1683" t="str">
        <f t="shared" ca="1" si="106"/>
        <v>Office Supplies</v>
      </c>
      <c r="E1683" t="s">
        <v>73</v>
      </c>
      <c r="F1683" s="11">
        <v>7864</v>
      </c>
      <c r="G1683">
        <f t="shared" ca="1" si="107"/>
        <v>1</v>
      </c>
      <c r="H1683" s="11">
        <f ca="1">IF(Table1[[#This Row],[Category]]="Electronics",Table1[[#This Row],[Sales]]*0.6,
IF(Table1[[#This Row],[Category]]="Furniture",Table1[[#This Row],[Sales]]*0.75,
IF(Table1[[#This Row],[Category]]="Clothing",Table1[[#This Row],[Sales]]*0.65,
Table1[[#This Row],[Sales]]*0.7)))</f>
        <v>5504.7999999999993</v>
      </c>
      <c r="I1683" s="11">
        <f ca="1">Table1[[#This Row],[Sales]]-H1683</f>
        <v>2359.2000000000007</v>
      </c>
      <c r="J1683" s="2">
        <f ca="1">Table1[[#This Row],[Profit]]/Table1[[#This Row],[Sales]]</f>
        <v>0.3000000000000001</v>
      </c>
      <c r="K1683" t="str">
        <f ca="1">TEXT(Table1[[#This Row],[Order_Date]],"mmm")</f>
        <v>Jul</v>
      </c>
      <c r="L1683">
        <f ca="1">YEAR(Table1[[#This Row],[Order_Date]])</f>
        <v>2023</v>
      </c>
    </row>
    <row r="1684" spans="1:12" x14ac:dyDescent="0.3">
      <c r="A1684">
        <f t="shared" si="104"/>
        <v>1683</v>
      </c>
      <c r="B1684" s="1">
        <f t="shared" ca="1" si="105"/>
        <v>45125</v>
      </c>
      <c r="C1684" t="s">
        <v>9</v>
      </c>
      <c r="D1684" t="str">
        <f t="shared" ca="1" si="106"/>
        <v>Office Supplies</v>
      </c>
      <c r="E1684" t="s">
        <v>41</v>
      </c>
      <c r="F1684" s="11">
        <v>1444</v>
      </c>
      <c r="G1684">
        <f t="shared" ca="1" si="107"/>
        <v>8</v>
      </c>
      <c r="H1684" s="11">
        <f ca="1">IF(Table1[[#This Row],[Category]]="Electronics",Table1[[#This Row],[Sales]]*0.6,
IF(Table1[[#This Row],[Category]]="Furniture",Table1[[#This Row],[Sales]]*0.75,
IF(Table1[[#This Row],[Category]]="Clothing",Table1[[#This Row],[Sales]]*0.65,
Table1[[#This Row],[Sales]]*0.7)))</f>
        <v>1010.8</v>
      </c>
      <c r="I1684" s="11">
        <f ca="1">Table1[[#This Row],[Sales]]-H1684</f>
        <v>433.20000000000005</v>
      </c>
      <c r="J1684" s="2">
        <f ca="1">Table1[[#This Row],[Profit]]/Table1[[#This Row],[Sales]]</f>
        <v>0.30000000000000004</v>
      </c>
      <c r="K1684" t="str">
        <f ca="1">TEXT(Table1[[#This Row],[Order_Date]],"mmm")</f>
        <v>Jul</v>
      </c>
      <c r="L1684">
        <f ca="1">YEAR(Table1[[#This Row],[Order_Date]])</f>
        <v>2023</v>
      </c>
    </row>
    <row r="1685" spans="1:12" x14ac:dyDescent="0.3">
      <c r="A1685">
        <f t="shared" si="104"/>
        <v>1684</v>
      </c>
      <c r="B1685" s="1">
        <f t="shared" ca="1" si="105"/>
        <v>44980</v>
      </c>
      <c r="C1685" t="s">
        <v>10</v>
      </c>
      <c r="D1685" t="str">
        <f t="shared" ca="1" si="106"/>
        <v>Furniture</v>
      </c>
      <c r="E1685" t="s">
        <v>66</v>
      </c>
      <c r="F1685" s="11">
        <v>3166</v>
      </c>
      <c r="G1685">
        <f t="shared" ca="1" si="107"/>
        <v>3</v>
      </c>
      <c r="H1685" s="11">
        <f ca="1">IF(Table1[[#This Row],[Category]]="Electronics",Table1[[#This Row],[Sales]]*0.6,
IF(Table1[[#This Row],[Category]]="Furniture",Table1[[#This Row],[Sales]]*0.75,
IF(Table1[[#This Row],[Category]]="Clothing",Table1[[#This Row],[Sales]]*0.65,
Table1[[#This Row],[Sales]]*0.7)))</f>
        <v>2374.5</v>
      </c>
      <c r="I1685" s="11">
        <f ca="1">Table1[[#This Row],[Sales]]-H1685</f>
        <v>791.5</v>
      </c>
      <c r="J1685" s="2">
        <f ca="1">Table1[[#This Row],[Profit]]/Table1[[#This Row],[Sales]]</f>
        <v>0.25</v>
      </c>
      <c r="K1685" t="str">
        <f ca="1">TEXT(Table1[[#This Row],[Order_Date]],"mmm")</f>
        <v>Feb</v>
      </c>
      <c r="L1685">
        <f ca="1">YEAR(Table1[[#This Row],[Order_Date]])</f>
        <v>2023</v>
      </c>
    </row>
    <row r="1686" spans="1:12" x14ac:dyDescent="0.3">
      <c r="A1686">
        <f t="shared" si="104"/>
        <v>1685</v>
      </c>
      <c r="B1686" s="1">
        <f t="shared" ca="1" si="105"/>
        <v>45205</v>
      </c>
      <c r="C1686" t="s">
        <v>7</v>
      </c>
      <c r="D1686" t="str">
        <f t="shared" ca="1" si="106"/>
        <v>Office Supplies</v>
      </c>
      <c r="E1686" t="s">
        <v>78</v>
      </c>
      <c r="F1686" s="11">
        <v>3862</v>
      </c>
      <c r="G1686">
        <f t="shared" ca="1" si="107"/>
        <v>1</v>
      </c>
      <c r="H1686" s="11">
        <f ca="1">IF(Table1[[#This Row],[Category]]="Electronics",Table1[[#This Row],[Sales]]*0.6,
IF(Table1[[#This Row],[Category]]="Furniture",Table1[[#This Row],[Sales]]*0.75,
IF(Table1[[#This Row],[Category]]="Clothing",Table1[[#This Row],[Sales]]*0.65,
Table1[[#This Row],[Sales]]*0.7)))</f>
        <v>2703.3999999999996</v>
      </c>
      <c r="I1686" s="11">
        <f ca="1">Table1[[#This Row],[Sales]]-H1686</f>
        <v>1158.6000000000004</v>
      </c>
      <c r="J1686" s="2">
        <f ca="1">Table1[[#This Row],[Profit]]/Table1[[#This Row],[Sales]]</f>
        <v>0.3000000000000001</v>
      </c>
      <c r="K1686" t="str">
        <f ca="1">TEXT(Table1[[#This Row],[Order_Date]],"mmm")</f>
        <v>Oct</v>
      </c>
      <c r="L1686">
        <f ca="1">YEAR(Table1[[#This Row],[Order_Date]])</f>
        <v>2023</v>
      </c>
    </row>
    <row r="1687" spans="1:12" x14ac:dyDescent="0.3">
      <c r="A1687">
        <f t="shared" si="104"/>
        <v>1686</v>
      </c>
      <c r="B1687" s="1">
        <f t="shared" ca="1" si="105"/>
        <v>45242</v>
      </c>
      <c r="C1687" t="s">
        <v>8</v>
      </c>
      <c r="D1687" t="str">
        <f t="shared" ca="1" si="106"/>
        <v>Clothing</v>
      </c>
      <c r="E1687" t="s">
        <v>64</v>
      </c>
      <c r="F1687" s="11">
        <v>5147</v>
      </c>
      <c r="G1687">
        <f t="shared" ca="1" si="107"/>
        <v>3</v>
      </c>
      <c r="H1687" s="11">
        <f ca="1">IF(Table1[[#This Row],[Category]]="Electronics",Table1[[#This Row],[Sales]]*0.6,
IF(Table1[[#This Row],[Category]]="Furniture",Table1[[#This Row],[Sales]]*0.75,
IF(Table1[[#This Row],[Category]]="Clothing",Table1[[#This Row],[Sales]]*0.65,
Table1[[#This Row],[Sales]]*0.7)))</f>
        <v>3345.55</v>
      </c>
      <c r="I1687" s="11">
        <f ca="1">Table1[[#This Row],[Sales]]-H1687</f>
        <v>1801.4499999999998</v>
      </c>
      <c r="J1687" s="2">
        <f ca="1">Table1[[#This Row],[Profit]]/Table1[[#This Row],[Sales]]</f>
        <v>0.35</v>
      </c>
      <c r="K1687" t="str">
        <f ca="1">TEXT(Table1[[#This Row],[Order_Date]],"mmm")</f>
        <v>Nov</v>
      </c>
      <c r="L1687">
        <f ca="1">YEAR(Table1[[#This Row],[Order_Date]])</f>
        <v>2023</v>
      </c>
    </row>
    <row r="1688" spans="1:12" x14ac:dyDescent="0.3">
      <c r="A1688">
        <f t="shared" si="104"/>
        <v>1687</v>
      </c>
      <c r="B1688" s="1">
        <f t="shared" ca="1" si="105"/>
        <v>44942</v>
      </c>
      <c r="C1688" t="s">
        <v>9</v>
      </c>
      <c r="D1688" t="str">
        <f t="shared" ca="1" si="106"/>
        <v>Clothing</v>
      </c>
      <c r="E1688" t="s">
        <v>64</v>
      </c>
      <c r="F1688" s="11">
        <v>1489</v>
      </c>
      <c r="G1688">
        <f t="shared" ca="1" si="107"/>
        <v>6</v>
      </c>
      <c r="H1688" s="11">
        <f ca="1">IF(Table1[[#This Row],[Category]]="Electronics",Table1[[#This Row],[Sales]]*0.6,
IF(Table1[[#This Row],[Category]]="Furniture",Table1[[#This Row],[Sales]]*0.75,
IF(Table1[[#This Row],[Category]]="Clothing",Table1[[#This Row],[Sales]]*0.65,
Table1[[#This Row],[Sales]]*0.7)))</f>
        <v>967.85</v>
      </c>
      <c r="I1688" s="11">
        <f ca="1">Table1[[#This Row],[Sales]]-H1688</f>
        <v>521.15</v>
      </c>
      <c r="J1688" s="2">
        <f ca="1">Table1[[#This Row],[Profit]]/Table1[[#This Row],[Sales]]</f>
        <v>0.35</v>
      </c>
      <c r="K1688" t="str">
        <f ca="1">TEXT(Table1[[#This Row],[Order_Date]],"mmm")</f>
        <v>Jan</v>
      </c>
      <c r="L1688">
        <f ca="1">YEAR(Table1[[#This Row],[Order_Date]])</f>
        <v>2023</v>
      </c>
    </row>
    <row r="1689" spans="1:12" x14ac:dyDescent="0.3">
      <c r="A1689">
        <f t="shared" si="104"/>
        <v>1688</v>
      </c>
      <c r="B1689" s="1">
        <f t="shared" ca="1" si="105"/>
        <v>45206</v>
      </c>
      <c r="C1689" t="s">
        <v>10</v>
      </c>
      <c r="D1689" t="str">
        <f t="shared" ca="1" si="106"/>
        <v>Furniture</v>
      </c>
      <c r="E1689" t="s">
        <v>62</v>
      </c>
      <c r="F1689" s="11">
        <v>18371</v>
      </c>
      <c r="G1689">
        <f t="shared" ca="1" si="107"/>
        <v>6</v>
      </c>
      <c r="H1689" s="11">
        <f ca="1">IF(Table1[[#This Row],[Category]]="Electronics",Table1[[#This Row],[Sales]]*0.6,
IF(Table1[[#This Row],[Category]]="Furniture",Table1[[#This Row],[Sales]]*0.75,
IF(Table1[[#This Row],[Category]]="Clothing",Table1[[#This Row],[Sales]]*0.65,
Table1[[#This Row],[Sales]]*0.7)))</f>
        <v>13778.25</v>
      </c>
      <c r="I1689" s="11">
        <f ca="1">Table1[[#This Row],[Sales]]-H1689</f>
        <v>4592.75</v>
      </c>
      <c r="J1689" s="2">
        <f ca="1">Table1[[#This Row],[Profit]]/Table1[[#This Row],[Sales]]</f>
        <v>0.25</v>
      </c>
      <c r="K1689" t="str">
        <f ca="1">TEXT(Table1[[#This Row],[Order_Date]],"mmm")</f>
        <v>Oct</v>
      </c>
      <c r="L1689">
        <f ca="1">YEAR(Table1[[#This Row],[Order_Date]])</f>
        <v>2023</v>
      </c>
    </row>
    <row r="1690" spans="1:12" x14ac:dyDescent="0.3">
      <c r="A1690">
        <f t="shared" si="104"/>
        <v>1689</v>
      </c>
      <c r="B1690" s="1">
        <f t="shared" ca="1" si="105"/>
        <v>45095</v>
      </c>
      <c r="C1690" t="s">
        <v>7</v>
      </c>
      <c r="D1690" t="str">
        <f t="shared" ca="1" si="106"/>
        <v>Electronics</v>
      </c>
      <c r="E1690" t="s">
        <v>77</v>
      </c>
      <c r="F1690" s="11">
        <v>13494</v>
      </c>
      <c r="G1690">
        <f t="shared" ca="1" si="107"/>
        <v>4</v>
      </c>
      <c r="H1690" s="11">
        <f ca="1">IF(Table1[[#This Row],[Category]]="Electronics",Table1[[#This Row],[Sales]]*0.6,
IF(Table1[[#This Row],[Category]]="Furniture",Table1[[#This Row],[Sales]]*0.75,
IF(Table1[[#This Row],[Category]]="Clothing",Table1[[#This Row],[Sales]]*0.65,
Table1[[#This Row],[Sales]]*0.7)))</f>
        <v>8096.4</v>
      </c>
      <c r="I1690" s="11">
        <f ca="1">Table1[[#This Row],[Sales]]-H1690</f>
        <v>5397.6</v>
      </c>
      <c r="J1690" s="2">
        <f ca="1">Table1[[#This Row],[Profit]]/Table1[[#This Row],[Sales]]</f>
        <v>0.4</v>
      </c>
      <c r="K1690" t="str">
        <f ca="1">TEXT(Table1[[#This Row],[Order_Date]],"mmm")</f>
        <v>Jun</v>
      </c>
      <c r="L1690">
        <f ca="1">YEAR(Table1[[#This Row],[Order_Date]])</f>
        <v>2023</v>
      </c>
    </row>
    <row r="1691" spans="1:12" x14ac:dyDescent="0.3">
      <c r="A1691">
        <f t="shared" si="104"/>
        <v>1690</v>
      </c>
      <c r="B1691" s="1">
        <f t="shared" ca="1" si="105"/>
        <v>45025</v>
      </c>
      <c r="C1691" t="s">
        <v>8</v>
      </c>
      <c r="D1691" t="str">
        <f t="shared" ca="1" si="106"/>
        <v>Electronics</v>
      </c>
      <c r="E1691" t="s">
        <v>85</v>
      </c>
      <c r="F1691" s="11">
        <v>8265</v>
      </c>
      <c r="G1691">
        <f t="shared" ca="1" si="107"/>
        <v>5</v>
      </c>
      <c r="H1691" s="11">
        <f ca="1">IF(Table1[[#This Row],[Category]]="Electronics",Table1[[#This Row],[Sales]]*0.6,
IF(Table1[[#This Row],[Category]]="Furniture",Table1[[#This Row],[Sales]]*0.75,
IF(Table1[[#This Row],[Category]]="Clothing",Table1[[#This Row],[Sales]]*0.65,
Table1[[#This Row],[Sales]]*0.7)))</f>
        <v>4959</v>
      </c>
      <c r="I1691" s="11">
        <f ca="1">Table1[[#This Row],[Sales]]-H1691</f>
        <v>3306</v>
      </c>
      <c r="J1691" s="2">
        <f ca="1">Table1[[#This Row],[Profit]]/Table1[[#This Row],[Sales]]</f>
        <v>0.4</v>
      </c>
      <c r="K1691" t="str">
        <f ca="1">TEXT(Table1[[#This Row],[Order_Date]],"mmm")</f>
        <v>Apr</v>
      </c>
      <c r="L1691">
        <f ca="1">YEAR(Table1[[#This Row],[Order_Date]])</f>
        <v>2023</v>
      </c>
    </row>
    <row r="1692" spans="1:12" x14ac:dyDescent="0.3">
      <c r="A1692">
        <f t="shared" si="104"/>
        <v>1691</v>
      </c>
      <c r="B1692" s="1">
        <f t="shared" ca="1" si="105"/>
        <v>45237</v>
      </c>
      <c r="C1692" t="s">
        <v>9</v>
      </c>
      <c r="D1692" t="str">
        <f t="shared" ca="1" si="106"/>
        <v>Clothing</v>
      </c>
      <c r="E1692" t="s">
        <v>58</v>
      </c>
      <c r="F1692" s="11">
        <v>14836</v>
      </c>
      <c r="G1692">
        <f t="shared" ca="1" si="107"/>
        <v>4</v>
      </c>
      <c r="H1692" s="11">
        <f ca="1">IF(Table1[[#This Row],[Category]]="Electronics",Table1[[#This Row],[Sales]]*0.6,
IF(Table1[[#This Row],[Category]]="Furniture",Table1[[#This Row],[Sales]]*0.75,
IF(Table1[[#This Row],[Category]]="Clothing",Table1[[#This Row],[Sales]]*0.65,
Table1[[#This Row],[Sales]]*0.7)))</f>
        <v>9643.4</v>
      </c>
      <c r="I1692" s="11">
        <f ca="1">Table1[[#This Row],[Sales]]-H1692</f>
        <v>5192.6000000000004</v>
      </c>
      <c r="J1692" s="2">
        <f ca="1">Table1[[#This Row],[Profit]]/Table1[[#This Row],[Sales]]</f>
        <v>0.35000000000000003</v>
      </c>
      <c r="K1692" t="str">
        <f ca="1">TEXT(Table1[[#This Row],[Order_Date]],"mmm")</f>
        <v>Nov</v>
      </c>
      <c r="L1692">
        <f ca="1">YEAR(Table1[[#This Row],[Order_Date]])</f>
        <v>2023</v>
      </c>
    </row>
    <row r="1693" spans="1:12" x14ac:dyDescent="0.3">
      <c r="A1693">
        <f t="shared" si="104"/>
        <v>1692</v>
      </c>
      <c r="B1693" s="1">
        <f t="shared" ca="1" si="105"/>
        <v>44984</v>
      </c>
      <c r="C1693" t="s">
        <v>10</v>
      </c>
      <c r="D1693" t="str">
        <f t="shared" ca="1" si="106"/>
        <v>Electronics</v>
      </c>
      <c r="E1693" t="s">
        <v>66</v>
      </c>
      <c r="F1693" s="11">
        <v>10693</v>
      </c>
      <c r="G1693">
        <f t="shared" ca="1" si="107"/>
        <v>5</v>
      </c>
      <c r="H1693" s="11">
        <f ca="1">IF(Table1[[#This Row],[Category]]="Electronics",Table1[[#This Row],[Sales]]*0.6,
IF(Table1[[#This Row],[Category]]="Furniture",Table1[[#This Row],[Sales]]*0.75,
IF(Table1[[#This Row],[Category]]="Clothing",Table1[[#This Row],[Sales]]*0.65,
Table1[[#This Row],[Sales]]*0.7)))</f>
        <v>6415.8</v>
      </c>
      <c r="I1693" s="11">
        <f ca="1">Table1[[#This Row],[Sales]]-H1693</f>
        <v>4277.2</v>
      </c>
      <c r="J1693" s="2">
        <f ca="1">Table1[[#This Row],[Profit]]/Table1[[#This Row],[Sales]]</f>
        <v>0.39999999999999997</v>
      </c>
      <c r="K1693" t="str">
        <f ca="1">TEXT(Table1[[#This Row],[Order_Date]],"mmm")</f>
        <v>Feb</v>
      </c>
      <c r="L1693">
        <f ca="1">YEAR(Table1[[#This Row],[Order_Date]])</f>
        <v>2023</v>
      </c>
    </row>
    <row r="1694" spans="1:12" x14ac:dyDescent="0.3">
      <c r="A1694">
        <f t="shared" si="104"/>
        <v>1693</v>
      </c>
      <c r="B1694" s="1">
        <f t="shared" ca="1" si="105"/>
        <v>44982</v>
      </c>
      <c r="C1694" t="s">
        <v>7</v>
      </c>
      <c r="D1694" t="str">
        <f t="shared" ca="1" si="106"/>
        <v>Furniture</v>
      </c>
      <c r="E1694" t="s">
        <v>79</v>
      </c>
      <c r="F1694" s="11">
        <v>10490</v>
      </c>
      <c r="G1694">
        <f t="shared" ca="1" si="107"/>
        <v>2</v>
      </c>
      <c r="H1694" s="11">
        <f ca="1">IF(Table1[[#This Row],[Category]]="Electronics",Table1[[#This Row],[Sales]]*0.6,
IF(Table1[[#This Row],[Category]]="Furniture",Table1[[#This Row],[Sales]]*0.75,
IF(Table1[[#This Row],[Category]]="Clothing",Table1[[#This Row],[Sales]]*0.65,
Table1[[#This Row],[Sales]]*0.7)))</f>
        <v>7867.5</v>
      </c>
      <c r="I1694" s="11">
        <f ca="1">Table1[[#This Row],[Sales]]-H1694</f>
        <v>2622.5</v>
      </c>
      <c r="J1694" s="2">
        <f ca="1">Table1[[#This Row],[Profit]]/Table1[[#This Row],[Sales]]</f>
        <v>0.25</v>
      </c>
      <c r="K1694" t="str">
        <f ca="1">TEXT(Table1[[#This Row],[Order_Date]],"mmm")</f>
        <v>Feb</v>
      </c>
      <c r="L1694">
        <f ca="1">YEAR(Table1[[#This Row],[Order_Date]])</f>
        <v>2023</v>
      </c>
    </row>
    <row r="1695" spans="1:12" x14ac:dyDescent="0.3">
      <c r="A1695">
        <f t="shared" si="104"/>
        <v>1694</v>
      </c>
      <c r="B1695" s="1">
        <f t="shared" ca="1" si="105"/>
        <v>45052</v>
      </c>
      <c r="C1695" t="s">
        <v>8</v>
      </c>
      <c r="D1695" t="str">
        <f t="shared" ca="1" si="106"/>
        <v>Furniture</v>
      </c>
      <c r="E1695" t="s">
        <v>70</v>
      </c>
      <c r="F1695" s="11">
        <v>6482</v>
      </c>
      <c r="G1695">
        <f t="shared" ca="1" si="107"/>
        <v>6</v>
      </c>
      <c r="H1695" s="11">
        <f ca="1">IF(Table1[[#This Row],[Category]]="Electronics",Table1[[#This Row],[Sales]]*0.6,
IF(Table1[[#This Row],[Category]]="Furniture",Table1[[#This Row],[Sales]]*0.75,
IF(Table1[[#This Row],[Category]]="Clothing",Table1[[#This Row],[Sales]]*0.65,
Table1[[#This Row],[Sales]]*0.7)))</f>
        <v>4861.5</v>
      </c>
      <c r="I1695" s="11">
        <f ca="1">Table1[[#This Row],[Sales]]-H1695</f>
        <v>1620.5</v>
      </c>
      <c r="J1695" s="2">
        <f ca="1">Table1[[#This Row],[Profit]]/Table1[[#This Row],[Sales]]</f>
        <v>0.25</v>
      </c>
      <c r="K1695" t="str">
        <f ca="1">TEXT(Table1[[#This Row],[Order_Date]],"mmm")</f>
        <v>May</v>
      </c>
      <c r="L1695">
        <f ca="1">YEAR(Table1[[#This Row],[Order_Date]])</f>
        <v>2023</v>
      </c>
    </row>
    <row r="1696" spans="1:12" x14ac:dyDescent="0.3">
      <c r="A1696">
        <f t="shared" si="104"/>
        <v>1695</v>
      </c>
      <c r="B1696" s="1">
        <f t="shared" ca="1" si="105"/>
        <v>45241</v>
      </c>
      <c r="C1696" t="s">
        <v>9</v>
      </c>
      <c r="D1696" t="str">
        <f t="shared" ca="1" si="106"/>
        <v>Office Supplies</v>
      </c>
      <c r="E1696" t="s">
        <v>44</v>
      </c>
      <c r="F1696" s="11">
        <v>1739</v>
      </c>
      <c r="G1696">
        <f t="shared" ca="1" si="107"/>
        <v>7</v>
      </c>
      <c r="H1696" s="11">
        <f ca="1">IF(Table1[[#This Row],[Category]]="Electronics",Table1[[#This Row],[Sales]]*0.6,
IF(Table1[[#This Row],[Category]]="Furniture",Table1[[#This Row],[Sales]]*0.75,
IF(Table1[[#This Row],[Category]]="Clothing",Table1[[#This Row],[Sales]]*0.65,
Table1[[#This Row],[Sales]]*0.7)))</f>
        <v>1217.3</v>
      </c>
      <c r="I1696" s="11">
        <f ca="1">Table1[[#This Row],[Sales]]-H1696</f>
        <v>521.70000000000005</v>
      </c>
      <c r="J1696" s="2">
        <f ca="1">Table1[[#This Row],[Profit]]/Table1[[#This Row],[Sales]]</f>
        <v>0.30000000000000004</v>
      </c>
      <c r="K1696" t="str">
        <f ca="1">TEXT(Table1[[#This Row],[Order_Date]],"mmm")</f>
        <v>Nov</v>
      </c>
      <c r="L1696">
        <f ca="1">YEAR(Table1[[#This Row],[Order_Date]])</f>
        <v>2023</v>
      </c>
    </row>
    <row r="1697" spans="1:12" x14ac:dyDescent="0.3">
      <c r="A1697">
        <f t="shared" si="104"/>
        <v>1696</v>
      </c>
      <c r="B1697" s="1">
        <f t="shared" ca="1" si="105"/>
        <v>45008</v>
      </c>
      <c r="C1697" t="s">
        <v>10</v>
      </c>
      <c r="D1697" t="str">
        <f t="shared" ca="1" si="106"/>
        <v>Office Supplies</v>
      </c>
      <c r="E1697" t="s">
        <v>78</v>
      </c>
      <c r="F1697" s="11">
        <v>12570</v>
      </c>
      <c r="G1697">
        <f t="shared" ca="1" si="107"/>
        <v>9</v>
      </c>
      <c r="H1697" s="11">
        <f ca="1">IF(Table1[[#This Row],[Category]]="Electronics",Table1[[#This Row],[Sales]]*0.6,
IF(Table1[[#This Row],[Category]]="Furniture",Table1[[#This Row],[Sales]]*0.75,
IF(Table1[[#This Row],[Category]]="Clothing",Table1[[#This Row],[Sales]]*0.65,
Table1[[#This Row],[Sales]]*0.7)))</f>
        <v>8799</v>
      </c>
      <c r="I1697" s="11">
        <f ca="1">Table1[[#This Row],[Sales]]-H1697</f>
        <v>3771</v>
      </c>
      <c r="J1697" s="2">
        <f ca="1">Table1[[#This Row],[Profit]]/Table1[[#This Row],[Sales]]</f>
        <v>0.3</v>
      </c>
      <c r="K1697" t="str">
        <f ca="1">TEXT(Table1[[#This Row],[Order_Date]],"mmm")</f>
        <v>Mar</v>
      </c>
      <c r="L1697">
        <f ca="1">YEAR(Table1[[#This Row],[Order_Date]])</f>
        <v>2023</v>
      </c>
    </row>
    <row r="1698" spans="1:12" x14ac:dyDescent="0.3">
      <c r="A1698">
        <f t="shared" si="104"/>
        <v>1697</v>
      </c>
      <c r="B1698" s="1">
        <f t="shared" ca="1" si="105"/>
        <v>45181</v>
      </c>
      <c r="C1698" t="s">
        <v>7</v>
      </c>
      <c r="D1698" t="str">
        <f t="shared" ca="1" si="106"/>
        <v>Furniture</v>
      </c>
      <c r="E1698" t="s">
        <v>47</v>
      </c>
      <c r="F1698" s="11">
        <v>1477</v>
      </c>
      <c r="G1698">
        <f t="shared" ca="1" si="107"/>
        <v>6</v>
      </c>
      <c r="H1698" s="11">
        <f ca="1">IF(Table1[[#This Row],[Category]]="Electronics",Table1[[#This Row],[Sales]]*0.6,
IF(Table1[[#This Row],[Category]]="Furniture",Table1[[#This Row],[Sales]]*0.75,
IF(Table1[[#This Row],[Category]]="Clothing",Table1[[#This Row],[Sales]]*0.65,
Table1[[#This Row],[Sales]]*0.7)))</f>
        <v>1107.75</v>
      </c>
      <c r="I1698" s="11">
        <f ca="1">Table1[[#This Row],[Sales]]-H1698</f>
        <v>369.25</v>
      </c>
      <c r="J1698" s="2">
        <f ca="1">Table1[[#This Row],[Profit]]/Table1[[#This Row],[Sales]]</f>
        <v>0.25</v>
      </c>
      <c r="K1698" t="str">
        <f ca="1">TEXT(Table1[[#This Row],[Order_Date]],"mmm")</f>
        <v>Sep</v>
      </c>
      <c r="L1698">
        <f ca="1">YEAR(Table1[[#This Row],[Order_Date]])</f>
        <v>2023</v>
      </c>
    </row>
    <row r="1699" spans="1:12" x14ac:dyDescent="0.3">
      <c r="A1699">
        <f t="shared" si="104"/>
        <v>1698</v>
      </c>
      <c r="B1699" s="1">
        <f t="shared" ca="1" si="105"/>
        <v>45068</v>
      </c>
      <c r="C1699" t="s">
        <v>8</v>
      </c>
      <c r="D1699" t="str">
        <f t="shared" ca="1" si="106"/>
        <v>Furniture</v>
      </c>
      <c r="E1699" t="s">
        <v>39</v>
      </c>
      <c r="F1699" s="11">
        <v>5327</v>
      </c>
      <c r="G1699">
        <f t="shared" ca="1" si="107"/>
        <v>4</v>
      </c>
      <c r="H1699" s="11">
        <f ca="1">IF(Table1[[#This Row],[Category]]="Electronics",Table1[[#This Row],[Sales]]*0.6,
IF(Table1[[#This Row],[Category]]="Furniture",Table1[[#This Row],[Sales]]*0.75,
IF(Table1[[#This Row],[Category]]="Clothing",Table1[[#This Row],[Sales]]*0.65,
Table1[[#This Row],[Sales]]*0.7)))</f>
        <v>3995.25</v>
      </c>
      <c r="I1699" s="11">
        <f ca="1">Table1[[#This Row],[Sales]]-H1699</f>
        <v>1331.75</v>
      </c>
      <c r="J1699" s="2">
        <f ca="1">Table1[[#This Row],[Profit]]/Table1[[#This Row],[Sales]]</f>
        <v>0.25</v>
      </c>
      <c r="K1699" t="str">
        <f ca="1">TEXT(Table1[[#This Row],[Order_Date]],"mmm")</f>
        <v>May</v>
      </c>
      <c r="L1699">
        <f ca="1">YEAR(Table1[[#This Row],[Order_Date]])</f>
        <v>2023</v>
      </c>
    </row>
    <row r="1700" spans="1:12" x14ac:dyDescent="0.3">
      <c r="A1700">
        <f t="shared" si="104"/>
        <v>1699</v>
      </c>
      <c r="B1700" s="1">
        <f t="shared" ca="1" si="105"/>
        <v>44965</v>
      </c>
      <c r="C1700" t="s">
        <v>9</v>
      </c>
      <c r="D1700" t="str">
        <f t="shared" ca="1" si="106"/>
        <v>Clothing</v>
      </c>
      <c r="E1700" t="s">
        <v>60</v>
      </c>
      <c r="F1700" s="11">
        <v>14317</v>
      </c>
      <c r="G1700">
        <f t="shared" ca="1" si="107"/>
        <v>9</v>
      </c>
      <c r="H1700" s="11">
        <f ca="1">IF(Table1[[#This Row],[Category]]="Electronics",Table1[[#This Row],[Sales]]*0.6,
IF(Table1[[#This Row],[Category]]="Furniture",Table1[[#This Row],[Sales]]*0.75,
IF(Table1[[#This Row],[Category]]="Clothing",Table1[[#This Row],[Sales]]*0.65,
Table1[[#This Row],[Sales]]*0.7)))</f>
        <v>9306.0500000000011</v>
      </c>
      <c r="I1700" s="11">
        <f ca="1">Table1[[#This Row],[Sales]]-H1700</f>
        <v>5010.9499999999989</v>
      </c>
      <c r="J1700" s="2">
        <f ca="1">Table1[[#This Row],[Profit]]/Table1[[#This Row],[Sales]]</f>
        <v>0.34999999999999992</v>
      </c>
      <c r="K1700" t="str">
        <f ca="1">TEXT(Table1[[#This Row],[Order_Date]],"mmm")</f>
        <v>Feb</v>
      </c>
      <c r="L1700">
        <f ca="1">YEAR(Table1[[#This Row],[Order_Date]])</f>
        <v>2023</v>
      </c>
    </row>
    <row r="1701" spans="1:12" x14ac:dyDescent="0.3">
      <c r="A1701">
        <f t="shared" si="104"/>
        <v>1700</v>
      </c>
      <c r="B1701" s="1">
        <f t="shared" ca="1" si="105"/>
        <v>45178</v>
      </c>
      <c r="C1701" t="s">
        <v>10</v>
      </c>
      <c r="D1701" t="str">
        <f t="shared" ca="1" si="106"/>
        <v>Furniture</v>
      </c>
      <c r="E1701" t="s">
        <v>53</v>
      </c>
      <c r="F1701" s="11">
        <v>3855</v>
      </c>
      <c r="G1701">
        <f t="shared" ca="1" si="107"/>
        <v>2</v>
      </c>
      <c r="H1701" s="11">
        <f ca="1">IF(Table1[[#This Row],[Category]]="Electronics",Table1[[#This Row],[Sales]]*0.6,
IF(Table1[[#This Row],[Category]]="Furniture",Table1[[#This Row],[Sales]]*0.75,
IF(Table1[[#This Row],[Category]]="Clothing",Table1[[#This Row],[Sales]]*0.65,
Table1[[#This Row],[Sales]]*0.7)))</f>
        <v>2891.25</v>
      </c>
      <c r="I1701" s="11">
        <f ca="1">Table1[[#This Row],[Sales]]-H1701</f>
        <v>963.75</v>
      </c>
      <c r="J1701" s="2">
        <f ca="1">Table1[[#This Row],[Profit]]/Table1[[#This Row],[Sales]]</f>
        <v>0.25</v>
      </c>
      <c r="K1701" t="str">
        <f ca="1">TEXT(Table1[[#This Row],[Order_Date]],"mmm")</f>
        <v>Sep</v>
      </c>
      <c r="L1701">
        <f ca="1">YEAR(Table1[[#This Row],[Order_Date]])</f>
        <v>2023</v>
      </c>
    </row>
    <row r="1702" spans="1:12" x14ac:dyDescent="0.3">
      <c r="A1702">
        <f t="shared" si="104"/>
        <v>1701</v>
      </c>
      <c r="B1702" s="1">
        <f t="shared" ca="1" si="105"/>
        <v>45271</v>
      </c>
      <c r="C1702" t="s">
        <v>7</v>
      </c>
      <c r="D1702" t="str">
        <f t="shared" ca="1" si="106"/>
        <v>Electronics</v>
      </c>
      <c r="E1702" t="s">
        <v>48</v>
      </c>
      <c r="F1702" s="11">
        <v>2826</v>
      </c>
      <c r="G1702">
        <f t="shared" ca="1" si="107"/>
        <v>4</v>
      </c>
      <c r="H1702" s="11">
        <f ca="1">IF(Table1[[#This Row],[Category]]="Electronics",Table1[[#This Row],[Sales]]*0.6,
IF(Table1[[#This Row],[Category]]="Furniture",Table1[[#This Row],[Sales]]*0.75,
IF(Table1[[#This Row],[Category]]="Clothing",Table1[[#This Row],[Sales]]*0.65,
Table1[[#This Row],[Sales]]*0.7)))</f>
        <v>1695.6</v>
      </c>
      <c r="I1702" s="11">
        <f ca="1">Table1[[#This Row],[Sales]]-H1702</f>
        <v>1130.4000000000001</v>
      </c>
      <c r="J1702" s="2">
        <f ca="1">Table1[[#This Row],[Profit]]/Table1[[#This Row],[Sales]]</f>
        <v>0.4</v>
      </c>
      <c r="K1702" t="str">
        <f ca="1">TEXT(Table1[[#This Row],[Order_Date]],"mmm")</f>
        <v>Dec</v>
      </c>
      <c r="L1702">
        <f ca="1">YEAR(Table1[[#This Row],[Order_Date]])</f>
        <v>2023</v>
      </c>
    </row>
    <row r="1703" spans="1:12" x14ac:dyDescent="0.3">
      <c r="A1703">
        <f t="shared" si="104"/>
        <v>1702</v>
      </c>
      <c r="B1703" s="1">
        <f t="shared" ca="1" si="105"/>
        <v>45143</v>
      </c>
      <c r="C1703" t="s">
        <v>8</v>
      </c>
      <c r="D1703" t="str">
        <f t="shared" ca="1" si="106"/>
        <v>Furniture</v>
      </c>
      <c r="E1703" t="s">
        <v>70</v>
      </c>
      <c r="F1703" s="11">
        <v>8062</v>
      </c>
      <c r="G1703">
        <f t="shared" ca="1" si="107"/>
        <v>1</v>
      </c>
      <c r="H1703" s="11">
        <f ca="1">IF(Table1[[#This Row],[Category]]="Electronics",Table1[[#This Row],[Sales]]*0.6,
IF(Table1[[#This Row],[Category]]="Furniture",Table1[[#This Row],[Sales]]*0.75,
IF(Table1[[#This Row],[Category]]="Clothing",Table1[[#This Row],[Sales]]*0.65,
Table1[[#This Row],[Sales]]*0.7)))</f>
        <v>6046.5</v>
      </c>
      <c r="I1703" s="11">
        <f ca="1">Table1[[#This Row],[Sales]]-H1703</f>
        <v>2015.5</v>
      </c>
      <c r="J1703" s="2">
        <f ca="1">Table1[[#This Row],[Profit]]/Table1[[#This Row],[Sales]]</f>
        <v>0.25</v>
      </c>
      <c r="K1703" t="str">
        <f ca="1">TEXT(Table1[[#This Row],[Order_Date]],"mmm")</f>
        <v>Aug</v>
      </c>
      <c r="L1703">
        <f ca="1">YEAR(Table1[[#This Row],[Order_Date]])</f>
        <v>2023</v>
      </c>
    </row>
    <row r="1704" spans="1:12" x14ac:dyDescent="0.3">
      <c r="A1704">
        <f t="shared" si="104"/>
        <v>1703</v>
      </c>
      <c r="B1704" s="1">
        <f t="shared" ca="1" si="105"/>
        <v>45055</v>
      </c>
      <c r="C1704" t="s">
        <v>9</v>
      </c>
      <c r="D1704" t="str">
        <f t="shared" ca="1" si="106"/>
        <v>Clothing</v>
      </c>
      <c r="E1704" t="s">
        <v>45</v>
      </c>
      <c r="F1704" s="11">
        <v>4828</v>
      </c>
      <c r="G1704">
        <f t="shared" ca="1" si="107"/>
        <v>4</v>
      </c>
      <c r="H1704" s="11">
        <f ca="1">IF(Table1[[#This Row],[Category]]="Electronics",Table1[[#This Row],[Sales]]*0.6,
IF(Table1[[#This Row],[Category]]="Furniture",Table1[[#This Row],[Sales]]*0.75,
IF(Table1[[#This Row],[Category]]="Clothing",Table1[[#This Row],[Sales]]*0.65,
Table1[[#This Row],[Sales]]*0.7)))</f>
        <v>3138.2000000000003</v>
      </c>
      <c r="I1704" s="11">
        <f ca="1">Table1[[#This Row],[Sales]]-H1704</f>
        <v>1689.7999999999997</v>
      </c>
      <c r="J1704" s="2">
        <f ca="1">Table1[[#This Row],[Profit]]/Table1[[#This Row],[Sales]]</f>
        <v>0.34999999999999992</v>
      </c>
      <c r="K1704" t="str">
        <f ca="1">TEXT(Table1[[#This Row],[Order_Date]],"mmm")</f>
        <v>May</v>
      </c>
      <c r="L1704">
        <f ca="1">YEAR(Table1[[#This Row],[Order_Date]])</f>
        <v>2023</v>
      </c>
    </row>
    <row r="1705" spans="1:12" x14ac:dyDescent="0.3">
      <c r="A1705">
        <f t="shared" si="104"/>
        <v>1704</v>
      </c>
      <c r="B1705" s="1">
        <f t="shared" ca="1" si="105"/>
        <v>45051</v>
      </c>
      <c r="C1705" t="s">
        <v>10</v>
      </c>
      <c r="D1705" t="str">
        <f t="shared" ca="1" si="106"/>
        <v>Electronics</v>
      </c>
      <c r="E1705" t="s">
        <v>66</v>
      </c>
      <c r="F1705" s="11">
        <v>5737</v>
      </c>
      <c r="G1705">
        <f t="shared" ca="1" si="107"/>
        <v>7</v>
      </c>
      <c r="H1705" s="11">
        <f ca="1">IF(Table1[[#This Row],[Category]]="Electronics",Table1[[#This Row],[Sales]]*0.6,
IF(Table1[[#This Row],[Category]]="Furniture",Table1[[#This Row],[Sales]]*0.75,
IF(Table1[[#This Row],[Category]]="Clothing",Table1[[#This Row],[Sales]]*0.65,
Table1[[#This Row],[Sales]]*0.7)))</f>
        <v>3442.2</v>
      </c>
      <c r="I1705" s="11">
        <f ca="1">Table1[[#This Row],[Sales]]-H1705</f>
        <v>2294.8000000000002</v>
      </c>
      <c r="J1705" s="2">
        <f ca="1">Table1[[#This Row],[Profit]]/Table1[[#This Row],[Sales]]</f>
        <v>0.4</v>
      </c>
      <c r="K1705" t="str">
        <f ca="1">TEXT(Table1[[#This Row],[Order_Date]],"mmm")</f>
        <v>May</v>
      </c>
      <c r="L1705">
        <f ca="1">YEAR(Table1[[#This Row],[Order_Date]])</f>
        <v>2023</v>
      </c>
    </row>
    <row r="1706" spans="1:12" x14ac:dyDescent="0.3">
      <c r="A1706">
        <f t="shared" si="104"/>
        <v>1705</v>
      </c>
      <c r="B1706" s="1">
        <f t="shared" ca="1" si="105"/>
        <v>45007</v>
      </c>
      <c r="C1706" t="s">
        <v>7</v>
      </c>
      <c r="D1706" t="str">
        <f t="shared" ca="1" si="106"/>
        <v>Electronics</v>
      </c>
      <c r="E1706" t="s">
        <v>60</v>
      </c>
      <c r="F1706" s="11">
        <v>7540</v>
      </c>
      <c r="G1706">
        <f t="shared" ca="1" si="107"/>
        <v>6</v>
      </c>
      <c r="H1706" s="11">
        <f ca="1">IF(Table1[[#This Row],[Category]]="Electronics",Table1[[#This Row],[Sales]]*0.6,
IF(Table1[[#This Row],[Category]]="Furniture",Table1[[#This Row],[Sales]]*0.75,
IF(Table1[[#This Row],[Category]]="Clothing",Table1[[#This Row],[Sales]]*0.65,
Table1[[#This Row],[Sales]]*0.7)))</f>
        <v>4524</v>
      </c>
      <c r="I1706" s="11">
        <f ca="1">Table1[[#This Row],[Sales]]-H1706</f>
        <v>3016</v>
      </c>
      <c r="J1706" s="2">
        <f ca="1">Table1[[#This Row],[Profit]]/Table1[[#This Row],[Sales]]</f>
        <v>0.4</v>
      </c>
      <c r="K1706" t="str">
        <f ca="1">TEXT(Table1[[#This Row],[Order_Date]],"mmm")</f>
        <v>Mar</v>
      </c>
      <c r="L1706">
        <f ca="1">YEAR(Table1[[#This Row],[Order_Date]])</f>
        <v>2023</v>
      </c>
    </row>
    <row r="1707" spans="1:12" x14ac:dyDescent="0.3">
      <c r="A1707">
        <f t="shared" si="104"/>
        <v>1706</v>
      </c>
      <c r="B1707" s="1">
        <f t="shared" ca="1" si="105"/>
        <v>45211</v>
      </c>
      <c r="C1707" t="s">
        <v>8</v>
      </c>
      <c r="D1707" t="str">
        <f t="shared" ca="1" si="106"/>
        <v>Furniture</v>
      </c>
      <c r="E1707" t="s">
        <v>82</v>
      </c>
      <c r="F1707" s="11">
        <v>2001</v>
      </c>
      <c r="G1707">
        <f t="shared" ca="1" si="107"/>
        <v>2</v>
      </c>
      <c r="H1707" s="11">
        <f ca="1">IF(Table1[[#This Row],[Category]]="Electronics",Table1[[#This Row],[Sales]]*0.6,
IF(Table1[[#This Row],[Category]]="Furniture",Table1[[#This Row],[Sales]]*0.75,
IF(Table1[[#This Row],[Category]]="Clothing",Table1[[#This Row],[Sales]]*0.65,
Table1[[#This Row],[Sales]]*0.7)))</f>
        <v>1500.75</v>
      </c>
      <c r="I1707" s="11">
        <f ca="1">Table1[[#This Row],[Sales]]-H1707</f>
        <v>500.25</v>
      </c>
      <c r="J1707" s="2">
        <f ca="1">Table1[[#This Row],[Profit]]/Table1[[#This Row],[Sales]]</f>
        <v>0.25</v>
      </c>
      <c r="K1707" t="str">
        <f ca="1">TEXT(Table1[[#This Row],[Order_Date]],"mmm")</f>
        <v>Oct</v>
      </c>
      <c r="L1707">
        <f ca="1">YEAR(Table1[[#This Row],[Order_Date]])</f>
        <v>2023</v>
      </c>
    </row>
    <row r="1708" spans="1:12" x14ac:dyDescent="0.3">
      <c r="A1708">
        <f t="shared" si="104"/>
        <v>1707</v>
      </c>
      <c r="B1708" s="1">
        <f t="shared" ca="1" si="105"/>
        <v>45208</v>
      </c>
      <c r="C1708" t="s">
        <v>9</v>
      </c>
      <c r="D1708" t="str">
        <f t="shared" ca="1" si="106"/>
        <v>Clothing</v>
      </c>
      <c r="E1708" t="s">
        <v>37</v>
      </c>
      <c r="F1708" s="11">
        <v>16497</v>
      </c>
      <c r="G1708">
        <f t="shared" ca="1" si="107"/>
        <v>2</v>
      </c>
      <c r="H1708" s="11">
        <f ca="1">IF(Table1[[#This Row],[Category]]="Electronics",Table1[[#This Row],[Sales]]*0.6,
IF(Table1[[#This Row],[Category]]="Furniture",Table1[[#This Row],[Sales]]*0.75,
IF(Table1[[#This Row],[Category]]="Clothing",Table1[[#This Row],[Sales]]*0.65,
Table1[[#This Row],[Sales]]*0.7)))</f>
        <v>10723.050000000001</v>
      </c>
      <c r="I1708" s="11">
        <f ca="1">Table1[[#This Row],[Sales]]-H1708</f>
        <v>5773.9499999999989</v>
      </c>
      <c r="J1708" s="2">
        <f ca="1">Table1[[#This Row],[Profit]]/Table1[[#This Row],[Sales]]</f>
        <v>0.34999999999999992</v>
      </c>
      <c r="K1708" t="str">
        <f ca="1">TEXT(Table1[[#This Row],[Order_Date]],"mmm")</f>
        <v>Oct</v>
      </c>
      <c r="L1708">
        <f ca="1">YEAR(Table1[[#This Row],[Order_Date]])</f>
        <v>2023</v>
      </c>
    </row>
    <row r="1709" spans="1:12" x14ac:dyDescent="0.3">
      <c r="A1709">
        <f t="shared" si="104"/>
        <v>1708</v>
      </c>
      <c r="B1709" s="1">
        <f t="shared" ca="1" si="105"/>
        <v>45080</v>
      </c>
      <c r="C1709" t="s">
        <v>10</v>
      </c>
      <c r="D1709" t="str">
        <f t="shared" ca="1" si="106"/>
        <v>Electronics</v>
      </c>
      <c r="E1709" t="s">
        <v>46</v>
      </c>
      <c r="F1709" s="11">
        <v>12015</v>
      </c>
      <c r="G1709">
        <f t="shared" ca="1" si="107"/>
        <v>10</v>
      </c>
      <c r="H1709" s="11">
        <f ca="1">IF(Table1[[#This Row],[Category]]="Electronics",Table1[[#This Row],[Sales]]*0.6,
IF(Table1[[#This Row],[Category]]="Furniture",Table1[[#This Row],[Sales]]*0.75,
IF(Table1[[#This Row],[Category]]="Clothing",Table1[[#This Row],[Sales]]*0.65,
Table1[[#This Row],[Sales]]*0.7)))</f>
        <v>7209</v>
      </c>
      <c r="I1709" s="11">
        <f ca="1">Table1[[#This Row],[Sales]]-H1709</f>
        <v>4806</v>
      </c>
      <c r="J1709" s="2">
        <f ca="1">Table1[[#This Row],[Profit]]/Table1[[#This Row],[Sales]]</f>
        <v>0.4</v>
      </c>
      <c r="K1709" t="str">
        <f ca="1">TEXT(Table1[[#This Row],[Order_Date]],"mmm")</f>
        <v>Jun</v>
      </c>
      <c r="L1709">
        <f ca="1">YEAR(Table1[[#This Row],[Order_Date]])</f>
        <v>2023</v>
      </c>
    </row>
    <row r="1710" spans="1:12" x14ac:dyDescent="0.3">
      <c r="A1710">
        <f t="shared" si="104"/>
        <v>1709</v>
      </c>
      <c r="B1710" s="1">
        <f t="shared" ca="1" si="105"/>
        <v>45282</v>
      </c>
      <c r="C1710" t="s">
        <v>7</v>
      </c>
      <c r="D1710" t="str">
        <f t="shared" ca="1" si="106"/>
        <v>Clothing</v>
      </c>
      <c r="E1710" t="s">
        <v>58</v>
      </c>
      <c r="F1710" s="11">
        <v>5889</v>
      </c>
      <c r="G1710">
        <f t="shared" ca="1" si="107"/>
        <v>5</v>
      </c>
      <c r="H1710" s="11">
        <f ca="1">IF(Table1[[#This Row],[Category]]="Electronics",Table1[[#This Row],[Sales]]*0.6,
IF(Table1[[#This Row],[Category]]="Furniture",Table1[[#This Row],[Sales]]*0.75,
IF(Table1[[#This Row],[Category]]="Clothing",Table1[[#This Row],[Sales]]*0.65,
Table1[[#This Row],[Sales]]*0.7)))</f>
        <v>3827.85</v>
      </c>
      <c r="I1710" s="11">
        <f ca="1">Table1[[#This Row],[Sales]]-H1710</f>
        <v>2061.15</v>
      </c>
      <c r="J1710" s="2">
        <f ca="1">Table1[[#This Row],[Profit]]/Table1[[#This Row],[Sales]]</f>
        <v>0.35000000000000003</v>
      </c>
      <c r="K1710" t="str">
        <f ca="1">TEXT(Table1[[#This Row],[Order_Date]],"mmm")</f>
        <v>Dec</v>
      </c>
      <c r="L1710">
        <f ca="1">YEAR(Table1[[#This Row],[Order_Date]])</f>
        <v>2023</v>
      </c>
    </row>
    <row r="1711" spans="1:12" x14ac:dyDescent="0.3">
      <c r="A1711">
        <f t="shared" si="104"/>
        <v>1710</v>
      </c>
      <c r="B1711" s="1">
        <f t="shared" ca="1" si="105"/>
        <v>45021</v>
      </c>
      <c r="C1711" t="s">
        <v>8</v>
      </c>
      <c r="D1711" t="str">
        <f t="shared" ca="1" si="106"/>
        <v>Furniture</v>
      </c>
      <c r="E1711" t="s">
        <v>78</v>
      </c>
      <c r="F1711" s="11">
        <v>18002</v>
      </c>
      <c r="G1711">
        <f t="shared" ca="1" si="107"/>
        <v>4</v>
      </c>
      <c r="H1711" s="11">
        <f ca="1">IF(Table1[[#This Row],[Category]]="Electronics",Table1[[#This Row],[Sales]]*0.6,
IF(Table1[[#This Row],[Category]]="Furniture",Table1[[#This Row],[Sales]]*0.75,
IF(Table1[[#This Row],[Category]]="Clothing",Table1[[#This Row],[Sales]]*0.65,
Table1[[#This Row],[Sales]]*0.7)))</f>
        <v>13501.5</v>
      </c>
      <c r="I1711" s="11">
        <f ca="1">Table1[[#This Row],[Sales]]-H1711</f>
        <v>4500.5</v>
      </c>
      <c r="J1711" s="2">
        <f ca="1">Table1[[#This Row],[Profit]]/Table1[[#This Row],[Sales]]</f>
        <v>0.25</v>
      </c>
      <c r="K1711" t="str">
        <f ca="1">TEXT(Table1[[#This Row],[Order_Date]],"mmm")</f>
        <v>Apr</v>
      </c>
      <c r="L1711">
        <f ca="1">YEAR(Table1[[#This Row],[Order_Date]])</f>
        <v>2023</v>
      </c>
    </row>
    <row r="1712" spans="1:12" x14ac:dyDescent="0.3">
      <c r="A1712">
        <f t="shared" si="104"/>
        <v>1711</v>
      </c>
      <c r="B1712" s="1">
        <f t="shared" ca="1" si="105"/>
        <v>44932</v>
      </c>
      <c r="C1712" t="s">
        <v>9</v>
      </c>
      <c r="D1712" t="str">
        <f t="shared" ca="1" si="106"/>
        <v>Clothing</v>
      </c>
      <c r="E1712" t="s">
        <v>66</v>
      </c>
      <c r="F1712" s="11">
        <v>9188</v>
      </c>
      <c r="G1712">
        <f t="shared" ca="1" si="107"/>
        <v>8</v>
      </c>
      <c r="H1712" s="11">
        <f ca="1">IF(Table1[[#This Row],[Category]]="Electronics",Table1[[#This Row],[Sales]]*0.6,
IF(Table1[[#This Row],[Category]]="Furniture",Table1[[#This Row],[Sales]]*0.75,
IF(Table1[[#This Row],[Category]]="Clothing",Table1[[#This Row],[Sales]]*0.65,
Table1[[#This Row],[Sales]]*0.7)))</f>
        <v>5972.2</v>
      </c>
      <c r="I1712" s="11">
        <f ca="1">Table1[[#This Row],[Sales]]-H1712</f>
        <v>3215.8</v>
      </c>
      <c r="J1712" s="2">
        <f ca="1">Table1[[#This Row],[Profit]]/Table1[[#This Row],[Sales]]</f>
        <v>0.35000000000000003</v>
      </c>
      <c r="K1712" t="str">
        <f ca="1">TEXT(Table1[[#This Row],[Order_Date]],"mmm")</f>
        <v>Jan</v>
      </c>
      <c r="L1712">
        <f ca="1">YEAR(Table1[[#This Row],[Order_Date]])</f>
        <v>2023</v>
      </c>
    </row>
    <row r="1713" spans="1:12" x14ac:dyDescent="0.3">
      <c r="A1713">
        <f t="shared" si="104"/>
        <v>1712</v>
      </c>
      <c r="B1713" s="1">
        <f t="shared" ca="1" si="105"/>
        <v>45032</v>
      </c>
      <c r="C1713" t="s">
        <v>10</v>
      </c>
      <c r="D1713" t="str">
        <f t="shared" ca="1" si="106"/>
        <v>Electronics</v>
      </c>
      <c r="E1713" t="s">
        <v>53</v>
      </c>
      <c r="F1713" s="11">
        <v>7285</v>
      </c>
      <c r="G1713">
        <f t="shared" ca="1" si="107"/>
        <v>2</v>
      </c>
      <c r="H1713" s="11">
        <f ca="1">IF(Table1[[#This Row],[Category]]="Electronics",Table1[[#This Row],[Sales]]*0.6,
IF(Table1[[#This Row],[Category]]="Furniture",Table1[[#This Row],[Sales]]*0.75,
IF(Table1[[#This Row],[Category]]="Clothing",Table1[[#This Row],[Sales]]*0.65,
Table1[[#This Row],[Sales]]*0.7)))</f>
        <v>4371</v>
      </c>
      <c r="I1713" s="11">
        <f ca="1">Table1[[#This Row],[Sales]]-H1713</f>
        <v>2914</v>
      </c>
      <c r="J1713" s="2">
        <f ca="1">Table1[[#This Row],[Profit]]/Table1[[#This Row],[Sales]]</f>
        <v>0.4</v>
      </c>
      <c r="K1713" t="str">
        <f ca="1">TEXT(Table1[[#This Row],[Order_Date]],"mmm")</f>
        <v>Apr</v>
      </c>
      <c r="L1713">
        <f ca="1">YEAR(Table1[[#This Row],[Order_Date]])</f>
        <v>2023</v>
      </c>
    </row>
    <row r="1714" spans="1:12" x14ac:dyDescent="0.3">
      <c r="A1714">
        <f t="shared" si="104"/>
        <v>1713</v>
      </c>
      <c r="B1714" s="1">
        <f t="shared" ca="1" si="105"/>
        <v>45226</v>
      </c>
      <c r="C1714" t="s">
        <v>7</v>
      </c>
      <c r="D1714" t="str">
        <f t="shared" ca="1" si="106"/>
        <v>Electronics</v>
      </c>
      <c r="E1714" t="s">
        <v>60</v>
      </c>
      <c r="F1714" s="11">
        <v>7177</v>
      </c>
      <c r="G1714">
        <f t="shared" ca="1" si="107"/>
        <v>10</v>
      </c>
      <c r="H1714" s="11">
        <f ca="1">IF(Table1[[#This Row],[Category]]="Electronics",Table1[[#This Row],[Sales]]*0.6,
IF(Table1[[#This Row],[Category]]="Furniture",Table1[[#This Row],[Sales]]*0.75,
IF(Table1[[#This Row],[Category]]="Clothing",Table1[[#This Row],[Sales]]*0.65,
Table1[[#This Row],[Sales]]*0.7)))</f>
        <v>4306.2</v>
      </c>
      <c r="I1714" s="11">
        <f ca="1">Table1[[#This Row],[Sales]]-H1714</f>
        <v>2870.8</v>
      </c>
      <c r="J1714" s="2">
        <f ca="1">Table1[[#This Row],[Profit]]/Table1[[#This Row],[Sales]]</f>
        <v>0.4</v>
      </c>
      <c r="K1714" t="str">
        <f ca="1">TEXT(Table1[[#This Row],[Order_Date]],"mmm")</f>
        <v>Oct</v>
      </c>
      <c r="L1714">
        <f ca="1">YEAR(Table1[[#This Row],[Order_Date]])</f>
        <v>2023</v>
      </c>
    </row>
    <row r="1715" spans="1:12" x14ac:dyDescent="0.3">
      <c r="A1715">
        <f t="shared" si="104"/>
        <v>1714</v>
      </c>
      <c r="B1715" s="1">
        <f t="shared" ca="1" si="105"/>
        <v>45064</v>
      </c>
      <c r="C1715" t="s">
        <v>8</v>
      </c>
      <c r="D1715" t="str">
        <f t="shared" ca="1" si="106"/>
        <v>Office Supplies</v>
      </c>
      <c r="E1715" t="s">
        <v>80</v>
      </c>
      <c r="F1715" s="11">
        <v>7554</v>
      </c>
      <c r="G1715">
        <f t="shared" ca="1" si="107"/>
        <v>5</v>
      </c>
      <c r="H1715" s="11">
        <f ca="1">IF(Table1[[#This Row],[Category]]="Electronics",Table1[[#This Row],[Sales]]*0.6,
IF(Table1[[#This Row],[Category]]="Furniture",Table1[[#This Row],[Sales]]*0.75,
IF(Table1[[#This Row],[Category]]="Clothing",Table1[[#This Row],[Sales]]*0.65,
Table1[[#This Row],[Sales]]*0.7)))</f>
        <v>5287.7999999999993</v>
      </c>
      <c r="I1715" s="11">
        <f ca="1">Table1[[#This Row],[Sales]]-H1715</f>
        <v>2266.2000000000007</v>
      </c>
      <c r="J1715" s="2">
        <f ca="1">Table1[[#This Row],[Profit]]/Table1[[#This Row],[Sales]]</f>
        <v>0.3000000000000001</v>
      </c>
      <c r="K1715" t="str">
        <f ca="1">TEXT(Table1[[#This Row],[Order_Date]],"mmm")</f>
        <v>May</v>
      </c>
      <c r="L1715">
        <f ca="1">YEAR(Table1[[#This Row],[Order_Date]])</f>
        <v>2023</v>
      </c>
    </row>
    <row r="1716" spans="1:12" x14ac:dyDescent="0.3">
      <c r="A1716">
        <f t="shared" si="104"/>
        <v>1715</v>
      </c>
      <c r="B1716" s="1">
        <f t="shared" ca="1" si="105"/>
        <v>45004</v>
      </c>
      <c r="C1716" t="s">
        <v>9</v>
      </c>
      <c r="D1716" t="str">
        <f t="shared" ca="1" si="106"/>
        <v>Electronics</v>
      </c>
      <c r="E1716" t="s">
        <v>76</v>
      </c>
      <c r="F1716" s="11">
        <v>17936</v>
      </c>
      <c r="G1716">
        <f t="shared" ca="1" si="107"/>
        <v>6</v>
      </c>
      <c r="H1716" s="11">
        <f ca="1">IF(Table1[[#This Row],[Category]]="Electronics",Table1[[#This Row],[Sales]]*0.6,
IF(Table1[[#This Row],[Category]]="Furniture",Table1[[#This Row],[Sales]]*0.75,
IF(Table1[[#This Row],[Category]]="Clothing",Table1[[#This Row],[Sales]]*0.65,
Table1[[#This Row],[Sales]]*0.7)))</f>
        <v>10761.6</v>
      </c>
      <c r="I1716" s="11">
        <f ca="1">Table1[[#This Row],[Sales]]-H1716</f>
        <v>7174.4</v>
      </c>
      <c r="J1716" s="2">
        <f ca="1">Table1[[#This Row],[Profit]]/Table1[[#This Row],[Sales]]</f>
        <v>0.39999999999999997</v>
      </c>
      <c r="K1716" t="str">
        <f ca="1">TEXT(Table1[[#This Row],[Order_Date]],"mmm")</f>
        <v>Mar</v>
      </c>
      <c r="L1716">
        <f ca="1">YEAR(Table1[[#This Row],[Order_Date]])</f>
        <v>2023</v>
      </c>
    </row>
    <row r="1717" spans="1:12" x14ac:dyDescent="0.3">
      <c r="A1717">
        <f t="shared" si="104"/>
        <v>1716</v>
      </c>
      <c r="B1717" s="1">
        <f t="shared" ca="1" si="105"/>
        <v>44990</v>
      </c>
      <c r="C1717" t="s">
        <v>10</v>
      </c>
      <c r="D1717" t="str">
        <f t="shared" ca="1" si="106"/>
        <v>Office Supplies</v>
      </c>
      <c r="E1717" t="s">
        <v>66</v>
      </c>
      <c r="F1717" s="11">
        <v>19507</v>
      </c>
      <c r="G1717">
        <f t="shared" ca="1" si="107"/>
        <v>8</v>
      </c>
      <c r="H1717" s="11">
        <f ca="1">IF(Table1[[#This Row],[Category]]="Electronics",Table1[[#This Row],[Sales]]*0.6,
IF(Table1[[#This Row],[Category]]="Furniture",Table1[[#This Row],[Sales]]*0.75,
IF(Table1[[#This Row],[Category]]="Clothing",Table1[[#This Row],[Sales]]*0.65,
Table1[[#This Row],[Sales]]*0.7)))</f>
        <v>13654.9</v>
      </c>
      <c r="I1717" s="11">
        <f ca="1">Table1[[#This Row],[Sales]]-H1717</f>
        <v>5852.1</v>
      </c>
      <c r="J1717" s="2">
        <f ca="1">Table1[[#This Row],[Profit]]/Table1[[#This Row],[Sales]]</f>
        <v>0.30000000000000004</v>
      </c>
      <c r="K1717" t="str">
        <f ca="1">TEXT(Table1[[#This Row],[Order_Date]],"mmm")</f>
        <v>Mar</v>
      </c>
      <c r="L1717">
        <f ca="1">YEAR(Table1[[#This Row],[Order_Date]])</f>
        <v>2023</v>
      </c>
    </row>
    <row r="1718" spans="1:12" x14ac:dyDescent="0.3">
      <c r="A1718">
        <f t="shared" si="104"/>
        <v>1717</v>
      </c>
      <c r="B1718" s="1">
        <f t="shared" ca="1" si="105"/>
        <v>44932</v>
      </c>
      <c r="C1718" t="s">
        <v>7</v>
      </c>
      <c r="D1718" t="str">
        <f t="shared" ca="1" si="106"/>
        <v>Clothing</v>
      </c>
      <c r="E1718" t="s">
        <v>73</v>
      </c>
      <c r="F1718" s="11">
        <v>15745</v>
      </c>
      <c r="G1718">
        <f t="shared" ca="1" si="107"/>
        <v>3</v>
      </c>
      <c r="H1718" s="11">
        <f ca="1">IF(Table1[[#This Row],[Category]]="Electronics",Table1[[#This Row],[Sales]]*0.6,
IF(Table1[[#This Row],[Category]]="Furniture",Table1[[#This Row],[Sales]]*0.75,
IF(Table1[[#This Row],[Category]]="Clothing",Table1[[#This Row],[Sales]]*0.65,
Table1[[#This Row],[Sales]]*0.7)))</f>
        <v>10234.25</v>
      </c>
      <c r="I1718" s="11">
        <f ca="1">Table1[[#This Row],[Sales]]-H1718</f>
        <v>5510.75</v>
      </c>
      <c r="J1718" s="2">
        <f ca="1">Table1[[#This Row],[Profit]]/Table1[[#This Row],[Sales]]</f>
        <v>0.35</v>
      </c>
      <c r="K1718" t="str">
        <f ca="1">TEXT(Table1[[#This Row],[Order_Date]],"mmm")</f>
        <v>Jan</v>
      </c>
      <c r="L1718">
        <f ca="1">YEAR(Table1[[#This Row],[Order_Date]])</f>
        <v>2023</v>
      </c>
    </row>
    <row r="1719" spans="1:12" x14ac:dyDescent="0.3">
      <c r="A1719">
        <f t="shared" si="104"/>
        <v>1718</v>
      </c>
      <c r="B1719" s="1">
        <f t="shared" ca="1" si="105"/>
        <v>45195</v>
      </c>
      <c r="C1719" t="s">
        <v>8</v>
      </c>
      <c r="D1719" t="str">
        <f t="shared" ca="1" si="106"/>
        <v>Clothing</v>
      </c>
      <c r="E1719" t="s">
        <v>41</v>
      </c>
      <c r="F1719" s="11">
        <v>17693</v>
      </c>
      <c r="G1719">
        <f t="shared" ca="1" si="107"/>
        <v>5</v>
      </c>
      <c r="H1719" s="11">
        <f ca="1">IF(Table1[[#This Row],[Category]]="Electronics",Table1[[#This Row],[Sales]]*0.6,
IF(Table1[[#This Row],[Category]]="Furniture",Table1[[#This Row],[Sales]]*0.75,
IF(Table1[[#This Row],[Category]]="Clothing",Table1[[#This Row],[Sales]]*0.65,
Table1[[#This Row],[Sales]]*0.7)))</f>
        <v>11500.45</v>
      </c>
      <c r="I1719" s="11">
        <f ca="1">Table1[[#This Row],[Sales]]-H1719</f>
        <v>6192.5499999999993</v>
      </c>
      <c r="J1719" s="2">
        <f ca="1">Table1[[#This Row],[Profit]]/Table1[[#This Row],[Sales]]</f>
        <v>0.35</v>
      </c>
      <c r="K1719" t="str">
        <f ca="1">TEXT(Table1[[#This Row],[Order_Date]],"mmm")</f>
        <v>Sep</v>
      </c>
      <c r="L1719">
        <f ca="1">YEAR(Table1[[#This Row],[Order_Date]])</f>
        <v>2023</v>
      </c>
    </row>
    <row r="1720" spans="1:12" x14ac:dyDescent="0.3">
      <c r="A1720">
        <f t="shared" si="104"/>
        <v>1719</v>
      </c>
      <c r="B1720" s="1">
        <f t="shared" ca="1" si="105"/>
        <v>45050</v>
      </c>
      <c r="C1720" t="s">
        <v>9</v>
      </c>
      <c r="D1720" t="str">
        <f t="shared" ca="1" si="106"/>
        <v>Furniture</v>
      </c>
      <c r="E1720" t="s">
        <v>71</v>
      </c>
      <c r="F1720" s="11">
        <v>5714</v>
      </c>
      <c r="G1720">
        <f t="shared" ca="1" si="107"/>
        <v>8</v>
      </c>
      <c r="H1720" s="11">
        <f ca="1">IF(Table1[[#This Row],[Category]]="Electronics",Table1[[#This Row],[Sales]]*0.6,
IF(Table1[[#This Row],[Category]]="Furniture",Table1[[#This Row],[Sales]]*0.75,
IF(Table1[[#This Row],[Category]]="Clothing",Table1[[#This Row],[Sales]]*0.65,
Table1[[#This Row],[Sales]]*0.7)))</f>
        <v>4285.5</v>
      </c>
      <c r="I1720" s="11">
        <f ca="1">Table1[[#This Row],[Sales]]-H1720</f>
        <v>1428.5</v>
      </c>
      <c r="J1720" s="2">
        <f ca="1">Table1[[#This Row],[Profit]]/Table1[[#This Row],[Sales]]</f>
        <v>0.25</v>
      </c>
      <c r="K1720" t="str">
        <f ca="1">TEXT(Table1[[#This Row],[Order_Date]],"mmm")</f>
        <v>May</v>
      </c>
      <c r="L1720">
        <f ca="1">YEAR(Table1[[#This Row],[Order_Date]])</f>
        <v>2023</v>
      </c>
    </row>
    <row r="1721" spans="1:12" x14ac:dyDescent="0.3">
      <c r="A1721">
        <f t="shared" si="104"/>
        <v>1720</v>
      </c>
      <c r="B1721" s="1">
        <f t="shared" ca="1" si="105"/>
        <v>45065</v>
      </c>
      <c r="C1721" t="s">
        <v>10</v>
      </c>
      <c r="D1721" t="str">
        <f t="shared" ca="1" si="106"/>
        <v>Office Supplies</v>
      </c>
      <c r="E1721" t="s">
        <v>40</v>
      </c>
      <c r="F1721" s="11">
        <v>12902</v>
      </c>
      <c r="G1721">
        <f t="shared" ca="1" si="107"/>
        <v>3</v>
      </c>
      <c r="H1721" s="11">
        <f ca="1">IF(Table1[[#This Row],[Category]]="Electronics",Table1[[#This Row],[Sales]]*0.6,
IF(Table1[[#This Row],[Category]]="Furniture",Table1[[#This Row],[Sales]]*0.75,
IF(Table1[[#This Row],[Category]]="Clothing",Table1[[#This Row],[Sales]]*0.65,
Table1[[#This Row],[Sales]]*0.7)))</f>
        <v>9031.4</v>
      </c>
      <c r="I1721" s="11">
        <f ca="1">Table1[[#This Row],[Sales]]-H1721</f>
        <v>3870.6000000000004</v>
      </c>
      <c r="J1721" s="2">
        <f ca="1">Table1[[#This Row],[Profit]]/Table1[[#This Row],[Sales]]</f>
        <v>0.30000000000000004</v>
      </c>
      <c r="K1721" t="str">
        <f ca="1">TEXT(Table1[[#This Row],[Order_Date]],"mmm")</f>
        <v>May</v>
      </c>
      <c r="L1721">
        <f ca="1">YEAR(Table1[[#This Row],[Order_Date]])</f>
        <v>2023</v>
      </c>
    </row>
    <row r="1722" spans="1:12" x14ac:dyDescent="0.3">
      <c r="A1722">
        <f t="shared" si="104"/>
        <v>1721</v>
      </c>
      <c r="B1722" s="1">
        <f t="shared" ca="1" si="105"/>
        <v>45174</v>
      </c>
      <c r="C1722" t="s">
        <v>7</v>
      </c>
      <c r="D1722" t="str">
        <f t="shared" ca="1" si="106"/>
        <v>Furniture</v>
      </c>
      <c r="E1722" t="s">
        <v>78</v>
      </c>
      <c r="F1722" s="11">
        <v>12932</v>
      </c>
      <c r="G1722">
        <f t="shared" ca="1" si="107"/>
        <v>4</v>
      </c>
      <c r="H1722" s="11">
        <f ca="1">IF(Table1[[#This Row],[Category]]="Electronics",Table1[[#This Row],[Sales]]*0.6,
IF(Table1[[#This Row],[Category]]="Furniture",Table1[[#This Row],[Sales]]*0.75,
IF(Table1[[#This Row],[Category]]="Clothing",Table1[[#This Row],[Sales]]*0.65,
Table1[[#This Row],[Sales]]*0.7)))</f>
        <v>9699</v>
      </c>
      <c r="I1722" s="11">
        <f ca="1">Table1[[#This Row],[Sales]]-H1722</f>
        <v>3233</v>
      </c>
      <c r="J1722" s="2">
        <f ca="1">Table1[[#This Row],[Profit]]/Table1[[#This Row],[Sales]]</f>
        <v>0.25</v>
      </c>
      <c r="K1722" t="str">
        <f ca="1">TEXT(Table1[[#This Row],[Order_Date]],"mmm")</f>
        <v>Sep</v>
      </c>
      <c r="L1722">
        <f ca="1">YEAR(Table1[[#This Row],[Order_Date]])</f>
        <v>2023</v>
      </c>
    </row>
    <row r="1723" spans="1:12" x14ac:dyDescent="0.3">
      <c r="A1723">
        <f t="shared" si="104"/>
        <v>1722</v>
      </c>
      <c r="B1723" s="1">
        <f t="shared" ca="1" si="105"/>
        <v>45201</v>
      </c>
      <c r="C1723" t="s">
        <v>8</v>
      </c>
      <c r="D1723" t="str">
        <f t="shared" ca="1" si="106"/>
        <v>Clothing</v>
      </c>
      <c r="E1723" t="s">
        <v>51</v>
      </c>
      <c r="F1723" s="11">
        <v>3997</v>
      </c>
      <c r="G1723">
        <f t="shared" ca="1" si="107"/>
        <v>7</v>
      </c>
      <c r="H1723" s="11">
        <f ca="1">IF(Table1[[#This Row],[Category]]="Electronics",Table1[[#This Row],[Sales]]*0.6,
IF(Table1[[#This Row],[Category]]="Furniture",Table1[[#This Row],[Sales]]*0.75,
IF(Table1[[#This Row],[Category]]="Clothing",Table1[[#This Row],[Sales]]*0.65,
Table1[[#This Row],[Sales]]*0.7)))</f>
        <v>2598.0500000000002</v>
      </c>
      <c r="I1723" s="11">
        <f ca="1">Table1[[#This Row],[Sales]]-H1723</f>
        <v>1398.9499999999998</v>
      </c>
      <c r="J1723" s="2">
        <f ca="1">Table1[[#This Row],[Profit]]/Table1[[#This Row],[Sales]]</f>
        <v>0.35</v>
      </c>
      <c r="K1723" t="str">
        <f ca="1">TEXT(Table1[[#This Row],[Order_Date]],"mmm")</f>
        <v>Oct</v>
      </c>
      <c r="L1723">
        <f ca="1">YEAR(Table1[[#This Row],[Order_Date]])</f>
        <v>2023</v>
      </c>
    </row>
    <row r="1724" spans="1:12" x14ac:dyDescent="0.3">
      <c r="A1724">
        <f t="shared" si="104"/>
        <v>1723</v>
      </c>
      <c r="B1724" s="1">
        <f t="shared" ca="1" si="105"/>
        <v>45017</v>
      </c>
      <c r="C1724" t="s">
        <v>9</v>
      </c>
      <c r="D1724" t="str">
        <f t="shared" ca="1" si="106"/>
        <v>Clothing</v>
      </c>
      <c r="E1724" t="s">
        <v>42</v>
      </c>
      <c r="F1724" s="11">
        <v>18048</v>
      </c>
      <c r="G1724">
        <f t="shared" ca="1" si="107"/>
        <v>3</v>
      </c>
      <c r="H1724" s="11">
        <f ca="1">IF(Table1[[#This Row],[Category]]="Electronics",Table1[[#This Row],[Sales]]*0.6,
IF(Table1[[#This Row],[Category]]="Furniture",Table1[[#This Row],[Sales]]*0.75,
IF(Table1[[#This Row],[Category]]="Clothing",Table1[[#This Row],[Sales]]*0.65,
Table1[[#This Row],[Sales]]*0.7)))</f>
        <v>11731.2</v>
      </c>
      <c r="I1724" s="11">
        <f ca="1">Table1[[#This Row],[Sales]]-H1724</f>
        <v>6316.7999999999993</v>
      </c>
      <c r="J1724" s="2">
        <f ca="1">Table1[[#This Row],[Profit]]/Table1[[#This Row],[Sales]]</f>
        <v>0.35</v>
      </c>
      <c r="K1724" t="str">
        <f ca="1">TEXT(Table1[[#This Row],[Order_Date]],"mmm")</f>
        <v>Apr</v>
      </c>
      <c r="L1724">
        <f ca="1">YEAR(Table1[[#This Row],[Order_Date]])</f>
        <v>2023</v>
      </c>
    </row>
    <row r="1725" spans="1:12" x14ac:dyDescent="0.3">
      <c r="A1725">
        <f t="shared" si="104"/>
        <v>1724</v>
      </c>
      <c r="B1725" s="1">
        <f t="shared" ca="1" si="105"/>
        <v>45047</v>
      </c>
      <c r="C1725" t="s">
        <v>10</v>
      </c>
      <c r="D1725" t="str">
        <f t="shared" ca="1" si="106"/>
        <v>Furniture</v>
      </c>
      <c r="E1725" t="s">
        <v>69</v>
      </c>
      <c r="F1725" s="11">
        <v>8690</v>
      </c>
      <c r="G1725">
        <f t="shared" ca="1" si="107"/>
        <v>7</v>
      </c>
      <c r="H1725" s="11">
        <f ca="1">IF(Table1[[#This Row],[Category]]="Electronics",Table1[[#This Row],[Sales]]*0.6,
IF(Table1[[#This Row],[Category]]="Furniture",Table1[[#This Row],[Sales]]*0.75,
IF(Table1[[#This Row],[Category]]="Clothing",Table1[[#This Row],[Sales]]*0.65,
Table1[[#This Row],[Sales]]*0.7)))</f>
        <v>6517.5</v>
      </c>
      <c r="I1725" s="11">
        <f ca="1">Table1[[#This Row],[Sales]]-H1725</f>
        <v>2172.5</v>
      </c>
      <c r="J1725" s="2">
        <f ca="1">Table1[[#This Row],[Profit]]/Table1[[#This Row],[Sales]]</f>
        <v>0.25</v>
      </c>
      <c r="K1725" t="str">
        <f ca="1">TEXT(Table1[[#This Row],[Order_Date]],"mmm")</f>
        <v>May</v>
      </c>
      <c r="L1725">
        <f ca="1">YEAR(Table1[[#This Row],[Order_Date]])</f>
        <v>2023</v>
      </c>
    </row>
    <row r="1726" spans="1:12" x14ac:dyDescent="0.3">
      <c r="A1726">
        <f t="shared" si="104"/>
        <v>1725</v>
      </c>
      <c r="B1726" s="1">
        <f t="shared" ca="1" si="105"/>
        <v>45150</v>
      </c>
      <c r="C1726" t="s">
        <v>7</v>
      </c>
      <c r="D1726" t="str">
        <f t="shared" ca="1" si="106"/>
        <v>Office Supplies</v>
      </c>
      <c r="E1726" t="s">
        <v>45</v>
      </c>
      <c r="F1726" s="11">
        <v>14740</v>
      </c>
      <c r="G1726">
        <f t="shared" ca="1" si="107"/>
        <v>1</v>
      </c>
      <c r="H1726" s="11">
        <f ca="1">IF(Table1[[#This Row],[Category]]="Electronics",Table1[[#This Row],[Sales]]*0.6,
IF(Table1[[#This Row],[Category]]="Furniture",Table1[[#This Row],[Sales]]*0.75,
IF(Table1[[#This Row],[Category]]="Clothing",Table1[[#This Row],[Sales]]*0.65,
Table1[[#This Row],[Sales]]*0.7)))</f>
        <v>10318</v>
      </c>
      <c r="I1726" s="11">
        <f ca="1">Table1[[#This Row],[Sales]]-H1726</f>
        <v>4422</v>
      </c>
      <c r="J1726" s="2">
        <f ca="1">Table1[[#This Row],[Profit]]/Table1[[#This Row],[Sales]]</f>
        <v>0.3</v>
      </c>
      <c r="K1726" t="str">
        <f ca="1">TEXT(Table1[[#This Row],[Order_Date]],"mmm")</f>
        <v>Aug</v>
      </c>
      <c r="L1726">
        <f ca="1">YEAR(Table1[[#This Row],[Order_Date]])</f>
        <v>2023</v>
      </c>
    </row>
    <row r="1727" spans="1:12" x14ac:dyDescent="0.3">
      <c r="A1727">
        <f t="shared" si="104"/>
        <v>1726</v>
      </c>
      <c r="B1727" s="1">
        <f t="shared" ca="1" si="105"/>
        <v>45079</v>
      </c>
      <c r="C1727" t="s">
        <v>8</v>
      </c>
      <c r="D1727" t="str">
        <f t="shared" ca="1" si="106"/>
        <v>Clothing</v>
      </c>
      <c r="E1727" t="s">
        <v>44</v>
      </c>
      <c r="F1727" s="11">
        <v>640</v>
      </c>
      <c r="G1727">
        <f t="shared" ca="1" si="107"/>
        <v>4</v>
      </c>
      <c r="H1727" s="11">
        <f ca="1">IF(Table1[[#This Row],[Category]]="Electronics",Table1[[#This Row],[Sales]]*0.6,
IF(Table1[[#This Row],[Category]]="Furniture",Table1[[#This Row],[Sales]]*0.75,
IF(Table1[[#This Row],[Category]]="Clothing",Table1[[#This Row],[Sales]]*0.65,
Table1[[#This Row],[Sales]]*0.7)))</f>
        <v>416</v>
      </c>
      <c r="I1727" s="11">
        <f ca="1">Table1[[#This Row],[Sales]]-H1727</f>
        <v>224</v>
      </c>
      <c r="J1727" s="2">
        <f ca="1">Table1[[#This Row],[Profit]]/Table1[[#This Row],[Sales]]</f>
        <v>0.35</v>
      </c>
      <c r="K1727" t="str">
        <f ca="1">TEXT(Table1[[#This Row],[Order_Date]],"mmm")</f>
        <v>Jun</v>
      </c>
      <c r="L1727">
        <f ca="1">YEAR(Table1[[#This Row],[Order_Date]])</f>
        <v>2023</v>
      </c>
    </row>
    <row r="1728" spans="1:12" x14ac:dyDescent="0.3">
      <c r="A1728">
        <f t="shared" si="104"/>
        <v>1727</v>
      </c>
      <c r="B1728" s="1">
        <f t="shared" ca="1" si="105"/>
        <v>45104</v>
      </c>
      <c r="C1728" t="s">
        <v>9</v>
      </c>
      <c r="D1728" t="str">
        <f t="shared" ca="1" si="106"/>
        <v>Office Supplies</v>
      </c>
      <c r="E1728" t="s">
        <v>63</v>
      </c>
      <c r="F1728" s="11">
        <v>6955</v>
      </c>
      <c r="G1728">
        <f t="shared" ca="1" si="107"/>
        <v>4</v>
      </c>
      <c r="H1728" s="11">
        <f ca="1">IF(Table1[[#This Row],[Category]]="Electronics",Table1[[#This Row],[Sales]]*0.6,
IF(Table1[[#This Row],[Category]]="Furniture",Table1[[#This Row],[Sales]]*0.75,
IF(Table1[[#This Row],[Category]]="Clothing",Table1[[#This Row],[Sales]]*0.65,
Table1[[#This Row],[Sales]]*0.7)))</f>
        <v>4868.5</v>
      </c>
      <c r="I1728" s="11">
        <f ca="1">Table1[[#This Row],[Sales]]-H1728</f>
        <v>2086.5</v>
      </c>
      <c r="J1728" s="2">
        <f ca="1">Table1[[#This Row],[Profit]]/Table1[[#This Row],[Sales]]</f>
        <v>0.3</v>
      </c>
      <c r="K1728" t="str">
        <f ca="1">TEXT(Table1[[#This Row],[Order_Date]],"mmm")</f>
        <v>Jun</v>
      </c>
      <c r="L1728">
        <f ca="1">YEAR(Table1[[#This Row],[Order_Date]])</f>
        <v>2023</v>
      </c>
    </row>
    <row r="1729" spans="1:12" x14ac:dyDescent="0.3">
      <c r="A1729">
        <f t="shared" si="104"/>
        <v>1728</v>
      </c>
      <c r="B1729" s="1">
        <f t="shared" ca="1" si="105"/>
        <v>44961</v>
      </c>
      <c r="C1729" t="s">
        <v>10</v>
      </c>
      <c r="D1729" t="str">
        <f t="shared" ca="1" si="106"/>
        <v>Clothing</v>
      </c>
      <c r="E1729" t="s">
        <v>78</v>
      </c>
      <c r="F1729" s="11">
        <v>3680</v>
      </c>
      <c r="G1729">
        <f t="shared" ca="1" si="107"/>
        <v>3</v>
      </c>
      <c r="H1729" s="11">
        <f ca="1">IF(Table1[[#This Row],[Category]]="Electronics",Table1[[#This Row],[Sales]]*0.6,
IF(Table1[[#This Row],[Category]]="Furniture",Table1[[#This Row],[Sales]]*0.75,
IF(Table1[[#This Row],[Category]]="Clothing",Table1[[#This Row],[Sales]]*0.65,
Table1[[#This Row],[Sales]]*0.7)))</f>
        <v>2392</v>
      </c>
      <c r="I1729" s="11">
        <f ca="1">Table1[[#This Row],[Sales]]-H1729</f>
        <v>1288</v>
      </c>
      <c r="J1729" s="2">
        <f ca="1">Table1[[#This Row],[Profit]]/Table1[[#This Row],[Sales]]</f>
        <v>0.35</v>
      </c>
      <c r="K1729" t="str">
        <f ca="1">TEXT(Table1[[#This Row],[Order_Date]],"mmm")</f>
        <v>Feb</v>
      </c>
      <c r="L1729">
        <f ca="1">YEAR(Table1[[#This Row],[Order_Date]])</f>
        <v>2023</v>
      </c>
    </row>
    <row r="1730" spans="1:12" x14ac:dyDescent="0.3">
      <c r="A1730">
        <f t="shared" si="104"/>
        <v>1729</v>
      </c>
      <c r="B1730" s="1">
        <f t="shared" ca="1" si="105"/>
        <v>45108</v>
      </c>
      <c r="C1730" t="s">
        <v>7</v>
      </c>
      <c r="D1730" t="str">
        <f t="shared" ca="1" si="106"/>
        <v>Clothing</v>
      </c>
      <c r="E1730" t="s">
        <v>84</v>
      </c>
      <c r="F1730" s="11">
        <v>2319</v>
      </c>
      <c r="G1730">
        <f t="shared" ca="1" si="107"/>
        <v>4</v>
      </c>
      <c r="H1730" s="11">
        <f ca="1">IF(Table1[[#This Row],[Category]]="Electronics",Table1[[#This Row],[Sales]]*0.6,
IF(Table1[[#This Row],[Category]]="Furniture",Table1[[#This Row],[Sales]]*0.75,
IF(Table1[[#This Row],[Category]]="Clothing",Table1[[#This Row],[Sales]]*0.65,
Table1[[#This Row],[Sales]]*0.7)))</f>
        <v>1507.3500000000001</v>
      </c>
      <c r="I1730" s="11">
        <f ca="1">Table1[[#This Row],[Sales]]-H1730</f>
        <v>811.64999999999986</v>
      </c>
      <c r="J1730" s="2">
        <f ca="1">Table1[[#This Row],[Profit]]/Table1[[#This Row],[Sales]]</f>
        <v>0.34999999999999992</v>
      </c>
      <c r="K1730" t="str">
        <f ca="1">TEXT(Table1[[#This Row],[Order_Date]],"mmm")</f>
        <v>Jul</v>
      </c>
      <c r="L1730">
        <f ca="1">YEAR(Table1[[#This Row],[Order_Date]])</f>
        <v>2023</v>
      </c>
    </row>
    <row r="1731" spans="1:12" x14ac:dyDescent="0.3">
      <c r="A1731">
        <f t="shared" ref="A1731:A1794" si="108">ROW()-1</f>
        <v>1730</v>
      </c>
      <c r="B1731" s="1">
        <f t="shared" ref="B1731:B1794" ca="1" si="109">DATE(2023, RANDBETWEEN(1,12), RANDBETWEEN(1,28))</f>
        <v>44973</v>
      </c>
      <c r="C1731" t="s">
        <v>8</v>
      </c>
      <c r="D1731" t="str">
        <f t="shared" ref="D1731:D1794" ca="1" si="110">CHOOSE(RANDBETWEEN(1,4),"Electronics","Furniture","Clothing","Office Supplies")</f>
        <v>Clothing</v>
      </c>
      <c r="E1731" t="s">
        <v>62</v>
      </c>
      <c r="F1731" s="11">
        <v>11578</v>
      </c>
      <c r="G1731">
        <f t="shared" ref="G1731:G1794" ca="1" si="111">RANDBETWEEN(1,10)</f>
        <v>4</v>
      </c>
      <c r="H1731" s="11">
        <f ca="1">IF(Table1[[#This Row],[Category]]="Electronics",Table1[[#This Row],[Sales]]*0.6,
IF(Table1[[#This Row],[Category]]="Furniture",Table1[[#This Row],[Sales]]*0.75,
IF(Table1[[#This Row],[Category]]="Clothing",Table1[[#This Row],[Sales]]*0.65,
Table1[[#This Row],[Sales]]*0.7)))</f>
        <v>7525.7</v>
      </c>
      <c r="I1731" s="11">
        <f ca="1">Table1[[#This Row],[Sales]]-H1731</f>
        <v>4052.3</v>
      </c>
      <c r="J1731" s="2">
        <f ca="1">Table1[[#This Row],[Profit]]/Table1[[#This Row],[Sales]]</f>
        <v>0.35000000000000003</v>
      </c>
      <c r="K1731" t="str">
        <f ca="1">TEXT(Table1[[#This Row],[Order_Date]],"mmm")</f>
        <v>Feb</v>
      </c>
      <c r="L1731">
        <f ca="1">YEAR(Table1[[#This Row],[Order_Date]])</f>
        <v>2023</v>
      </c>
    </row>
    <row r="1732" spans="1:12" x14ac:dyDescent="0.3">
      <c r="A1732">
        <f t="shared" si="108"/>
        <v>1731</v>
      </c>
      <c r="B1732" s="1">
        <f t="shared" ca="1" si="109"/>
        <v>45065</v>
      </c>
      <c r="C1732" t="s">
        <v>9</v>
      </c>
      <c r="D1732" t="str">
        <f t="shared" ca="1" si="110"/>
        <v>Electronics</v>
      </c>
      <c r="E1732" t="s">
        <v>61</v>
      </c>
      <c r="F1732" s="11">
        <v>4309</v>
      </c>
      <c r="G1732">
        <f t="shared" ca="1" si="111"/>
        <v>4</v>
      </c>
      <c r="H1732" s="11">
        <f ca="1">IF(Table1[[#This Row],[Category]]="Electronics",Table1[[#This Row],[Sales]]*0.6,
IF(Table1[[#This Row],[Category]]="Furniture",Table1[[#This Row],[Sales]]*0.75,
IF(Table1[[#This Row],[Category]]="Clothing",Table1[[#This Row],[Sales]]*0.65,
Table1[[#This Row],[Sales]]*0.7)))</f>
        <v>2585.4</v>
      </c>
      <c r="I1732" s="11">
        <f ca="1">Table1[[#This Row],[Sales]]-H1732</f>
        <v>1723.6</v>
      </c>
      <c r="J1732" s="2">
        <f ca="1">Table1[[#This Row],[Profit]]/Table1[[#This Row],[Sales]]</f>
        <v>0.39999999999999997</v>
      </c>
      <c r="K1732" t="str">
        <f ca="1">TEXT(Table1[[#This Row],[Order_Date]],"mmm")</f>
        <v>May</v>
      </c>
      <c r="L1732">
        <f ca="1">YEAR(Table1[[#This Row],[Order_Date]])</f>
        <v>2023</v>
      </c>
    </row>
    <row r="1733" spans="1:12" x14ac:dyDescent="0.3">
      <c r="A1733">
        <f t="shared" si="108"/>
        <v>1732</v>
      </c>
      <c r="B1733" s="1">
        <f t="shared" ca="1" si="109"/>
        <v>45036</v>
      </c>
      <c r="C1733" t="s">
        <v>10</v>
      </c>
      <c r="D1733" t="str">
        <f t="shared" ca="1" si="110"/>
        <v>Electronics</v>
      </c>
      <c r="E1733" t="s">
        <v>67</v>
      </c>
      <c r="F1733" s="11">
        <v>5916</v>
      </c>
      <c r="G1733">
        <f t="shared" ca="1" si="111"/>
        <v>1</v>
      </c>
      <c r="H1733" s="11">
        <f ca="1">IF(Table1[[#This Row],[Category]]="Electronics",Table1[[#This Row],[Sales]]*0.6,
IF(Table1[[#This Row],[Category]]="Furniture",Table1[[#This Row],[Sales]]*0.75,
IF(Table1[[#This Row],[Category]]="Clothing",Table1[[#This Row],[Sales]]*0.65,
Table1[[#This Row],[Sales]]*0.7)))</f>
        <v>3549.6</v>
      </c>
      <c r="I1733" s="11">
        <f ca="1">Table1[[#This Row],[Sales]]-H1733</f>
        <v>2366.4</v>
      </c>
      <c r="J1733" s="2">
        <f ca="1">Table1[[#This Row],[Profit]]/Table1[[#This Row],[Sales]]</f>
        <v>0.4</v>
      </c>
      <c r="K1733" t="str">
        <f ca="1">TEXT(Table1[[#This Row],[Order_Date]],"mmm")</f>
        <v>Apr</v>
      </c>
      <c r="L1733">
        <f ca="1">YEAR(Table1[[#This Row],[Order_Date]])</f>
        <v>2023</v>
      </c>
    </row>
    <row r="1734" spans="1:12" x14ac:dyDescent="0.3">
      <c r="A1734">
        <f t="shared" si="108"/>
        <v>1733</v>
      </c>
      <c r="B1734" s="1">
        <f t="shared" ca="1" si="109"/>
        <v>45155</v>
      </c>
      <c r="C1734" t="s">
        <v>7</v>
      </c>
      <c r="D1734" t="str">
        <f t="shared" ca="1" si="110"/>
        <v>Office Supplies</v>
      </c>
      <c r="E1734" t="s">
        <v>45</v>
      </c>
      <c r="F1734" s="11">
        <v>17957</v>
      </c>
      <c r="G1734">
        <f t="shared" ca="1" si="111"/>
        <v>4</v>
      </c>
      <c r="H1734" s="11">
        <f ca="1">IF(Table1[[#This Row],[Category]]="Electronics",Table1[[#This Row],[Sales]]*0.6,
IF(Table1[[#This Row],[Category]]="Furniture",Table1[[#This Row],[Sales]]*0.75,
IF(Table1[[#This Row],[Category]]="Clothing",Table1[[#This Row],[Sales]]*0.65,
Table1[[#This Row],[Sales]]*0.7)))</f>
        <v>12569.9</v>
      </c>
      <c r="I1734" s="11">
        <f ca="1">Table1[[#This Row],[Sales]]-H1734</f>
        <v>5387.1</v>
      </c>
      <c r="J1734" s="2">
        <f ca="1">Table1[[#This Row],[Profit]]/Table1[[#This Row],[Sales]]</f>
        <v>0.30000000000000004</v>
      </c>
      <c r="K1734" t="str">
        <f ca="1">TEXT(Table1[[#This Row],[Order_Date]],"mmm")</f>
        <v>Aug</v>
      </c>
      <c r="L1734">
        <f ca="1">YEAR(Table1[[#This Row],[Order_Date]])</f>
        <v>2023</v>
      </c>
    </row>
    <row r="1735" spans="1:12" x14ac:dyDescent="0.3">
      <c r="A1735">
        <f t="shared" si="108"/>
        <v>1734</v>
      </c>
      <c r="B1735" s="1">
        <f t="shared" ca="1" si="109"/>
        <v>45197</v>
      </c>
      <c r="C1735" t="s">
        <v>8</v>
      </c>
      <c r="D1735" t="str">
        <f t="shared" ca="1" si="110"/>
        <v>Clothing</v>
      </c>
      <c r="E1735" t="s">
        <v>66</v>
      </c>
      <c r="F1735" s="11">
        <v>3061</v>
      </c>
      <c r="G1735">
        <f t="shared" ca="1" si="111"/>
        <v>10</v>
      </c>
      <c r="H1735" s="11">
        <f ca="1">IF(Table1[[#This Row],[Category]]="Electronics",Table1[[#This Row],[Sales]]*0.6,
IF(Table1[[#This Row],[Category]]="Furniture",Table1[[#This Row],[Sales]]*0.75,
IF(Table1[[#This Row],[Category]]="Clothing",Table1[[#This Row],[Sales]]*0.65,
Table1[[#This Row],[Sales]]*0.7)))</f>
        <v>1989.65</v>
      </c>
      <c r="I1735" s="11">
        <f ca="1">Table1[[#This Row],[Sales]]-H1735</f>
        <v>1071.3499999999999</v>
      </c>
      <c r="J1735" s="2">
        <f ca="1">Table1[[#This Row],[Profit]]/Table1[[#This Row],[Sales]]</f>
        <v>0.35</v>
      </c>
      <c r="K1735" t="str">
        <f ca="1">TEXT(Table1[[#This Row],[Order_Date]],"mmm")</f>
        <v>Sep</v>
      </c>
      <c r="L1735">
        <f ca="1">YEAR(Table1[[#This Row],[Order_Date]])</f>
        <v>2023</v>
      </c>
    </row>
    <row r="1736" spans="1:12" x14ac:dyDescent="0.3">
      <c r="A1736">
        <f t="shared" si="108"/>
        <v>1735</v>
      </c>
      <c r="B1736" s="1">
        <f t="shared" ca="1" si="109"/>
        <v>45175</v>
      </c>
      <c r="C1736" t="s">
        <v>9</v>
      </c>
      <c r="D1736" t="str">
        <f t="shared" ca="1" si="110"/>
        <v>Clothing</v>
      </c>
      <c r="E1736" t="s">
        <v>52</v>
      </c>
      <c r="F1736" s="11">
        <v>13262</v>
      </c>
      <c r="G1736">
        <f t="shared" ca="1" si="111"/>
        <v>8</v>
      </c>
      <c r="H1736" s="11">
        <f ca="1">IF(Table1[[#This Row],[Category]]="Electronics",Table1[[#This Row],[Sales]]*0.6,
IF(Table1[[#This Row],[Category]]="Furniture",Table1[[#This Row],[Sales]]*0.75,
IF(Table1[[#This Row],[Category]]="Clothing",Table1[[#This Row],[Sales]]*0.65,
Table1[[#This Row],[Sales]]*0.7)))</f>
        <v>8620.3000000000011</v>
      </c>
      <c r="I1736" s="11">
        <f ca="1">Table1[[#This Row],[Sales]]-H1736</f>
        <v>4641.6999999999989</v>
      </c>
      <c r="J1736" s="2">
        <f ca="1">Table1[[#This Row],[Profit]]/Table1[[#This Row],[Sales]]</f>
        <v>0.34999999999999992</v>
      </c>
      <c r="K1736" t="str">
        <f ca="1">TEXT(Table1[[#This Row],[Order_Date]],"mmm")</f>
        <v>Sep</v>
      </c>
      <c r="L1736">
        <f ca="1">YEAR(Table1[[#This Row],[Order_Date]])</f>
        <v>2023</v>
      </c>
    </row>
    <row r="1737" spans="1:12" x14ac:dyDescent="0.3">
      <c r="A1737">
        <f t="shared" si="108"/>
        <v>1736</v>
      </c>
      <c r="B1737" s="1">
        <f t="shared" ca="1" si="109"/>
        <v>45073</v>
      </c>
      <c r="C1737" t="s">
        <v>10</v>
      </c>
      <c r="D1737" t="str">
        <f t="shared" ca="1" si="110"/>
        <v>Clothing</v>
      </c>
      <c r="E1737" t="s">
        <v>48</v>
      </c>
      <c r="F1737" s="11">
        <v>4513</v>
      </c>
      <c r="G1737">
        <f t="shared" ca="1" si="111"/>
        <v>1</v>
      </c>
      <c r="H1737" s="11">
        <f ca="1">IF(Table1[[#This Row],[Category]]="Electronics",Table1[[#This Row],[Sales]]*0.6,
IF(Table1[[#This Row],[Category]]="Furniture",Table1[[#This Row],[Sales]]*0.75,
IF(Table1[[#This Row],[Category]]="Clothing",Table1[[#This Row],[Sales]]*0.65,
Table1[[#This Row],[Sales]]*0.7)))</f>
        <v>2933.4500000000003</v>
      </c>
      <c r="I1737" s="11">
        <f ca="1">Table1[[#This Row],[Sales]]-H1737</f>
        <v>1579.5499999999997</v>
      </c>
      <c r="J1737" s="2">
        <f ca="1">Table1[[#This Row],[Profit]]/Table1[[#This Row],[Sales]]</f>
        <v>0.34999999999999992</v>
      </c>
      <c r="K1737" t="str">
        <f ca="1">TEXT(Table1[[#This Row],[Order_Date]],"mmm")</f>
        <v>May</v>
      </c>
      <c r="L1737">
        <f ca="1">YEAR(Table1[[#This Row],[Order_Date]])</f>
        <v>2023</v>
      </c>
    </row>
    <row r="1738" spans="1:12" x14ac:dyDescent="0.3">
      <c r="A1738">
        <f t="shared" si="108"/>
        <v>1737</v>
      </c>
      <c r="B1738" s="1">
        <f t="shared" ca="1" si="109"/>
        <v>45114</v>
      </c>
      <c r="C1738" t="s">
        <v>7</v>
      </c>
      <c r="D1738" t="str">
        <f t="shared" ca="1" si="110"/>
        <v>Furniture</v>
      </c>
      <c r="E1738" t="s">
        <v>65</v>
      </c>
      <c r="F1738" s="11">
        <v>18804</v>
      </c>
      <c r="G1738">
        <f t="shared" ca="1" si="111"/>
        <v>3</v>
      </c>
      <c r="H1738" s="11">
        <f ca="1">IF(Table1[[#This Row],[Category]]="Electronics",Table1[[#This Row],[Sales]]*0.6,
IF(Table1[[#This Row],[Category]]="Furniture",Table1[[#This Row],[Sales]]*0.75,
IF(Table1[[#This Row],[Category]]="Clothing",Table1[[#This Row],[Sales]]*0.65,
Table1[[#This Row],[Sales]]*0.7)))</f>
        <v>14103</v>
      </c>
      <c r="I1738" s="11">
        <f ca="1">Table1[[#This Row],[Sales]]-H1738</f>
        <v>4701</v>
      </c>
      <c r="J1738" s="2">
        <f ca="1">Table1[[#This Row],[Profit]]/Table1[[#This Row],[Sales]]</f>
        <v>0.25</v>
      </c>
      <c r="K1738" t="str">
        <f ca="1">TEXT(Table1[[#This Row],[Order_Date]],"mmm")</f>
        <v>Jul</v>
      </c>
      <c r="L1738">
        <f ca="1">YEAR(Table1[[#This Row],[Order_Date]])</f>
        <v>2023</v>
      </c>
    </row>
    <row r="1739" spans="1:12" x14ac:dyDescent="0.3">
      <c r="A1739">
        <f t="shared" si="108"/>
        <v>1738</v>
      </c>
      <c r="B1739" s="1">
        <f t="shared" ca="1" si="109"/>
        <v>45072</v>
      </c>
      <c r="C1739" t="s">
        <v>8</v>
      </c>
      <c r="D1739" t="str">
        <f t="shared" ca="1" si="110"/>
        <v>Electronics</v>
      </c>
      <c r="E1739" t="s">
        <v>77</v>
      </c>
      <c r="F1739" s="11">
        <v>3750</v>
      </c>
      <c r="G1739">
        <f t="shared" ca="1" si="111"/>
        <v>7</v>
      </c>
      <c r="H1739" s="11">
        <f ca="1">IF(Table1[[#This Row],[Category]]="Electronics",Table1[[#This Row],[Sales]]*0.6,
IF(Table1[[#This Row],[Category]]="Furniture",Table1[[#This Row],[Sales]]*0.75,
IF(Table1[[#This Row],[Category]]="Clothing",Table1[[#This Row],[Sales]]*0.65,
Table1[[#This Row],[Sales]]*0.7)))</f>
        <v>2250</v>
      </c>
      <c r="I1739" s="11">
        <f ca="1">Table1[[#This Row],[Sales]]-H1739</f>
        <v>1500</v>
      </c>
      <c r="J1739" s="2">
        <f ca="1">Table1[[#This Row],[Profit]]/Table1[[#This Row],[Sales]]</f>
        <v>0.4</v>
      </c>
      <c r="K1739" t="str">
        <f ca="1">TEXT(Table1[[#This Row],[Order_Date]],"mmm")</f>
        <v>May</v>
      </c>
      <c r="L1739">
        <f ca="1">YEAR(Table1[[#This Row],[Order_Date]])</f>
        <v>2023</v>
      </c>
    </row>
    <row r="1740" spans="1:12" x14ac:dyDescent="0.3">
      <c r="A1740">
        <f t="shared" si="108"/>
        <v>1739</v>
      </c>
      <c r="B1740" s="1">
        <f t="shared" ca="1" si="109"/>
        <v>45068</v>
      </c>
      <c r="C1740" t="s">
        <v>9</v>
      </c>
      <c r="D1740" t="str">
        <f t="shared" ca="1" si="110"/>
        <v>Clothing</v>
      </c>
      <c r="E1740" t="s">
        <v>52</v>
      </c>
      <c r="F1740" s="11">
        <v>7971</v>
      </c>
      <c r="G1740">
        <f t="shared" ca="1" si="111"/>
        <v>8</v>
      </c>
      <c r="H1740" s="11">
        <f ca="1">IF(Table1[[#This Row],[Category]]="Electronics",Table1[[#This Row],[Sales]]*0.6,
IF(Table1[[#This Row],[Category]]="Furniture",Table1[[#This Row],[Sales]]*0.75,
IF(Table1[[#This Row],[Category]]="Clothing",Table1[[#This Row],[Sales]]*0.65,
Table1[[#This Row],[Sales]]*0.7)))</f>
        <v>5181.1500000000005</v>
      </c>
      <c r="I1740" s="11">
        <f ca="1">Table1[[#This Row],[Sales]]-H1740</f>
        <v>2789.8499999999995</v>
      </c>
      <c r="J1740" s="2">
        <f ca="1">Table1[[#This Row],[Profit]]/Table1[[#This Row],[Sales]]</f>
        <v>0.34999999999999992</v>
      </c>
      <c r="K1740" t="str">
        <f ca="1">TEXT(Table1[[#This Row],[Order_Date]],"mmm")</f>
        <v>May</v>
      </c>
      <c r="L1740">
        <f ca="1">YEAR(Table1[[#This Row],[Order_Date]])</f>
        <v>2023</v>
      </c>
    </row>
    <row r="1741" spans="1:12" x14ac:dyDescent="0.3">
      <c r="A1741">
        <f t="shared" si="108"/>
        <v>1740</v>
      </c>
      <c r="B1741" s="1">
        <f t="shared" ca="1" si="109"/>
        <v>45179</v>
      </c>
      <c r="C1741" t="s">
        <v>10</v>
      </c>
      <c r="D1741" t="str">
        <f t="shared" ca="1" si="110"/>
        <v>Furniture</v>
      </c>
      <c r="E1741" t="s">
        <v>72</v>
      </c>
      <c r="F1741" s="11">
        <v>9117</v>
      </c>
      <c r="G1741">
        <f t="shared" ca="1" si="111"/>
        <v>4</v>
      </c>
      <c r="H1741" s="11">
        <f ca="1">IF(Table1[[#This Row],[Category]]="Electronics",Table1[[#This Row],[Sales]]*0.6,
IF(Table1[[#This Row],[Category]]="Furniture",Table1[[#This Row],[Sales]]*0.75,
IF(Table1[[#This Row],[Category]]="Clothing",Table1[[#This Row],[Sales]]*0.65,
Table1[[#This Row],[Sales]]*0.7)))</f>
        <v>6837.75</v>
      </c>
      <c r="I1741" s="11">
        <f ca="1">Table1[[#This Row],[Sales]]-H1741</f>
        <v>2279.25</v>
      </c>
      <c r="J1741" s="2">
        <f ca="1">Table1[[#This Row],[Profit]]/Table1[[#This Row],[Sales]]</f>
        <v>0.25</v>
      </c>
      <c r="K1741" t="str">
        <f ca="1">TEXT(Table1[[#This Row],[Order_Date]],"mmm")</f>
        <v>Sep</v>
      </c>
      <c r="L1741">
        <f ca="1">YEAR(Table1[[#This Row],[Order_Date]])</f>
        <v>2023</v>
      </c>
    </row>
    <row r="1742" spans="1:12" x14ac:dyDescent="0.3">
      <c r="A1742">
        <f t="shared" si="108"/>
        <v>1741</v>
      </c>
      <c r="B1742" s="1">
        <f t="shared" ca="1" si="109"/>
        <v>45059</v>
      </c>
      <c r="C1742" t="s">
        <v>7</v>
      </c>
      <c r="D1742" t="str">
        <f t="shared" ca="1" si="110"/>
        <v>Office Supplies</v>
      </c>
      <c r="E1742" t="s">
        <v>48</v>
      </c>
      <c r="F1742" s="11">
        <v>2377</v>
      </c>
      <c r="G1742">
        <f t="shared" ca="1" si="111"/>
        <v>6</v>
      </c>
      <c r="H1742" s="11">
        <f ca="1">IF(Table1[[#This Row],[Category]]="Electronics",Table1[[#This Row],[Sales]]*0.6,
IF(Table1[[#This Row],[Category]]="Furniture",Table1[[#This Row],[Sales]]*0.75,
IF(Table1[[#This Row],[Category]]="Clothing",Table1[[#This Row],[Sales]]*0.65,
Table1[[#This Row],[Sales]]*0.7)))</f>
        <v>1663.8999999999999</v>
      </c>
      <c r="I1742" s="11">
        <f ca="1">Table1[[#This Row],[Sales]]-H1742</f>
        <v>713.10000000000014</v>
      </c>
      <c r="J1742" s="2">
        <f ca="1">Table1[[#This Row],[Profit]]/Table1[[#This Row],[Sales]]</f>
        <v>0.30000000000000004</v>
      </c>
      <c r="K1742" t="str">
        <f ca="1">TEXT(Table1[[#This Row],[Order_Date]],"mmm")</f>
        <v>May</v>
      </c>
      <c r="L1742">
        <f ca="1">YEAR(Table1[[#This Row],[Order_Date]])</f>
        <v>2023</v>
      </c>
    </row>
    <row r="1743" spans="1:12" x14ac:dyDescent="0.3">
      <c r="A1743">
        <f t="shared" si="108"/>
        <v>1742</v>
      </c>
      <c r="B1743" s="1">
        <f t="shared" ca="1" si="109"/>
        <v>45097</v>
      </c>
      <c r="C1743" t="s">
        <v>8</v>
      </c>
      <c r="D1743" t="str">
        <f t="shared" ca="1" si="110"/>
        <v>Electronics</v>
      </c>
      <c r="E1743" t="s">
        <v>76</v>
      </c>
      <c r="F1743" s="11">
        <v>11666</v>
      </c>
      <c r="G1743">
        <f t="shared" ca="1" si="111"/>
        <v>9</v>
      </c>
      <c r="H1743" s="11">
        <f ca="1">IF(Table1[[#This Row],[Category]]="Electronics",Table1[[#This Row],[Sales]]*0.6,
IF(Table1[[#This Row],[Category]]="Furniture",Table1[[#This Row],[Sales]]*0.75,
IF(Table1[[#This Row],[Category]]="Clothing",Table1[[#This Row],[Sales]]*0.65,
Table1[[#This Row],[Sales]]*0.7)))</f>
        <v>6999.5999999999995</v>
      </c>
      <c r="I1743" s="11">
        <f ca="1">Table1[[#This Row],[Sales]]-H1743</f>
        <v>4666.4000000000005</v>
      </c>
      <c r="J1743" s="2">
        <f ca="1">Table1[[#This Row],[Profit]]/Table1[[#This Row],[Sales]]</f>
        <v>0.4</v>
      </c>
      <c r="K1743" t="str">
        <f ca="1">TEXT(Table1[[#This Row],[Order_Date]],"mmm")</f>
        <v>Jun</v>
      </c>
      <c r="L1743">
        <f ca="1">YEAR(Table1[[#This Row],[Order_Date]])</f>
        <v>2023</v>
      </c>
    </row>
    <row r="1744" spans="1:12" x14ac:dyDescent="0.3">
      <c r="A1744">
        <f t="shared" si="108"/>
        <v>1743</v>
      </c>
      <c r="B1744" s="1">
        <f t="shared" ca="1" si="109"/>
        <v>45257</v>
      </c>
      <c r="C1744" t="s">
        <v>9</v>
      </c>
      <c r="D1744" t="str">
        <f t="shared" ca="1" si="110"/>
        <v>Furniture</v>
      </c>
      <c r="E1744" t="s">
        <v>82</v>
      </c>
      <c r="F1744" s="11">
        <v>18295</v>
      </c>
      <c r="G1744">
        <f t="shared" ca="1" si="111"/>
        <v>1</v>
      </c>
      <c r="H1744" s="11">
        <f ca="1">IF(Table1[[#This Row],[Category]]="Electronics",Table1[[#This Row],[Sales]]*0.6,
IF(Table1[[#This Row],[Category]]="Furniture",Table1[[#This Row],[Sales]]*0.75,
IF(Table1[[#This Row],[Category]]="Clothing",Table1[[#This Row],[Sales]]*0.65,
Table1[[#This Row],[Sales]]*0.7)))</f>
        <v>13721.25</v>
      </c>
      <c r="I1744" s="11">
        <f ca="1">Table1[[#This Row],[Sales]]-H1744</f>
        <v>4573.75</v>
      </c>
      <c r="J1744" s="2">
        <f ca="1">Table1[[#This Row],[Profit]]/Table1[[#This Row],[Sales]]</f>
        <v>0.25</v>
      </c>
      <c r="K1744" t="str">
        <f ca="1">TEXT(Table1[[#This Row],[Order_Date]],"mmm")</f>
        <v>Nov</v>
      </c>
      <c r="L1744">
        <f ca="1">YEAR(Table1[[#This Row],[Order_Date]])</f>
        <v>2023</v>
      </c>
    </row>
    <row r="1745" spans="1:12" x14ac:dyDescent="0.3">
      <c r="A1745">
        <f t="shared" si="108"/>
        <v>1744</v>
      </c>
      <c r="B1745" s="1">
        <f t="shared" ca="1" si="109"/>
        <v>45093</v>
      </c>
      <c r="C1745" t="s">
        <v>10</v>
      </c>
      <c r="D1745" t="str">
        <f t="shared" ca="1" si="110"/>
        <v>Electronics</v>
      </c>
      <c r="E1745" t="s">
        <v>85</v>
      </c>
      <c r="F1745" s="11">
        <v>695</v>
      </c>
      <c r="G1745">
        <f t="shared" ca="1" si="111"/>
        <v>7</v>
      </c>
      <c r="H1745" s="11">
        <f ca="1">IF(Table1[[#This Row],[Category]]="Electronics",Table1[[#This Row],[Sales]]*0.6,
IF(Table1[[#This Row],[Category]]="Furniture",Table1[[#This Row],[Sales]]*0.75,
IF(Table1[[#This Row],[Category]]="Clothing",Table1[[#This Row],[Sales]]*0.65,
Table1[[#This Row],[Sales]]*0.7)))</f>
        <v>417</v>
      </c>
      <c r="I1745" s="11">
        <f ca="1">Table1[[#This Row],[Sales]]-H1745</f>
        <v>278</v>
      </c>
      <c r="J1745" s="2">
        <f ca="1">Table1[[#This Row],[Profit]]/Table1[[#This Row],[Sales]]</f>
        <v>0.4</v>
      </c>
      <c r="K1745" t="str">
        <f ca="1">TEXT(Table1[[#This Row],[Order_Date]],"mmm")</f>
        <v>Jun</v>
      </c>
      <c r="L1745">
        <f ca="1">YEAR(Table1[[#This Row],[Order_Date]])</f>
        <v>2023</v>
      </c>
    </row>
    <row r="1746" spans="1:12" x14ac:dyDescent="0.3">
      <c r="A1746">
        <f t="shared" si="108"/>
        <v>1745</v>
      </c>
      <c r="B1746" s="1">
        <f t="shared" ca="1" si="109"/>
        <v>45222</v>
      </c>
      <c r="C1746" t="s">
        <v>7</v>
      </c>
      <c r="D1746" t="str">
        <f t="shared" ca="1" si="110"/>
        <v>Electronics</v>
      </c>
      <c r="E1746" t="s">
        <v>43</v>
      </c>
      <c r="F1746" s="11">
        <v>1742</v>
      </c>
      <c r="G1746">
        <f t="shared" ca="1" si="111"/>
        <v>8</v>
      </c>
      <c r="H1746" s="11">
        <f ca="1">IF(Table1[[#This Row],[Category]]="Electronics",Table1[[#This Row],[Sales]]*0.6,
IF(Table1[[#This Row],[Category]]="Furniture",Table1[[#This Row],[Sales]]*0.75,
IF(Table1[[#This Row],[Category]]="Clothing",Table1[[#This Row],[Sales]]*0.65,
Table1[[#This Row],[Sales]]*0.7)))</f>
        <v>1045.2</v>
      </c>
      <c r="I1746" s="11">
        <f ca="1">Table1[[#This Row],[Sales]]-H1746</f>
        <v>696.8</v>
      </c>
      <c r="J1746" s="2">
        <f ca="1">Table1[[#This Row],[Profit]]/Table1[[#This Row],[Sales]]</f>
        <v>0.39999999999999997</v>
      </c>
      <c r="K1746" t="str">
        <f ca="1">TEXT(Table1[[#This Row],[Order_Date]],"mmm")</f>
        <v>Oct</v>
      </c>
      <c r="L1746">
        <f ca="1">YEAR(Table1[[#This Row],[Order_Date]])</f>
        <v>2023</v>
      </c>
    </row>
    <row r="1747" spans="1:12" x14ac:dyDescent="0.3">
      <c r="A1747">
        <f t="shared" si="108"/>
        <v>1746</v>
      </c>
      <c r="B1747" s="1">
        <f t="shared" ca="1" si="109"/>
        <v>44929</v>
      </c>
      <c r="C1747" t="s">
        <v>8</v>
      </c>
      <c r="D1747" t="str">
        <f t="shared" ca="1" si="110"/>
        <v>Electronics</v>
      </c>
      <c r="E1747" t="s">
        <v>71</v>
      </c>
      <c r="F1747" s="11">
        <v>2510</v>
      </c>
      <c r="G1747">
        <f t="shared" ca="1" si="111"/>
        <v>4</v>
      </c>
      <c r="H1747" s="11">
        <f ca="1">IF(Table1[[#This Row],[Category]]="Electronics",Table1[[#This Row],[Sales]]*0.6,
IF(Table1[[#This Row],[Category]]="Furniture",Table1[[#This Row],[Sales]]*0.75,
IF(Table1[[#This Row],[Category]]="Clothing",Table1[[#This Row],[Sales]]*0.65,
Table1[[#This Row],[Sales]]*0.7)))</f>
        <v>1506</v>
      </c>
      <c r="I1747" s="11">
        <f ca="1">Table1[[#This Row],[Sales]]-H1747</f>
        <v>1004</v>
      </c>
      <c r="J1747" s="2">
        <f ca="1">Table1[[#This Row],[Profit]]/Table1[[#This Row],[Sales]]</f>
        <v>0.4</v>
      </c>
      <c r="K1747" t="str">
        <f ca="1">TEXT(Table1[[#This Row],[Order_Date]],"mmm")</f>
        <v>Jan</v>
      </c>
      <c r="L1747">
        <f ca="1">YEAR(Table1[[#This Row],[Order_Date]])</f>
        <v>2023</v>
      </c>
    </row>
    <row r="1748" spans="1:12" x14ac:dyDescent="0.3">
      <c r="A1748">
        <f t="shared" si="108"/>
        <v>1747</v>
      </c>
      <c r="B1748" s="1">
        <f t="shared" ca="1" si="109"/>
        <v>44971</v>
      </c>
      <c r="C1748" t="s">
        <v>9</v>
      </c>
      <c r="D1748" t="str">
        <f t="shared" ca="1" si="110"/>
        <v>Furniture</v>
      </c>
      <c r="E1748" t="s">
        <v>48</v>
      </c>
      <c r="F1748" s="11">
        <v>12860</v>
      </c>
      <c r="G1748">
        <f t="shared" ca="1" si="111"/>
        <v>2</v>
      </c>
      <c r="H1748" s="11">
        <f ca="1">IF(Table1[[#This Row],[Category]]="Electronics",Table1[[#This Row],[Sales]]*0.6,
IF(Table1[[#This Row],[Category]]="Furniture",Table1[[#This Row],[Sales]]*0.75,
IF(Table1[[#This Row],[Category]]="Clothing",Table1[[#This Row],[Sales]]*0.65,
Table1[[#This Row],[Sales]]*0.7)))</f>
        <v>9645</v>
      </c>
      <c r="I1748" s="11">
        <f ca="1">Table1[[#This Row],[Sales]]-H1748</f>
        <v>3215</v>
      </c>
      <c r="J1748" s="2">
        <f ca="1">Table1[[#This Row],[Profit]]/Table1[[#This Row],[Sales]]</f>
        <v>0.25</v>
      </c>
      <c r="K1748" t="str">
        <f ca="1">TEXT(Table1[[#This Row],[Order_Date]],"mmm")</f>
        <v>Feb</v>
      </c>
      <c r="L1748">
        <f ca="1">YEAR(Table1[[#This Row],[Order_Date]])</f>
        <v>2023</v>
      </c>
    </row>
    <row r="1749" spans="1:12" x14ac:dyDescent="0.3">
      <c r="A1749">
        <f t="shared" si="108"/>
        <v>1748</v>
      </c>
      <c r="B1749" s="1">
        <f t="shared" ca="1" si="109"/>
        <v>45086</v>
      </c>
      <c r="C1749" t="s">
        <v>10</v>
      </c>
      <c r="D1749" t="str">
        <f t="shared" ca="1" si="110"/>
        <v>Clothing</v>
      </c>
      <c r="E1749" t="s">
        <v>76</v>
      </c>
      <c r="F1749" s="11">
        <v>14516</v>
      </c>
      <c r="G1749">
        <f t="shared" ca="1" si="111"/>
        <v>7</v>
      </c>
      <c r="H1749" s="11">
        <f ca="1">IF(Table1[[#This Row],[Category]]="Electronics",Table1[[#This Row],[Sales]]*0.6,
IF(Table1[[#This Row],[Category]]="Furniture",Table1[[#This Row],[Sales]]*0.75,
IF(Table1[[#This Row],[Category]]="Clothing",Table1[[#This Row],[Sales]]*0.65,
Table1[[#This Row],[Sales]]*0.7)))</f>
        <v>9435.4</v>
      </c>
      <c r="I1749" s="11">
        <f ca="1">Table1[[#This Row],[Sales]]-H1749</f>
        <v>5080.6000000000004</v>
      </c>
      <c r="J1749" s="2">
        <f ca="1">Table1[[#This Row],[Profit]]/Table1[[#This Row],[Sales]]</f>
        <v>0.35000000000000003</v>
      </c>
      <c r="K1749" t="str">
        <f ca="1">TEXT(Table1[[#This Row],[Order_Date]],"mmm")</f>
        <v>Jun</v>
      </c>
      <c r="L1749">
        <f ca="1">YEAR(Table1[[#This Row],[Order_Date]])</f>
        <v>2023</v>
      </c>
    </row>
    <row r="1750" spans="1:12" x14ac:dyDescent="0.3">
      <c r="A1750">
        <f t="shared" si="108"/>
        <v>1749</v>
      </c>
      <c r="B1750" s="1">
        <f t="shared" ca="1" si="109"/>
        <v>45095</v>
      </c>
      <c r="C1750" t="s">
        <v>7</v>
      </c>
      <c r="D1750" t="str">
        <f t="shared" ca="1" si="110"/>
        <v>Furniture</v>
      </c>
      <c r="E1750" t="s">
        <v>37</v>
      </c>
      <c r="F1750" s="11">
        <v>11630</v>
      </c>
      <c r="G1750">
        <f t="shared" ca="1" si="111"/>
        <v>2</v>
      </c>
      <c r="H1750" s="11">
        <f ca="1">IF(Table1[[#This Row],[Category]]="Electronics",Table1[[#This Row],[Sales]]*0.6,
IF(Table1[[#This Row],[Category]]="Furniture",Table1[[#This Row],[Sales]]*0.75,
IF(Table1[[#This Row],[Category]]="Clothing",Table1[[#This Row],[Sales]]*0.65,
Table1[[#This Row],[Sales]]*0.7)))</f>
        <v>8722.5</v>
      </c>
      <c r="I1750" s="11">
        <f ca="1">Table1[[#This Row],[Sales]]-H1750</f>
        <v>2907.5</v>
      </c>
      <c r="J1750" s="2">
        <f ca="1">Table1[[#This Row],[Profit]]/Table1[[#This Row],[Sales]]</f>
        <v>0.25</v>
      </c>
      <c r="K1750" t="str">
        <f ca="1">TEXT(Table1[[#This Row],[Order_Date]],"mmm")</f>
        <v>Jun</v>
      </c>
      <c r="L1750">
        <f ca="1">YEAR(Table1[[#This Row],[Order_Date]])</f>
        <v>2023</v>
      </c>
    </row>
    <row r="1751" spans="1:12" x14ac:dyDescent="0.3">
      <c r="A1751">
        <f t="shared" si="108"/>
        <v>1750</v>
      </c>
      <c r="B1751" s="1">
        <f t="shared" ca="1" si="109"/>
        <v>45148</v>
      </c>
      <c r="C1751" t="s">
        <v>8</v>
      </c>
      <c r="D1751" t="str">
        <f t="shared" ca="1" si="110"/>
        <v>Clothing</v>
      </c>
      <c r="E1751" t="s">
        <v>68</v>
      </c>
      <c r="F1751" s="11">
        <v>13562</v>
      </c>
      <c r="G1751">
        <f t="shared" ca="1" si="111"/>
        <v>9</v>
      </c>
      <c r="H1751" s="11">
        <f ca="1">IF(Table1[[#This Row],[Category]]="Electronics",Table1[[#This Row],[Sales]]*0.6,
IF(Table1[[#This Row],[Category]]="Furniture",Table1[[#This Row],[Sales]]*0.75,
IF(Table1[[#This Row],[Category]]="Clothing",Table1[[#This Row],[Sales]]*0.65,
Table1[[#This Row],[Sales]]*0.7)))</f>
        <v>8815.3000000000011</v>
      </c>
      <c r="I1751" s="11">
        <f ca="1">Table1[[#This Row],[Sales]]-H1751</f>
        <v>4746.6999999999989</v>
      </c>
      <c r="J1751" s="2">
        <f ca="1">Table1[[#This Row],[Profit]]/Table1[[#This Row],[Sales]]</f>
        <v>0.34999999999999992</v>
      </c>
      <c r="K1751" t="str">
        <f ca="1">TEXT(Table1[[#This Row],[Order_Date]],"mmm")</f>
        <v>Aug</v>
      </c>
      <c r="L1751">
        <f ca="1">YEAR(Table1[[#This Row],[Order_Date]])</f>
        <v>2023</v>
      </c>
    </row>
    <row r="1752" spans="1:12" x14ac:dyDescent="0.3">
      <c r="A1752">
        <f t="shared" si="108"/>
        <v>1751</v>
      </c>
      <c r="B1752" s="1">
        <f t="shared" ca="1" si="109"/>
        <v>45085</v>
      </c>
      <c r="C1752" t="s">
        <v>9</v>
      </c>
      <c r="D1752" t="str">
        <f t="shared" ca="1" si="110"/>
        <v>Office Supplies</v>
      </c>
      <c r="E1752" t="s">
        <v>44</v>
      </c>
      <c r="F1752" s="11">
        <v>8754</v>
      </c>
      <c r="G1752">
        <f t="shared" ca="1" si="111"/>
        <v>5</v>
      </c>
      <c r="H1752" s="11">
        <f ca="1">IF(Table1[[#This Row],[Category]]="Electronics",Table1[[#This Row],[Sales]]*0.6,
IF(Table1[[#This Row],[Category]]="Furniture",Table1[[#This Row],[Sales]]*0.75,
IF(Table1[[#This Row],[Category]]="Clothing",Table1[[#This Row],[Sales]]*0.65,
Table1[[#This Row],[Sales]]*0.7)))</f>
        <v>6127.7999999999993</v>
      </c>
      <c r="I1752" s="11">
        <f ca="1">Table1[[#This Row],[Sales]]-H1752</f>
        <v>2626.2000000000007</v>
      </c>
      <c r="J1752" s="2">
        <f ca="1">Table1[[#This Row],[Profit]]/Table1[[#This Row],[Sales]]</f>
        <v>0.3000000000000001</v>
      </c>
      <c r="K1752" t="str">
        <f ca="1">TEXT(Table1[[#This Row],[Order_Date]],"mmm")</f>
        <v>Jun</v>
      </c>
      <c r="L1752">
        <f ca="1">YEAR(Table1[[#This Row],[Order_Date]])</f>
        <v>2023</v>
      </c>
    </row>
    <row r="1753" spans="1:12" x14ac:dyDescent="0.3">
      <c r="A1753">
        <f t="shared" si="108"/>
        <v>1752</v>
      </c>
      <c r="B1753" s="1">
        <f t="shared" ca="1" si="109"/>
        <v>45158</v>
      </c>
      <c r="C1753" t="s">
        <v>10</v>
      </c>
      <c r="D1753" t="str">
        <f t="shared" ca="1" si="110"/>
        <v>Clothing</v>
      </c>
      <c r="E1753" t="s">
        <v>59</v>
      </c>
      <c r="F1753" s="11">
        <v>10836</v>
      </c>
      <c r="G1753">
        <f t="shared" ca="1" si="111"/>
        <v>9</v>
      </c>
      <c r="H1753" s="11">
        <f ca="1">IF(Table1[[#This Row],[Category]]="Electronics",Table1[[#This Row],[Sales]]*0.6,
IF(Table1[[#This Row],[Category]]="Furniture",Table1[[#This Row],[Sales]]*0.75,
IF(Table1[[#This Row],[Category]]="Clothing",Table1[[#This Row],[Sales]]*0.65,
Table1[[#This Row],[Sales]]*0.7)))</f>
        <v>7043.4000000000005</v>
      </c>
      <c r="I1753" s="11">
        <f ca="1">Table1[[#This Row],[Sales]]-H1753</f>
        <v>3792.5999999999995</v>
      </c>
      <c r="J1753" s="2">
        <f ca="1">Table1[[#This Row],[Profit]]/Table1[[#This Row],[Sales]]</f>
        <v>0.34999999999999992</v>
      </c>
      <c r="K1753" t="str">
        <f ca="1">TEXT(Table1[[#This Row],[Order_Date]],"mmm")</f>
        <v>Aug</v>
      </c>
      <c r="L1753">
        <f ca="1">YEAR(Table1[[#This Row],[Order_Date]])</f>
        <v>2023</v>
      </c>
    </row>
    <row r="1754" spans="1:12" x14ac:dyDescent="0.3">
      <c r="A1754">
        <f t="shared" si="108"/>
        <v>1753</v>
      </c>
      <c r="B1754" s="1">
        <f t="shared" ca="1" si="109"/>
        <v>44954</v>
      </c>
      <c r="C1754" t="s">
        <v>7</v>
      </c>
      <c r="D1754" t="str">
        <f t="shared" ca="1" si="110"/>
        <v>Furniture</v>
      </c>
      <c r="E1754" t="s">
        <v>83</v>
      </c>
      <c r="F1754" s="11">
        <v>7768</v>
      </c>
      <c r="G1754">
        <f t="shared" ca="1" si="111"/>
        <v>10</v>
      </c>
      <c r="H1754" s="11">
        <f ca="1">IF(Table1[[#This Row],[Category]]="Electronics",Table1[[#This Row],[Sales]]*0.6,
IF(Table1[[#This Row],[Category]]="Furniture",Table1[[#This Row],[Sales]]*0.75,
IF(Table1[[#This Row],[Category]]="Clothing",Table1[[#This Row],[Sales]]*0.65,
Table1[[#This Row],[Sales]]*0.7)))</f>
        <v>5826</v>
      </c>
      <c r="I1754" s="11">
        <f ca="1">Table1[[#This Row],[Sales]]-H1754</f>
        <v>1942</v>
      </c>
      <c r="J1754" s="2">
        <f ca="1">Table1[[#This Row],[Profit]]/Table1[[#This Row],[Sales]]</f>
        <v>0.25</v>
      </c>
      <c r="K1754" t="str">
        <f ca="1">TEXT(Table1[[#This Row],[Order_Date]],"mmm")</f>
        <v>Jan</v>
      </c>
      <c r="L1754">
        <f ca="1">YEAR(Table1[[#This Row],[Order_Date]])</f>
        <v>2023</v>
      </c>
    </row>
    <row r="1755" spans="1:12" x14ac:dyDescent="0.3">
      <c r="A1755">
        <f t="shared" si="108"/>
        <v>1754</v>
      </c>
      <c r="B1755" s="1">
        <f t="shared" ca="1" si="109"/>
        <v>45050</v>
      </c>
      <c r="C1755" t="s">
        <v>8</v>
      </c>
      <c r="D1755" t="str">
        <f t="shared" ca="1" si="110"/>
        <v>Furniture</v>
      </c>
      <c r="E1755" t="s">
        <v>41</v>
      </c>
      <c r="F1755" s="11">
        <v>13438</v>
      </c>
      <c r="G1755">
        <f t="shared" ca="1" si="111"/>
        <v>5</v>
      </c>
      <c r="H1755" s="11">
        <f ca="1">IF(Table1[[#This Row],[Category]]="Electronics",Table1[[#This Row],[Sales]]*0.6,
IF(Table1[[#This Row],[Category]]="Furniture",Table1[[#This Row],[Sales]]*0.75,
IF(Table1[[#This Row],[Category]]="Clothing",Table1[[#This Row],[Sales]]*0.65,
Table1[[#This Row],[Sales]]*0.7)))</f>
        <v>10078.5</v>
      </c>
      <c r="I1755" s="11">
        <f ca="1">Table1[[#This Row],[Sales]]-H1755</f>
        <v>3359.5</v>
      </c>
      <c r="J1755" s="2">
        <f ca="1">Table1[[#This Row],[Profit]]/Table1[[#This Row],[Sales]]</f>
        <v>0.25</v>
      </c>
      <c r="K1755" t="str">
        <f ca="1">TEXT(Table1[[#This Row],[Order_Date]],"mmm")</f>
        <v>May</v>
      </c>
      <c r="L1755">
        <f ca="1">YEAR(Table1[[#This Row],[Order_Date]])</f>
        <v>2023</v>
      </c>
    </row>
    <row r="1756" spans="1:12" x14ac:dyDescent="0.3">
      <c r="A1756">
        <f t="shared" si="108"/>
        <v>1755</v>
      </c>
      <c r="B1756" s="1">
        <f t="shared" ca="1" si="109"/>
        <v>45135</v>
      </c>
      <c r="C1756" t="s">
        <v>9</v>
      </c>
      <c r="D1756" t="str">
        <f t="shared" ca="1" si="110"/>
        <v>Electronics</v>
      </c>
      <c r="E1756" t="s">
        <v>68</v>
      </c>
      <c r="F1756" s="11">
        <v>2660</v>
      </c>
      <c r="G1756">
        <f t="shared" ca="1" si="111"/>
        <v>7</v>
      </c>
      <c r="H1756" s="11">
        <f ca="1">IF(Table1[[#This Row],[Category]]="Electronics",Table1[[#This Row],[Sales]]*0.6,
IF(Table1[[#This Row],[Category]]="Furniture",Table1[[#This Row],[Sales]]*0.75,
IF(Table1[[#This Row],[Category]]="Clothing",Table1[[#This Row],[Sales]]*0.65,
Table1[[#This Row],[Sales]]*0.7)))</f>
        <v>1596</v>
      </c>
      <c r="I1756" s="11">
        <f ca="1">Table1[[#This Row],[Sales]]-H1756</f>
        <v>1064</v>
      </c>
      <c r="J1756" s="2">
        <f ca="1">Table1[[#This Row],[Profit]]/Table1[[#This Row],[Sales]]</f>
        <v>0.4</v>
      </c>
      <c r="K1756" t="str">
        <f ca="1">TEXT(Table1[[#This Row],[Order_Date]],"mmm")</f>
        <v>Jul</v>
      </c>
      <c r="L1756">
        <f ca="1">YEAR(Table1[[#This Row],[Order_Date]])</f>
        <v>2023</v>
      </c>
    </row>
    <row r="1757" spans="1:12" x14ac:dyDescent="0.3">
      <c r="A1757">
        <f t="shared" si="108"/>
        <v>1756</v>
      </c>
      <c r="B1757" s="1">
        <f t="shared" ca="1" si="109"/>
        <v>45145</v>
      </c>
      <c r="C1757" t="s">
        <v>10</v>
      </c>
      <c r="D1757" t="str">
        <f t="shared" ca="1" si="110"/>
        <v>Clothing</v>
      </c>
      <c r="E1757" t="s">
        <v>56</v>
      </c>
      <c r="F1757" s="11">
        <v>18384</v>
      </c>
      <c r="G1757">
        <f t="shared" ca="1" si="111"/>
        <v>2</v>
      </c>
      <c r="H1757" s="11">
        <f ca="1">IF(Table1[[#This Row],[Category]]="Electronics",Table1[[#This Row],[Sales]]*0.6,
IF(Table1[[#This Row],[Category]]="Furniture",Table1[[#This Row],[Sales]]*0.75,
IF(Table1[[#This Row],[Category]]="Clothing",Table1[[#This Row],[Sales]]*0.65,
Table1[[#This Row],[Sales]]*0.7)))</f>
        <v>11949.6</v>
      </c>
      <c r="I1757" s="11">
        <f ca="1">Table1[[#This Row],[Sales]]-H1757</f>
        <v>6434.4</v>
      </c>
      <c r="J1757" s="2">
        <f ca="1">Table1[[#This Row],[Profit]]/Table1[[#This Row],[Sales]]</f>
        <v>0.35</v>
      </c>
      <c r="K1757" t="str">
        <f ca="1">TEXT(Table1[[#This Row],[Order_Date]],"mmm")</f>
        <v>Aug</v>
      </c>
      <c r="L1757">
        <f ca="1">YEAR(Table1[[#This Row],[Order_Date]])</f>
        <v>2023</v>
      </c>
    </row>
    <row r="1758" spans="1:12" x14ac:dyDescent="0.3">
      <c r="A1758">
        <f t="shared" si="108"/>
        <v>1757</v>
      </c>
      <c r="B1758" s="1">
        <f t="shared" ca="1" si="109"/>
        <v>44967</v>
      </c>
      <c r="C1758" t="s">
        <v>7</v>
      </c>
      <c r="D1758" t="str">
        <f t="shared" ca="1" si="110"/>
        <v>Clothing</v>
      </c>
      <c r="E1758" t="s">
        <v>76</v>
      </c>
      <c r="F1758" s="11">
        <v>16885</v>
      </c>
      <c r="G1758">
        <f t="shared" ca="1" si="111"/>
        <v>8</v>
      </c>
      <c r="H1758" s="11">
        <f ca="1">IF(Table1[[#This Row],[Category]]="Electronics",Table1[[#This Row],[Sales]]*0.6,
IF(Table1[[#This Row],[Category]]="Furniture",Table1[[#This Row],[Sales]]*0.75,
IF(Table1[[#This Row],[Category]]="Clothing",Table1[[#This Row],[Sales]]*0.65,
Table1[[#This Row],[Sales]]*0.7)))</f>
        <v>10975.25</v>
      </c>
      <c r="I1758" s="11">
        <f ca="1">Table1[[#This Row],[Sales]]-H1758</f>
        <v>5909.75</v>
      </c>
      <c r="J1758" s="2">
        <f ca="1">Table1[[#This Row],[Profit]]/Table1[[#This Row],[Sales]]</f>
        <v>0.35</v>
      </c>
      <c r="K1758" t="str">
        <f ca="1">TEXT(Table1[[#This Row],[Order_Date]],"mmm")</f>
        <v>Feb</v>
      </c>
      <c r="L1758">
        <f ca="1">YEAR(Table1[[#This Row],[Order_Date]])</f>
        <v>2023</v>
      </c>
    </row>
    <row r="1759" spans="1:12" x14ac:dyDescent="0.3">
      <c r="A1759">
        <f t="shared" si="108"/>
        <v>1758</v>
      </c>
      <c r="B1759" s="1">
        <f t="shared" ca="1" si="109"/>
        <v>45019</v>
      </c>
      <c r="C1759" t="s">
        <v>8</v>
      </c>
      <c r="D1759" t="str">
        <f t="shared" ca="1" si="110"/>
        <v>Furniture</v>
      </c>
      <c r="E1759" t="s">
        <v>74</v>
      </c>
      <c r="F1759" s="11">
        <v>13299</v>
      </c>
      <c r="G1759">
        <f t="shared" ca="1" si="111"/>
        <v>2</v>
      </c>
      <c r="H1759" s="11">
        <f ca="1">IF(Table1[[#This Row],[Category]]="Electronics",Table1[[#This Row],[Sales]]*0.6,
IF(Table1[[#This Row],[Category]]="Furniture",Table1[[#This Row],[Sales]]*0.75,
IF(Table1[[#This Row],[Category]]="Clothing",Table1[[#This Row],[Sales]]*0.65,
Table1[[#This Row],[Sales]]*0.7)))</f>
        <v>9974.25</v>
      </c>
      <c r="I1759" s="11">
        <f ca="1">Table1[[#This Row],[Sales]]-H1759</f>
        <v>3324.75</v>
      </c>
      <c r="J1759" s="2">
        <f ca="1">Table1[[#This Row],[Profit]]/Table1[[#This Row],[Sales]]</f>
        <v>0.25</v>
      </c>
      <c r="K1759" t="str">
        <f ca="1">TEXT(Table1[[#This Row],[Order_Date]],"mmm")</f>
        <v>Apr</v>
      </c>
      <c r="L1759">
        <f ca="1">YEAR(Table1[[#This Row],[Order_Date]])</f>
        <v>2023</v>
      </c>
    </row>
    <row r="1760" spans="1:12" x14ac:dyDescent="0.3">
      <c r="A1760">
        <f t="shared" si="108"/>
        <v>1759</v>
      </c>
      <c r="B1760" s="1">
        <f t="shared" ca="1" si="109"/>
        <v>45122</v>
      </c>
      <c r="C1760" t="s">
        <v>9</v>
      </c>
      <c r="D1760" t="str">
        <f t="shared" ca="1" si="110"/>
        <v>Clothing</v>
      </c>
      <c r="E1760" t="s">
        <v>40</v>
      </c>
      <c r="F1760" s="11">
        <v>15344</v>
      </c>
      <c r="G1760">
        <f t="shared" ca="1" si="111"/>
        <v>7</v>
      </c>
      <c r="H1760" s="11">
        <f ca="1">IF(Table1[[#This Row],[Category]]="Electronics",Table1[[#This Row],[Sales]]*0.6,
IF(Table1[[#This Row],[Category]]="Furniture",Table1[[#This Row],[Sales]]*0.75,
IF(Table1[[#This Row],[Category]]="Clothing",Table1[[#This Row],[Sales]]*0.65,
Table1[[#This Row],[Sales]]*0.7)))</f>
        <v>9973.6</v>
      </c>
      <c r="I1760" s="11">
        <f ca="1">Table1[[#This Row],[Sales]]-H1760</f>
        <v>5370.4</v>
      </c>
      <c r="J1760" s="2">
        <f ca="1">Table1[[#This Row],[Profit]]/Table1[[#This Row],[Sales]]</f>
        <v>0.35</v>
      </c>
      <c r="K1760" t="str">
        <f ca="1">TEXT(Table1[[#This Row],[Order_Date]],"mmm")</f>
        <v>Jul</v>
      </c>
      <c r="L1760">
        <f ca="1">YEAR(Table1[[#This Row],[Order_Date]])</f>
        <v>2023</v>
      </c>
    </row>
    <row r="1761" spans="1:12" x14ac:dyDescent="0.3">
      <c r="A1761">
        <f t="shared" si="108"/>
        <v>1760</v>
      </c>
      <c r="B1761" s="1">
        <f t="shared" ca="1" si="109"/>
        <v>45283</v>
      </c>
      <c r="C1761" t="s">
        <v>10</v>
      </c>
      <c r="D1761" t="str">
        <f t="shared" ca="1" si="110"/>
        <v>Office Supplies</v>
      </c>
      <c r="E1761" t="s">
        <v>80</v>
      </c>
      <c r="F1761" s="11">
        <v>8259</v>
      </c>
      <c r="G1761">
        <f t="shared" ca="1" si="111"/>
        <v>1</v>
      </c>
      <c r="H1761" s="11">
        <f ca="1">IF(Table1[[#This Row],[Category]]="Electronics",Table1[[#This Row],[Sales]]*0.6,
IF(Table1[[#This Row],[Category]]="Furniture",Table1[[#This Row],[Sales]]*0.75,
IF(Table1[[#This Row],[Category]]="Clothing",Table1[[#This Row],[Sales]]*0.65,
Table1[[#This Row],[Sales]]*0.7)))</f>
        <v>5781.2999999999993</v>
      </c>
      <c r="I1761" s="11">
        <f ca="1">Table1[[#This Row],[Sales]]-H1761</f>
        <v>2477.7000000000007</v>
      </c>
      <c r="J1761" s="2">
        <f ca="1">Table1[[#This Row],[Profit]]/Table1[[#This Row],[Sales]]</f>
        <v>0.3000000000000001</v>
      </c>
      <c r="K1761" t="str">
        <f ca="1">TEXT(Table1[[#This Row],[Order_Date]],"mmm")</f>
        <v>Dec</v>
      </c>
      <c r="L1761">
        <f ca="1">YEAR(Table1[[#This Row],[Order_Date]])</f>
        <v>2023</v>
      </c>
    </row>
    <row r="1762" spans="1:12" x14ac:dyDescent="0.3">
      <c r="A1762">
        <f t="shared" si="108"/>
        <v>1761</v>
      </c>
      <c r="B1762" s="1">
        <f t="shared" ca="1" si="109"/>
        <v>45055</v>
      </c>
      <c r="C1762" t="s">
        <v>7</v>
      </c>
      <c r="D1762" t="str">
        <f t="shared" ca="1" si="110"/>
        <v>Office Supplies</v>
      </c>
      <c r="E1762" t="s">
        <v>80</v>
      </c>
      <c r="F1762" s="11">
        <v>7820</v>
      </c>
      <c r="G1762">
        <f t="shared" ca="1" si="111"/>
        <v>2</v>
      </c>
      <c r="H1762" s="11">
        <f ca="1">IF(Table1[[#This Row],[Category]]="Electronics",Table1[[#This Row],[Sales]]*0.6,
IF(Table1[[#This Row],[Category]]="Furniture",Table1[[#This Row],[Sales]]*0.75,
IF(Table1[[#This Row],[Category]]="Clothing",Table1[[#This Row],[Sales]]*0.65,
Table1[[#This Row],[Sales]]*0.7)))</f>
        <v>5474</v>
      </c>
      <c r="I1762" s="11">
        <f ca="1">Table1[[#This Row],[Sales]]-H1762</f>
        <v>2346</v>
      </c>
      <c r="J1762" s="2">
        <f ca="1">Table1[[#This Row],[Profit]]/Table1[[#This Row],[Sales]]</f>
        <v>0.3</v>
      </c>
      <c r="K1762" t="str">
        <f ca="1">TEXT(Table1[[#This Row],[Order_Date]],"mmm")</f>
        <v>May</v>
      </c>
      <c r="L1762">
        <f ca="1">YEAR(Table1[[#This Row],[Order_Date]])</f>
        <v>2023</v>
      </c>
    </row>
    <row r="1763" spans="1:12" x14ac:dyDescent="0.3">
      <c r="A1763">
        <f t="shared" si="108"/>
        <v>1762</v>
      </c>
      <c r="B1763" s="1">
        <f t="shared" ca="1" si="109"/>
        <v>45253</v>
      </c>
      <c r="C1763" t="s">
        <v>8</v>
      </c>
      <c r="D1763" t="str">
        <f t="shared" ca="1" si="110"/>
        <v>Clothing</v>
      </c>
      <c r="E1763" t="s">
        <v>58</v>
      </c>
      <c r="F1763" s="11">
        <v>2731</v>
      </c>
      <c r="G1763">
        <f t="shared" ca="1" si="111"/>
        <v>2</v>
      </c>
      <c r="H1763" s="11">
        <f ca="1">IF(Table1[[#This Row],[Category]]="Electronics",Table1[[#This Row],[Sales]]*0.6,
IF(Table1[[#This Row],[Category]]="Furniture",Table1[[#This Row],[Sales]]*0.75,
IF(Table1[[#This Row],[Category]]="Clothing",Table1[[#This Row],[Sales]]*0.65,
Table1[[#This Row],[Sales]]*0.7)))</f>
        <v>1775.15</v>
      </c>
      <c r="I1763" s="11">
        <f ca="1">Table1[[#This Row],[Sales]]-H1763</f>
        <v>955.84999999999991</v>
      </c>
      <c r="J1763" s="2">
        <f ca="1">Table1[[#This Row],[Profit]]/Table1[[#This Row],[Sales]]</f>
        <v>0.35</v>
      </c>
      <c r="K1763" t="str">
        <f ca="1">TEXT(Table1[[#This Row],[Order_Date]],"mmm")</f>
        <v>Nov</v>
      </c>
      <c r="L1763">
        <f ca="1">YEAR(Table1[[#This Row],[Order_Date]])</f>
        <v>2023</v>
      </c>
    </row>
    <row r="1764" spans="1:12" x14ac:dyDescent="0.3">
      <c r="A1764">
        <f t="shared" si="108"/>
        <v>1763</v>
      </c>
      <c r="B1764" s="1">
        <f t="shared" ca="1" si="109"/>
        <v>44968</v>
      </c>
      <c r="C1764" t="s">
        <v>9</v>
      </c>
      <c r="D1764" t="str">
        <f t="shared" ca="1" si="110"/>
        <v>Furniture</v>
      </c>
      <c r="E1764" t="s">
        <v>75</v>
      </c>
      <c r="F1764" s="11">
        <v>3620</v>
      </c>
      <c r="G1764">
        <f t="shared" ca="1" si="111"/>
        <v>1</v>
      </c>
      <c r="H1764" s="11">
        <f ca="1">IF(Table1[[#This Row],[Category]]="Electronics",Table1[[#This Row],[Sales]]*0.6,
IF(Table1[[#This Row],[Category]]="Furniture",Table1[[#This Row],[Sales]]*0.75,
IF(Table1[[#This Row],[Category]]="Clothing",Table1[[#This Row],[Sales]]*0.65,
Table1[[#This Row],[Sales]]*0.7)))</f>
        <v>2715</v>
      </c>
      <c r="I1764" s="11">
        <f ca="1">Table1[[#This Row],[Sales]]-H1764</f>
        <v>905</v>
      </c>
      <c r="J1764" s="2">
        <f ca="1">Table1[[#This Row],[Profit]]/Table1[[#This Row],[Sales]]</f>
        <v>0.25</v>
      </c>
      <c r="K1764" t="str">
        <f ca="1">TEXT(Table1[[#This Row],[Order_Date]],"mmm")</f>
        <v>Feb</v>
      </c>
      <c r="L1764">
        <f ca="1">YEAR(Table1[[#This Row],[Order_Date]])</f>
        <v>2023</v>
      </c>
    </row>
    <row r="1765" spans="1:12" x14ac:dyDescent="0.3">
      <c r="A1765">
        <f t="shared" si="108"/>
        <v>1764</v>
      </c>
      <c r="B1765" s="1">
        <f t="shared" ca="1" si="109"/>
        <v>45166</v>
      </c>
      <c r="C1765" t="s">
        <v>10</v>
      </c>
      <c r="D1765" t="str">
        <f t="shared" ca="1" si="110"/>
        <v>Office Supplies</v>
      </c>
      <c r="E1765" t="s">
        <v>85</v>
      </c>
      <c r="F1765" s="11">
        <v>14461</v>
      </c>
      <c r="G1765">
        <f t="shared" ca="1" si="111"/>
        <v>8</v>
      </c>
      <c r="H1765" s="11">
        <f ca="1">IF(Table1[[#This Row],[Category]]="Electronics",Table1[[#This Row],[Sales]]*0.6,
IF(Table1[[#This Row],[Category]]="Furniture",Table1[[#This Row],[Sales]]*0.75,
IF(Table1[[#This Row],[Category]]="Clothing",Table1[[#This Row],[Sales]]*0.65,
Table1[[#This Row],[Sales]]*0.7)))</f>
        <v>10122.699999999999</v>
      </c>
      <c r="I1765" s="11">
        <f ca="1">Table1[[#This Row],[Sales]]-H1765</f>
        <v>4338.3000000000011</v>
      </c>
      <c r="J1765" s="2">
        <f ca="1">Table1[[#This Row],[Profit]]/Table1[[#This Row],[Sales]]</f>
        <v>0.3000000000000001</v>
      </c>
      <c r="K1765" t="str">
        <f ca="1">TEXT(Table1[[#This Row],[Order_Date]],"mmm")</f>
        <v>Aug</v>
      </c>
      <c r="L1765">
        <f ca="1">YEAR(Table1[[#This Row],[Order_Date]])</f>
        <v>2023</v>
      </c>
    </row>
    <row r="1766" spans="1:12" x14ac:dyDescent="0.3">
      <c r="A1766">
        <f t="shared" si="108"/>
        <v>1765</v>
      </c>
      <c r="B1766" s="1">
        <f t="shared" ca="1" si="109"/>
        <v>45044</v>
      </c>
      <c r="C1766" t="s">
        <v>7</v>
      </c>
      <c r="D1766" t="str">
        <f t="shared" ca="1" si="110"/>
        <v>Clothing</v>
      </c>
      <c r="E1766" t="s">
        <v>48</v>
      </c>
      <c r="F1766" s="11">
        <v>5098</v>
      </c>
      <c r="G1766">
        <f t="shared" ca="1" si="111"/>
        <v>8</v>
      </c>
      <c r="H1766" s="11">
        <f ca="1">IF(Table1[[#This Row],[Category]]="Electronics",Table1[[#This Row],[Sales]]*0.6,
IF(Table1[[#This Row],[Category]]="Furniture",Table1[[#This Row],[Sales]]*0.75,
IF(Table1[[#This Row],[Category]]="Clothing",Table1[[#This Row],[Sales]]*0.65,
Table1[[#This Row],[Sales]]*0.7)))</f>
        <v>3313.7000000000003</v>
      </c>
      <c r="I1766" s="11">
        <f ca="1">Table1[[#This Row],[Sales]]-H1766</f>
        <v>1784.2999999999997</v>
      </c>
      <c r="J1766" s="2">
        <f ca="1">Table1[[#This Row],[Profit]]/Table1[[#This Row],[Sales]]</f>
        <v>0.34999999999999992</v>
      </c>
      <c r="K1766" t="str">
        <f ca="1">TEXT(Table1[[#This Row],[Order_Date]],"mmm")</f>
        <v>Apr</v>
      </c>
      <c r="L1766">
        <f ca="1">YEAR(Table1[[#This Row],[Order_Date]])</f>
        <v>2023</v>
      </c>
    </row>
    <row r="1767" spans="1:12" x14ac:dyDescent="0.3">
      <c r="A1767">
        <f t="shared" si="108"/>
        <v>1766</v>
      </c>
      <c r="B1767" s="1">
        <f t="shared" ca="1" si="109"/>
        <v>45043</v>
      </c>
      <c r="C1767" t="s">
        <v>8</v>
      </c>
      <c r="D1767" t="str">
        <f t="shared" ca="1" si="110"/>
        <v>Office Supplies</v>
      </c>
      <c r="E1767" t="s">
        <v>44</v>
      </c>
      <c r="F1767" s="11">
        <v>19971</v>
      </c>
      <c r="G1767">
        <f t="shared" ca="1" si="111"/>
        <v>1</v>
      </c>
      <c r="H1767" s="11">
        <f ca="1">IF(Table1[[#This Row],[Category]]="Electronics",Table1[[#This Row],[Sales]]*0.6,
IF(Table1[[#This Row],[Category]]="Furniture",Table1[[#This Row],[Sales]]*0.75,
IF(Table1[[#This Row],[Category]]="Clothing",Table1[[#This Row],[Sales]]*0.65,
Table1[[#This Row],[Sales]]*0.7)))</f>
        <v>13979.699999999999</v>
      </c>
      <c r="I1767" s="11">
        <f ca="1">Table1[[#This Row],[Sales]]-H1767</f>
        <v>5991.3000000000011</v>
      </c>
      <c r="J1767" s="2">
        <f ca="1">Table1[[#This Row],[Profit]]/Table1[[#This Row],[Sales]]</f>
        <v>0.30000000000000004</v>
      </c>
      <c r="K1767" t="str">
        <f ca="1">TEXT(Table1[[#This Row],[Order_Date]],"mmm")</f>
        <v>Apr</v>
      </c>
      <c r="L1767">
        <f ca="1">YEAR(Table1[[#This Row],[Order_Date]])</f>
        <v>2023</v>
      </c>
    </row>
    <row r="1768" spans="1:12" x14ac:dyDescent="0.3">
      <c r="A1768">
        <f t="shared" si="108"/>
        <v>1767</v>
      </c>
      <c r="B1768" s="1">
        <f t="shared" ca="1" si="109"/>
        <v>45043</v>
      </c>
      <c r="C1768" t="s">
        <v>9</v>
      </c>
      <c r="D1768" t="str">
        <f t="shared" ca="1" si="110"/>
        <v>Electronics</v>
      </c>
      <c r="E1768" t="s">
        <v>76</v>
      </c>
      <c r="F1768" s="11">
        <v>6065</v>
      </c>
      <c r="G1768">
        <f t="shared" ca="1" si="111"/>
        <v>7</v>
      </c>
      <c r="H1768" s="11">
        <f ca="1">IF(Table1[[#This Row],[Category]]="Electronics",Table1[[#This Row],[Sales]]*0.6,
IF(Table1[[#This Row],[Category]]="Furniture",Table1[[#This Row],[Sales]]*0.75,
IF(Table1[[#This Row],[Category]]="Clothing",Table1[[#This Row],[Sales]]*0.65,
Table1[[#This Row],[Sales]]*0.7)))</f>
        <v>3639</v>
      </c>
      <c r="I1768" s="11">
        <f ca="1">Table1[[#This Row],[Sales]]-H1768</f>
        <v>2426</v>
      </c>
      <c r="J1768" s="2">
        <f ca="1">Table1[[#This Row],[Profit]]/Table1[[#This Row],[Sales]]</f>
        <v>0.4</v>
      </c>
      <c r="K1768" t="str">
        <f ca="1">TEXT(Table1[[#This Row],[Order_Date]],"mmm")</f>
        <v>Apr</v>
      </c>
      <c r="L1768">
        <f ca="1">YEAR(Table1[[#This Row],[Order_Date]])</f>
        <v>2023</v>
      </c>
    </row>
    <row r="1769" spans="1:12" x14ac:dyDescent="0.3">
      <c r="A1769">
        <f t="shared" si="108"/>
        <v>1768</v>
      </c>
      <c r="B1769" s="1">
        <f t="shared" ca="1" si="109"/>
        <v>45284</v>
      </c>
      <c r="C1769" t="s">
        <v>10</v>
      </c>
      <c r="D1769" t="str">
        <f t="shared" ca="1" si="110"/>
        <v>Electronics</v>
      </c>
      <c r="E1769" t="s">
        <v>48</v>
      </c>
      <c r="F1769" s="11">
        <v>7420</v>
      </c>
      <c r="G1769">
        <f t="shared" ca="1" si="111"/>
        <v>4</v>
      </c>
      <c r="H1769" s="11">
        <f ca="1">IF(Table1[[#This Row],[Category]]="Electronics",Table1[[#This Row],[Sales]]*0.6,
IF(Table1[[#This Row],[Category]]="Furniture",Table1[[#This Row],[Sales]]*0.75,
IF(Table1[[#This Row],[Category]]="Clothing",Table1[[#This Row],[Sales]]*0.65,
Table1[[#This Row],[Sales]]*0.7)))</f>
        <v>4452</v>
      </c>
      <c r="I1769" s="11">
        <f ca="1">Table1[[#This Row],[Sales]]-H1769</f>
        <v>2968</v>
      </c>
      <c r="J1769" s="2">
        <f ca="1">Table1[[#This Row],[Profit]]/Table1[[#This Row],[Sales]]</f>
        <v>0.4</v>
      </c>
      <c r="K1769" t="str">
        <f ca="1">TEXT(Table1[[#This Row],[Order_Date]],"mmm")</f>
        <v>Dec</v>
      </c>
      <c r="L1769">
        <f ca="1">YEAR(Table1[[#This Row],[Order_Date]])</f>
        <v>2023</v>
      </c>
    </row>
    <row r="1770" spans="1:12" x14ac:dyDescent="0.3">
      <c r="A1770">
        <f t="shared" si="108"/>
        <v>1769</v>
      </c>
      <c r="B1770" s="1">
        <f t="shared" ca="1" si="109"/>
        <v>45052</v>
      </c>
      <c r="C1770" t="s">
        <v>7</v>
      </c>
      <c r="D1770" t="str">
        <f t="shared" ca="1" si="110"/>
        <v>Clothing</v>
      </c>
      <c r="E1770" t="s">
        <v>78</v>
      </c>
      <c r="F1770" s="11">
        <v>9901</v>
      </c>
      <c r="G1770">
        <f t="shared" ca="1" si="111"/>
        <v>4</v>
      </c>
      <c r="H1770" s="11">
        <f ca="1">IF(Table1[[#This Row],[Category]]="Electronics",Table1[[#This Row],[Sales]]*0.6,
IF(Table1[[#This Row],[Category]]="Furniture",Table1[[#This Row],[Sales]]*0.75,
IF(Table1[[#This Row],[Category]]="Clothing",Table1[[#This Row],[Sales]]*0.65,
Table1[[#This Row],[Sales]]*0.7)))</f>
        <v>6435.6500000000005</v>
      </c>
      <c r="I1770" s="11">
        <f ca="1">Table1[[#This Row],[Sales]]-H1770</f>
        <v>3465.3499999999995</v>
      </c>
      <c r="J1770" s="2">
        <f ca="1">Table1[[#This Row],[Profit]]/Table1[[#This Row],[Sales]]</f>
        <v>0.34999999999999992</v>
      </c>
      <c r="K1770" t="str">
        <f ca="1">TEXT(Table1[[#This Row],[Order_Date]],"mmm")</f>
        <v>May</v>
      </c>
      <c r="L1770">
        <f ca="1">YEAR(Table1[[#This Row],[Order_Date]])</f>
        <v>2023</v>
      </c>
    </row>
    <row r="1771" spans="1:12" x14ac:dyDescent="0.3">
      <c r="A1771">
        <f t="shared" si="108"/>
        <v>1770</v>
      </c>
      <c r="B1771" s="1">
        <f t="shared" ca="1" si="109"/>
        <v>45010</v>
      </c>
      <c r="C1771" t="s">
        <v>8</v>
      </c>
      <c r="D1771" t="str">
        <f t="shared" ca="1" si="110"/>
        <v>Furniture</v>
      </c>
      <c r="E1771" t="s">
        <v>70</v>
      </c>
      <c r="F1771" s="11">
        <v>5515</v>
      </c>
      <c r="G1771">
        <f t="shared" ca="1" si="111"/>
        <v>9</v>
      </c>
      <c r="H1771" s="11">
        <f ca="1">IF(Table1[[#This Row],[Category]]="Electronics",Table1[[#This Row],[Sales]]*0.6,
IF(Table1[[#This Row],[Category]]="Furniture",Table1[[#This Row],[Sales]]*0.75,
IF(Table1[[#This Row],[Category]]="Clothing",Table1[[#This Row],[Sales]]*0.65,
Table1[[#This Row],[Sales]]*0.7)))</f>
        <v>4136.25</v>
      </c>
      <c r="I1771" s="11">
        <f ca="1">Table1[[#This Row],[Sales]]-H1771</f>
        <v>1378.75</v>
      </c>
      <c r="J1771" s="2">
        <f ca="1">Table1[[#This Row],[Profit]]/Table1[[#This Row],[Sales]]</f>
        <v>0.25</v>
      </c>
      <c r="K1771" t="str">
        <f ca="1">TEXT(Table1[[#This Row],[Order_Date]],"mmm")</f>
        <v>Mar</v>
      </c>
      <c r="L1771">
        <f ca="1">YEAR(Table1[[#This Row],[Order_Date]])</f>
        <v>2023</v>
      </c>
    </row>
    <row r="1772" spans="1:12" x14ac:dyDescent="0.3">
      <c r="A1772">
        <f t="shared" si="108"/>
        <v>1771</v>
      </c>
      <c r="B1772" s="1">
        <f t="shared" ca="1" si="109"/>
        <v>44944</v>
      </c>
      <c r="C1772" t="s">
        <v>9</v>
      </c>
      <c r="D1772" t="str">
        <f t="shared" ca="1" si="110"/>
        <v>Clothing</v>
      </c>
      <c r="E1772" t="s">
        <v>70</v>
      </c>
      <c r="F1772" s="11">
        <v>7725</v>
      </c>
      <c r="G1772">
        <f t="shared" ca="1" si="111"/>
        <v>2</v>
      </c>
      <c r="H1772" s="11">
        <f ca="1">IF(Table1[[#This Row],[Category]]="Electronics",Table1[[#This Row],[Sales]]*0.6,
IF(Table1[[#This Row],[Category]]="Furniture",Table1[[#This Row],[Sales]]*0.75,
IF(Table1[[#This Row],[Category]]="Clothing",Table1[[#This Row],[Sales]]*0.65,
Table1[[#This Row],[Sales]]*0.7)))</f>
        <v>5021.25</v>
      </c>
      <c r="I1772" s="11">
        <f ca="1">Table1[[#This Row],[Sales]]-H1772</f>
        <v>2703.75</v>
      </c>
      <c r="J1772" s="2">
        <f ca="1">Table1[[#This Row],[Profit]]/Table1[[#This Row],[Sales]]</f>
        <v>0.35</v>
      </c>
      <c r="K1772" t="str">
        <f ca="1">TEXT(Table1[[#This Row],[Order_Date]],"mmm")</f>
        <v>Jan</v>
      </c>
      <c r="L1772">
        <f ca="1">YEAR(Table1[[#This Row],[Order_Date]])</f>
        <v>2023</v>
      </c>
    </row>
    <row r="1773" spans="1:12" x14ac:dyDescent="0.3">
      <c r="A1773">
        <f t="shared" si="108"/>
        <v>1772</v>
      </c>
      <c r="B1773" s="1">
        <f t="shared" ca="1" si="109"/>
        <v>45026</v>
      </c>
      <c r="C1773" t="s">
        <v>10</v>
      </c>
      <c r="D1773" t="str">
        <f t="shared" ca="1" si="110"/>
        <v>Clothing</v>
      </c>
      <c r="E1773" t="s">
        <v>52</v>
      </c>
      <c r="F1773" s="11">
        <v>3740</v>
      </c>
      <c r="G1773">
        <f t="shared" ca="1" si="111"/>
        <v>4</v>
      </c>
      <c r="H1773" s="11">
        <f ca="1">IF(Table1[[#This Row],[Category]]="Electronics",Table1[[#This Row],[Sales]]*0.6,
IF(Table1[[#This Row],[Category]]="Furniture",Table1[[#This Row],[Sales]]*0.75,
IF(Table1[[#This Row],[Category]]="Clothing",Table1[[#This Row],[Sales]]*0.65,
Table1[[#This Row],[Sales]]*0.7)))</f>
        <v>2431</v>
      </c>
      <c r="I1773" s="11">
        <f ca="1">Table1[[#This Row],[Sales]]-H1773</f>
        <v>1309</v>
      </c>
      <c r="J1773" s="2">
        <f ca="1">Table1[[#This Row],[Profit]]/Table1[[#This Row],[Sales]]</f>
        <v>0.35</v>
      </c>
      <c r="K1773" t="str">
        <f ca="1">TEXT(Table1[[#This Row],[Order_Date]],"mmm")</f>
        <v>Apr</v>
      </c>
      <c r="L1773">
        <f ca="1">YEAR(Table1[[#This Row],[Order_Date]])</f>
        <v>2023</v>
      </c>
    </row>
    <row r="1774" spans="1:12" x14ac:dyDescent="0.3">
      <c r="A1774">
        <f t="shared" si="108"/>
        <v>1773</v>
      </c>
      <c r="B1774" s="1">
        <f t="shared" ca="1" si="109"/>
        <v>45078</v>
      </c>
      <c r="C1774" t="s">
        <v>7</v>
      </c>
      <c r="D1774" t="str">
        <f t="shared" ca="1" si="110"/>
        <v>Office Supplies</v>
      </c>
      <c r="E1774" t="s">
        <v>77</v>
      </c>
      <c r="F1774" s="11">
        <v>18929</v>
      </c>
      <c r="G1774">
        <f t="shared" ca="1" si="111"/>
        <v>4</v>
      </c>
      <c r="H1774" s="11">
        <f ca="1">IF(Table1[[#This Row],[Category]]="Electronics",Table1[[#This Row],[Sales]]*0.6,
IF(Table1[[#This Row],[Category]]="Furniture",Table1[[#This Row],[Sales]]*0.75,
IF(Table1[[#This Row],[Category]]="Clothing",Table1[[#This Row],[Sales]]*0.65,
Table1[[#This Row],[Sales]]*0.7)))</f>
        <v>13250.3</v>
      </c>
      <c r="I1774" s="11">
        <f ca="1">Table1[[#This Row],[Sales]]-H1774</f>
        <v>5678.7000000000007</v>
      </c>
      <c r="J1774" s="2">
        <f ca="1">Table1[[#This Row],[Profit]]/Table1[[#This Row],[Sales]]</f>
        <v>0.30000000000000004</v>
      </c>
      <c r="K1774" t="str">
        <f ca="1">TEXT(Table1[[#This Row],[Order_Date]],"mmm")</f>
        <v>Jun</v>
      </c>
      <c r="L1774">
        <f ca="1">YEAR(Table1[[#This Row],[Order_Date]])</f>
        <v>2023</v>
      </c>
    </row>
    <row r="1775" spans="1:12" x14ac:dyDescent="0.3">
      <c r="A1775">
        <f t="shared" si="108"/>
        <v>1774</v>
      </c>
      <c r="B1775" s="1">
        <f t="shared" ca="1" si="109"/>
        <v>44952</v>
      </c>
      <c r="C1775" t="s">
        <v>8</v>
      </c>
      <c r="D1775" t="str">
        <f t="shared" ca="1" si="110"/>
        <v>Office Supplies</v>
      </c>
      <c r="E1775" t="s">
        <v>69</v>
      </c>
      <c r="F1775" s="11">
        <v>3605</v>
      </c>
      <c r="G1775">
        <f t="shared" ca="1" si="111"/>
        <v>6</v>
      </c>
      <c r="H1775" s="11">
        <f ca="1">IF(Table1[[#This Row],[Category]]="Electronics",Table1[[#This Row],[Sales]]*0.6,
IF(Table1[[#This Row],[Category]]="Furniture",Table1[[#This Row],[Sales]]*0.75,
IF(Table1[[#This Row],[Category]]="Clothing",Table1[[#This Row],[Sales]]*0.65,
Table1[[#This Row],[Sales]]*0.7)))</f>
        <v>2523.5</v>
      </c>
      <c r="I1775" s="11">
        <f ca="1">Table1[[#This Row],[Sales]]-H1775</f>
        <v>1081.5</v>
      </c>
      <c r="J1775" s="2">
        <f ca="1">Table1[[#This Row],[Profit]]/Table1[[#This Row],[Sales]]</f>
        <v>0.3</v>
      </c>
      <c r="K1775" t="str">
        <f ca="1">TEXT(Table1[[#This Row],[Order_Date]],"mmm")</f>
        <v>Jan</v>
      </c>
      <c r="L1775">
        <f ca="1">YEAR(Table1[[#This Row],[Order_Date]])</f>
        <v>2023</v>
      </c>
    </row>
    <row r="1776" spans="1:12" x14ac:dyDescent="0.3">
      <c r="A1776">
        <f t="shared" si="108"/>
        <v>1775</v>
      </c>
      <c r="B1776" s="1">
        <f t="shared" ca="1" si="109"/>
        <v>45220</v>
      </c>
      <c r="C1776" t="s">
        <v>9</v>
      </c>
      <c r="D1776" t="str">
        <f t="shared" ca="1" si="110"/>
        <v>Furniture</v>
      </c>
      <c r="E1776" t="s">
        <v>77</v>
      </c>
      <c r="F1776" s="11">
        <v>13970</v>
      </c>
      <c r="G1776">
        <f t="shared" ca="1" si="111"/>
        <v>5</v>
      </c>
      <c r="H1776" s="11">
        <f ca="1">IF(Table1[[#This Row],[Category]]="Electronics",Table1[[#This Row],[Sales]]*0.6,
IF(Table1[[#This Row],[Category]]="Furniture",Table1[[#This Row],[Sales]]*0.75,
IF(Table1[[#This Row],[Category]]="Clothing",Table1[[#This Row],[Sales]]*0.65,
Table1[[#This Row],[Sales]]*0.7)))</f>
        <v>10477.5</v>
      </c>
      <c r="I1776" s="11">
        <f ca="1">Table1[[#This Row],[Sales]]-H1776</f>
        <v>3492.5</v>
      </c>
      <c r="J1776" s="2">
        <f ca="1">Table1[[#This Row],[Profit]]/Table1[[#This Row],[Sales]]</f>
        <v>0.25</v>
      </c>
      <c r="K1776" t="str">
        <f ca="1">TEXT(Table1[[#This Row],[Order_Date]],"mmm")</f>
        <v>Oct</v>
      </c>
      <c r="L1776">
        <f ca="1">YEAR(Table1[[#This Row],[Order_Date]])</f>
        <v>2023</v>
      </c>
    </row>
    <row r="1777" spans="1:12" x14ac:dyDescent="0.3">
      <c r="A1777">
        <f t="shared" si="108"/>
        <v>1776</v>
      </c>
      <c r="B1777" s="1">
        <f t="shared" ca="1" si="109"/>
        <v>45171</v>
      </c>
      <c r="C1777" t="s">
        <v>10</v>
      </c>
      <c r="D1777" t="str">
        <f t="shared" ca="1" si="110"/>
        <v>Office Supplies</v>
      </c>
      <c r="E1777" t="s">
        <v>67</v>
      </c>
      <c r="F1777" s="11">
        <v>15661</v>
      </c>
      <c r="G1777">
        <f t="shared" ca="1" si="111"/>
        <v>5</v>
      </c>
      <c r="H1777" s="11">
        <f ca="1">IF(Table1[[#This Row],[Category]]="Electronics",Table1[[#This Row],[Sales]]*0.6,
IF(Table1[[#This Row],[Category]]="Furniture",Table1[[#This Row],[Sales]]*0.75,
IF(Table1[[#This Row],[Category]]="Clothing",Table1[[#This Row],[Sales]]*0.65,
Table1[[#This Row],[Sales]]*0.7)))</f>
        <v>10962.699999999999</v>
      </c>
      <c r="I1777" s="11">
        <f ca="1">Table1[[#This Row],[Sales]]-H1777</f>
        <v>4698.3000000000011</v>
      </c>
      <c r="J1777" s="2">
        <f ca="1">Table1[[#This Row],[Profit]]/Table1[[#This Row],[Sales]]</f>
        <v>0.30000000000000004</v>
      </c>
      <c r="K1777" t="str">
        <f ca="1">TEXT(Table1[[#This Row],[Order_Date]],"mmm")</f>
        <v>Sep</v>
      </c>
      <c r="L1777">
        <f ca="1">YEAR(Table1[[#This Row],[Order_Date]])</f>
        <v>2023</v>
      </c>
    </row>
    <row r="1778" spans="1:12" x14ac:dyDescent="0.3">
      <c r="A1778">
        <f t="shared" si="108"/>
        <v>1777</v>
      </c>
      <c r="B1778" s="1">
        <f t="shared" ca="1" si="109"/>
        <v>45013</v>
      </c>
      <c r="C1778" t="s">
        <v>7</v>
      </c>
      <c r="D1778" t="str">
        <f t="shared" ca="1" si="110"/>
        <v>Office Supplies</v>
      </c>
      <c r="E1778" t="s">
        <v>36</v>
      </c>
      <c r="F1778" s="11">
        <v>571</v>
      </c>
      <c r="G1778">
        <f t="shared" ca="1" si="111"/>
        <v>1</v>
      </c>
      <c r="H1778" s="11">
        <f ca="1">IF(Table1[[#This Row],[Category]]="Electronics",Table1[[#This Row],[Sales]]*0.6,
IF(Table1[[#This Row],[Category]]="Furniture",Table1[[#This Row],[Sales]]*0.75,
IF(Table1[[#This Row],[Category]]="Clothing",Table1[[#This Row],[Sales]]*0.65,
Table1[[#This Row],[Sales]]*0.7)))</f>
        <v>399.7</v>
      </c>
      <c r="I1778" s="11">
        <f ca="1">Table1[[#This Row],[Sales]]-H1778</f>
        <v>171.3</v>
      </c>
      <c r="J1778" s="2">
        <f ca="1">Table1[[#This Row],[Profit]]/Table1[[#This Row],[Sales]]</f>
        <v>0.30000000000000004</v>
      </c>
      <c r="K1778" t="str">
        <f ca="1">TEXT(Table1[[#This Row],[Order_Date]],"mmm")</f>
        <v>Mar</v>
      </c>
      <c r="L1778">
        <f ca="1">YEAR(Table1[[#This Row],[Order_Date]])</f>
        <v>2023</v>
      </c>
    </row>
    <row r="1779" spans="1:12" x14ac:dyDescent="0.3">
      <c r="A1779">
        <f t="shared" si="108"/>
        <v>1778</v>
      </c>
      <c r="B1779" s="1">
        <f t="shared" ca="1" si="109"/>
        <v>45102</v>
      </c>
      <c r="C1779" t="s">
        <v>8</v>
      </c>
      <c r="D1779" t="str">
        <f t="shared" ca="1" si="110"/>
        <v>Electronics</v>
      </c>
      <c r="E1779" t="s">
        <v>83</v>
      </c>
      <c r="F1779" s="11">
        <v>915</v>
      </c>
      <c r="G1779">
        <f t="shared" ca="1" si="111"/>
        <v>8</v>
      </c>
      <c r="H1779" s="11">
        <f ca="1">IF(Table1[[#This Row],[Category]]="Electronics",Table1[[#This Row],[Sales]]*0.6,
IF(Table1[[#This Row],[Category]]="Furniture",Table1[[#This Row],[Sales]]*0.75,
IF(Table1[[#This Row],[Category]]="Clothing",Table1[[#This Row],[Sales]]*0.65,
Table1[[#This Row],[Sales]]*0.7)))</f>
        <v>549</v>
      </c>
      <c r="I1779" s="11">
        <f ca="1">Table1[[#This Row],[Sales]]-H1779</f>
        <v>366</v>
      </c>
      <c r="J1779" s="2">
        <f ca="1">Table1[[#This Row],[Profit]]/Table1[[#This Row],[Sales]]</f>
        <v>0.4</v>
      </c>
      <c r="K1779" t="str">
        <f ca="1">TEXT(Table1[[#This Row],[Order_Date]],"mmm")</f>
        <v>Jun</v>
      </c>
      <c r="L1779">
        <f ca="1">YEAR(Table1[[#This Row],[Order_Date]])</f>
        <v>2023</v>
      </c>
    </row>
    <row r="1780" spans="1:12" x14ac:dyDescent="0.3">
      <c r="A1780">
        <f t="shared" si="108"/>
        <v>1779</v>
      </c>
      <c r="B1780" s="1">
        <f t="shared" ca="1" si="109"/>
        <v>45155</v>
      </c>
      <c r="C1780" t="s">
        <v>9</v>
      </c>
      <c r="D1780" t="str">
        <f t="shared" ca="1" si="110"/>
        <v>Clothing</v>
      </c>
      <c r="E1780" t="s">
        <v>64</v>
      </c>
      <c r="F1780" s="11">
        <v>9792</v>
      </c>
      <c r="G1780">
        <f t="shared" ca="1" si="111"/>
        <v>5</v>
      </c>
      <c r="H1780" s="11">
        <f ca="1">IF(Table1[[#This Row],[Category]]="Electronics",Table1[[#This Row],[Sales]]*0.6,
IF(Table1[[#This Row],[Category]]="Furniture",Table1[[#This Row],[Sales]]*0.75,
IF(Table1[[#This Row],[Category]]="Clothing",Table1[[#This Row],[Sales]]*0.65,
Table1[[#This Row],[Sales]]*0.7)))</f>
        <v>6364.8</v>
      </c>
      <c r="I1780" s="11">
        <f ca="1">Table1[[#This Row],[Sales]]-H1780</f>
        <v>3427.2</v>
      </c>
      <c r="J1780" s="2">
        <f ca="1">Table1[[#This Row],[Profit]]/Table1[[#This Row],[Sales]]</f>
        <v>0.35</v>
      </c>
      <c r="K1780" t="str">
        <f ca="1">TEXT(Table1[[#This Row],[Order_Date]],"mmm")</f>
        <v>Aug</v>
      </c>
      <c r="L1780">
        <f ca="1">YEAR(Table1[[#This Row],[Order_Date]])</f>
        <v>2023</v>
      </c>
    </row>
    <row r="1781" spans="1:12" x14ac:dyDescent="0.3">
      <c r="A1781">
        <f t="shared" si="108"/>
        <v>1780</v>
      </c>
      <c r="B1781" s="1">
        <f t="shared" ca="1" si="109"/>
        <v>45090</v>
      </c>
      <c r="C1781" t="s">
        <v>10</v>
      </c>
      <c r="D1781" t="str">
        <f t="shared" ca="1" si="110"/>
        <v>Office Supplies</v>
      </c>
      <c r="E1781" t="s">
        <v>52</v>
      </c>
      <c r="F1781" s="11">
        <v>5087</v>
      </c>
      <c r="G1781">
        <f t="shared" ca="1" si="111"/>
        <v>7</v>
      </c>
      <c r="H1781" s="11">
        <f ca="1">IF(Table1[[#This Row],[Category]]="Electronics",Table1[[#This Row],[Sales]]*0.6,
IF(Table1[[#This Row],[Category]]="Furniture",Table1[[#This Row],[Sales]]*0.75,
IF(Table1[[#This Row],[Category]]="Clothing",Table1[[#This Row],[Sales]]*0.65,
Table1[[#This Row],[Sales]]*0.7)))</f>
        <v>3560.8999999999996</v>
      </c>
      <c r="I1781" s="11">
        <f ca="1">Table1[[#This Row],[Sales]]-H1781</f>
        <v>1526.1000000000004</v>
      </c>
      <c r="J1781" s="2">
        <f ca="1">Table1[[#This Row],[Profit]]/Table1[[#This Row],[Sales]]</f>
        <v>0.30000000000000004</v>
      </c>
      <c r="K1781" t="str">
        <f ca="1">TEXT(Table1[[#This Row],[Order_Date]],"mmm")</f>
        <v>Jun</v>
      </c>
      <c r="L1781">
        <f ca="1">YEAR(Table1[[#This Row],[Order_Date]])</f>
        <v>2023</v>
      </c>
    </row>
    <row r="1782" spans="1:12" x14ac:dyDescent="0.3">
      <c r="A1782">
        <f t="shared" si="108"/>
        <v>1781</v>
      </c>
      <c r="B1782" s="1">
        <f t="shared" ca="1" si="109"/>
        <v>45020</v>
      </c>
      <c r="C1782" t="s">
        <v>7</v>
      </c>
      <c r="D1782" t="str">
        <f t="shared" ca="1" si="110"/>
        <v>Electronics</v>
      </c>
      <c r="E1782" t="s">
        <v>45</v>
      </c>
      <c r="F1782" s="11">
        <v>2009</v>
      </c>
      <c r="G1782">
        <f t="shared" ca="1" si="111"/>
        <v>4</v>
      </c>
      <c r="H1782" s="11">
        <f ca="1">IF(Table1[[#This Row],[Category]]="Electronics",Table1[[#This Row],[Sales]]*0.6,
IF(Table1[[#This Row],[Category]]="Furniture",Table1[[#This Row],[Sales]]*0.75,
IF(Table1[[#This Row],[Category]]="Clothing",Table1[[#This Row],[Sales]]*0.65,
Table1[[#This Row],[Sales]]*0.7)))</f>
        <v>1205.3999999999999</v>
      </c>
      <c r="I1782" s="11">
        <f ca="1">Table1[[#This Row],[Sales]]-H1782</f>
        <v>803.60000000000014</v>
      </c>
      <c r="J1782" s="2">
        <f ca="1">Table1[[#This Row],[Profit]]/Table1[[#This Row],[Sales]]</f>
        <v>0.40000000000000008</v>
      </c>
      <c r="K1782" t="str">
        <f ca="1">TEXT(Table1[[#This Row],[Order_Date]],"mmm")</f>
        <v>Apr</v>
      </c>
      <c r="L1782">
        <f ca="1">YEAR(Table1[[#This Row],[Order_Date]])</f>
        <v>2023</v>
      </c>
    </row>
    <row r="1783" spans="1:12" x14ac:dyDescent="0.3">
      <c r="A1783">
        <f t="shared" si="108"/>
        <v>1782</v>
      </c>
      <c r="B1783" s="1">
        <f t="shared" ca="1" si="109"/>
        <v>45041</v>
      </c>
      <c r="C1783" t="s">
        <v>8</v>
      </c>
      <c r="D1783" t="str">
        <f t="shared" ca="1" si="110"/>
        <v>Clothing</v>
      </c>
      <c r="E1783" t="s">
        <v>50</v>
      </c>
      <c r="F1783" s="11">
        <v>17634</v>
      </c>
      <c r="G1783">
        <f t="shared" ca="1" si="111"/>
        <v>5</v>
      </c>
      <c r="H1783" s="11">
        <f ca="1">IF(Table1[[#This Row],[Category]]="Electronics",Table1[[#This Row],[Sales]]*0.6,
IF(Table1[[#This Row],[Category]]="Furniture",Table1[[#This Row],[Sales]]*0.75,
IF(Table1[[#This Row],[Category]]="Clothing",Table1[[#This Row],[Sales]]*0.65,
Table1[[#This Row],[Sales]]*0.7)))</f>
        <v>11462.1</v>
      </c>
      <c r="I1783" s="11">
        <f ca="1">Table1[[#This Row],[Sales]]-H1783</f>
        <v>6171.9</v>
      </c>
      <c r="J1783" s="2">
        <f ca="1">Table1[[#This Row],[Profit]]/Table1[[#This Row],[Sales]]</f>
        <v>0.35</v>
      </c>
      <c r="K1783" t="str">
        <f ca="1">TEXT(Table1[[#This Row],[Order_Date]],"mmm")</f>
        <v>Apr</v>
      </c>
      <c r="L1783">
        <f ca="1">YEAR(Table1[[#This Row],[Order_Date]])</f>
        <v>2023</v>
      </c>
    </row>
    <row r="1784" spans="1:12" x14ac:dyDescent="0.3">
      <c r="A1784">
        <f t="shared" si="108"/>
        <v>1783</v>
      </c>
      <c r="B1784" s="1">
        <f t="shared" ca="1" si="109"/>
        <v>44934</v>
      </c>
      <c r="C1784" t="s">
        <v>9</v>
      </c>
      <c r="D1784" t="str">
        <f t="shared" ca="1" si="110"/>
        <v>Electronics</v>
      </c>
      <c r="E1784" t="s">
        <v>81</v>
      </c>
      <c r="F1784" s="11">
        <v>7356</v>
      </c>
      <c r="G1784">
        <f t="shared" ca="1" si="111"/>
        <v>10</v>
      </c>
      <c r="H1784" s="11">
        <f ca="1">IF(Table1[[#This Row],[Category]]="Electronics",Table1[[#This Row],[Sales]]*0.6,
IF(Table1[[#This Row],[Category]]="Furniture",Table1[[#This Row],[Sales]]*0.75,
IF(Table1[[#This Row],[Category]]="Clothing",Table1[[#This Row],[Sales]]*0.65,
Table1[[#This Row],[Sales]]*0.7)))</f>
        <v>4413.5999999999995</v>
      </c>
      <c r="I1784" s="11">
        <f ca="1">Table1[[#This Row],[Sales]]-H1784</f>
        <v>2942.4000000000005</v>
      </c>
      <c r="J1784" s="2">
        <f ca="1">Table1[[#This Row],[Profit]]/Table1[[#This Row],[Sales]]</f>
        <v>0.40000000000000008</v>
      </c>
      <c r="K1784" t="str">
        <f ca="1">TEXT(Table1[[#This Row],[Order_Date]],"mmm")</f>
        <v>Jan</v>
      </c>
      <c r="L1784">
        <f ca="1">YEAR(Table1[[#This Row],[Order_Date]])</f>
        <v>2023</v>
      </c>
    </row>
    <row r="1785" spans="1:12" x14ac:dyDescent="0.3">
      <c r="A1785">
        <f t="shared" si="108"/>
        <v>1784</v>
      </c>
      <c r="B1785" s="1">
        <f t="shared" ca="1" si="109"/>
        <v>45019</v>
      </c>
      <c r="C1785" t="s">
        <v>10</v>
      </c>
      <c r="D1785" t="str">
        <f t="shared" ca="1" si="110"/>
        <v>Electronics</v>
      </c>
      <c r="E1785" t="s">
        <v>69</v>
      </c>
      <c r="F1785" s="11">
        <v>1717</v>
      </c>
      <c r="G1785">
        <f t="shared" ca="1" si="111"/>
        <v>4</v>
      </c>
      <c r="H1785" s="11">
        <f ca="1">IF(Table1[[#This Row],[Category]]="Electronics",Table1[[#This Row],[Sales]]*0.6,
IF(Table1[[#This Row],[Category]]="Furniture",Table1[[#This Row],[Sales]]*0.75,
IF(Table1[[#This Row],[Category]]="Clothing",Table1[[#This Row],[Sales]]*0.65,
Table1[[#This Row],[Sales]]*0.7)))</f>
        <v>1030.2</v>
      </c>
      <c r="I1785" s="11">
        <f ca="1">Table1[[#This Row],[Sales]]-H1785</f>
        <v>686.8</v>
      </c>
      <c r="J1785" s="2">
        <f ca="1">Table1[[#This Row],[Profit]]/Table1[[#This Row],[Sales]]</f>
        <v>0.39999999999999997</v>
      </c>
      <c r="K1785" t="str">
        <f ca="1">TEXT(Table1[[#This Row],[Order_Date]],"mmm")</f>
        <v>Apr</v>
      </c>
      <c r="L1785">
        <f ca="1">YEAR(Table1[[#This Row],[Order_Date]])</f>
        <v>2023</v>
      </c>
    </row>
    <row r="1786" spans="1:12" x14ac:dyDescent="0.3">
      <c r="A1786">
        <f t="shared" si="108"/>
        <v>1785</v>
      </c>
      <c r="B1786" s="1">
        <f t="shared" ca="1" si="109"/>
        <v>45203</v>
      </c>
      <c r="C1786" t="s">
        <v>7</v>
      </c>
      <c r="D1786" t="str">
        <f t="shared" ca="1" si="110"/>
        <v>Clothing</v>
      </c>
      <c r="E1786" t="s">
        <v>46</v>
      </c>
      <c r="F1786" s="11">
        <v>12436</v>
      </c>
      <c r="G1786">
        <f t="shared" ca="1" si="111"/>
        <v>5</v>
      </c>
      <c r="H1786" s="11">
        <f ca="1">IF(Table1[[#This Row],[Category]]="Electronics",Table1[[#This Row],[Sales]]*0.6,
IF(Table1[[#This Row],[Category]]="Furniture",Table1[[#This Row],[Sales]]*0.75,
IF(Table1[[#This Row],[Category]]="Clothing",Table1[[#This Row],[Sales]]*0.65,
Table1[[#This Row],[Sales]]*0.7)))</f>
        <v>8083.4000000000005</v>
      </c>
      <c r="I1786" s="11">
        <f ca="1">Table1[[#This Row],[Sales]]-H1786</f>
        <v>4352.5999999999995</v>
      </c>
      <c r="J1786" s="2">
        <f ca="1">Table1[[#This Row],[Profit]]/Table1[[#This Row],[Sales]]</f>
        <v>0.35</v>
      </c>
      <c r="K1786" t="str">
        <f ca="1">TEXT(Table1[[#This Row],[Order_Date]],"mmm")</f>
        <v>Oct</v>
      </c>
      <c r="L1786">
        <f ca="1">YEAR(Table1[[#This Row],[Order_Date]])</f>
        <v>2023</v>
      </c>
    </row>
    <row r="1787" spans="1:12" x14ac:dyDescent="0.3">
      <c r="A1787">
        <f t="shared" si="108"/>
        <v>1786</v>
      </c>
      <c r="B1787" s="1">
        <f t="shared" ca="1" si="109"/>
        <v>45116</v>
      </c>
      <c r="C1787" t="s">
        <v>8</v>
      </c>
      <c r="D1787" t="str">
        <f t="shared" ca="1" si="110"/>
        <v>Office Supplies</v>
      </c>
      <c r="E1787" t="s">
        <v>68</v>
      </c>
      <c r="F1787" s="11">
        <v>11654</v>
      </c>
      <c r="G1787">
        <f t="shared" ca="1" si="111"/>
        <v>3</v>
      </c>
      <c r="H1787" s="11">
        <f ca="1">IF(Table1[[#This Row],[Category]]="Electronics",Table1[[#This Row],[Sales]]*0.6,
IF(Table1[[#This Row],[Category]]="Furniture",Table1[[#This Row],[Sales]]*0.75,
IF(Table1[[#This Row],[Category]]="Clothing",Table1[[#This Row],[Sales]]*0.65,
Table1[[#This Row],[Sales]]*0.7)))</f>
        <v>8157.7999999999993</v>
      </c>
      <c r="I1787" s="11">
        <f ca="1">Table1[[#This Row],[Sales]]-H1787</f>
        <v>3496.2000000000007</v>
      </c>
      <c r="J1787" s="2">
        <f ca="1">Table1[[#This Row],[Profit]]/Table1[[#This Row],[Sales]]</f>
        <v>0.30000000000000004</v>
      </c>
      <c r="K1787" t="str">
        <f ca="1">TEXT(Table1[[#This Row],[Order_Date]],"mmm")</f>
        <v>Jul</v>
      </c>
      <c r="L1787">
        <f ca="1">YEAR(Table1[[#This Row],[Order_Date]])</f>
        <v>2023</v>
      </c>
    </row>
    <row r="1788" spans="1:12" x14ac:dyDescent="0.3">
      <c r="A1788">
        <f t="shared" si="108"/>
        <v>1787</v>
      </c>
      <c r="B1788" s="1">
        <f t="shared" ca="1" si="109"/>
        <v>45063</v>
      </c>
      <c r="C1788" t="s">
        <v>9</v>
      </c>
      <c r="D1788" t="str">
        <f t="shared" ca="1" si="110"/>
        <v>Clothing</v>
      </c>
      <c r="E1788" t="s">
        <v>79</v>
      </c>
      <c r="F1788" s="11">
        <v>10641</v>
      </c>
      <c r="G1788">
        <f t="shared" ca="1" si="111"/>
        <v>7</v>
      </c>
      <c r="H1788" s="11">
        <f ca="1">IF(Table1[[#This Row],[Category]]="Electronics",Table1[[#This Row],[Sales]]*0.6,
IF(Table1[[#This Row],[Category]]="Furniture",Table1[[#This Row],[Sales]]*0.75,
IF(Table1[[#This Row],[Category]]="Clothing",Table1[[#This Row],[Sales]]*0.65,
Table1[[#This Row],[Sales]]*0.7)))</f>
        <v>6916.6500000000005</v>
      </c>
      <c r="I1788" s="11">
        <f ca="1">Table1[[#This Row],[Sales]]-H1788</f>
        <v>3724.3499999999995</v>
      </c>
      <c r="J1788" s="2">
        <f ca="1">Table1[[#This Row],[Profit]]/Table1[[#This Row],[Sales]]</f>
        <v>0.34999999999999992</v>
      </c>
      <c r="K1788" t="str">
        <f ca="1">TEXT(Table1[[#This Row],[Order_Date]],"mmm")</f>
        <v>May</v>
      </c>
      <c r="L1788">
        <f ca="1">YEAR(Table1[[#This Row],[Order_Date]])</f>
        <v>2023</v>
      </c>
    </row>
    <row r="1789" spans="1:12" x14ac:dyDescent="0.3">
      <c r="A1789">
        <f t="shared" si="108"/>
        <v>1788</v>
      </c>
      <c r="B1789" s="1">
        <f t="shared" ca="1" si="109"/>
        <v>45176</v>
      </c>
      <c r="C1789" t="s">
        <v>10</v>
      </c>
      <c r="D1789" t="str">
        <f t="shared" ca="1" si="110"/>
        <v>Office Supplies</v>
      </c>
      <c r="E1789" t="s">
        <v>76</v>
      </c>
      <c r="F1789" s="11">
        <v>13925</v>
      </c>
      <c r="G1789">
        <f t="shared" ca="1" si="111"/>
        <v>2</v>
      </c>
      <c r="H1789" s="11">
        <f ca="1">IF(Table1[[#This Row],[Category]]="Electronics",Table1[[#This Row],[Sales]]*0.6,
IF(Table1[[#This Row],[Category]]="Furniture",Table1[[#This Row],[Sales]]*0.75,
IF(Table1[[#This Row],[Category]]="Clothing",Table1[[#This Row],[Sales]]*0.65,
Table1[[#This Row],[Sales]]*0.7)))</f>
        <v>9747.5</v>
      </c>
      <c r="I1789" s="11">
        <f ca="1">Table1[[#This Row],[Sales]]-H1789</f>
        <v>4177.5</v>
      </c>
      <c r="J1789" s="2">
        <f ca="1">Table1[[#This Row],[Profit]]/Table1[[#This Row],[Sales]]</f>
        <v>0.3</v>
      </c>
      <c r="K1789" t="str">
        <f ca="1">TEXT(Table1[[#This Row],[Order_Date]],"mmm")</f>
        <v>Sep</v>
      </c>
      <c r="L1789">
        <f ca="1">YEAR(Table1[[#This Row],[Order_Date]])</f>
        <v>2023</v>
      </c>
    </row>
    <row r="1790" spans="1:12" x14ac:dyDescent="0.3">
      <c r="A1790">
        <f t="shared" si="108"/>
        <v>1789</v>
      </c>
      <c r="B1790" s="1">
        <f t="shared" ca="1" si="109"/>
        <v>44994</v>
      </c>
      <c r="C1790" t="s">
        <v>7</v>
      </c>
      <c r="D1790" t="str">
        <f t="shared" ca="1" si="110"/>
        <v>Clothing</v>
      </c>
      <c r="E1790" t="s">
        <v>37</v>
      </c>
      <c r="F1790" s="11">
        <v>2980</v>
      </c>
      <c r="G1790">
        <f t="shared" ca="1" si="111"/>
        <v>3</v>
      </c>
      <c r="H1790" s="11">
        <f ca="1">IF(Table1[[#This Row],[Category]]="Electronics",Table1[[#This Row],[Sales]]*0.6,
IF(Table1[[#This Row],[Category]]="Furniture",Table1[[#This Row],[Sales]]*0.75,
IF(Table1[[#This Row],[Category]]="Clothing",Table1[[#This Row],[Sales]]*0.65,
Table1[[#This Row],[Sales]]*0.7)))</f>
        <v>1937</v>
      </c>
      <c r="I1790" s="11">
        <f ca="1">Table1[[#This Row],[Sales]]-H1790</f>
        <v>1043</v>
      </c>
      <c r="J1790" s="2">
        <f ca="1">Table1[[#This Row],[Profit]]/Table1[[#This Row],[Sales]]</f>
        <v>0.35</v>
      </c>
      <c r="K1790" t="str">
        <f ca="1">TEXT(Table1[[#This Row],[Order_Date]],"mmm")</f>
        <v>Mar</v>
      </c>
      <c r="L1790">
        <f ca="1">YEAR(Table1[[#This Row],[Order_Date]])</f>
        <v>2023</v>
      </c>
    </row>
    <row r="1791" spans="1:12" x14ac:dyDescent="0.3">
      <c r="A1791">
        <f t="shared" si="108"/>
        <v>1790</v>
      </c>
      <c r="B1791" s="1">
        <f t="shared" ca="1" si="109"/>
        <v>44971</v>
      </c>
      <c r="C1791" t="s">
        <v>8</v>
      </c>
      <c r="D1791" t="str">
        <f t="shared" ca="1" si="110"/>
        <v>Clothing</v>
      </c>
      <c r="E1791" t="s">
        <v>42</v>
      </c>
      <c r="F1791" s="11">
        <v>13699</v>
      </c>
      <c r="G1791">
        <f t="shared" ca="1" si="111"/>
        <v>1</v>
      </c>
      <c r="H1791" s="11">
        <f ca="1">IF(Table1[[#This Row],[Category]]="Electronics",Table1[[#This Row],[Sales]]*0.6,
IF(Table1[[#This Row],[Category]]="Furniture",Table1[[#This Row],[Sales]]*0.75,
IF(Table1[[#This Row],[Category]]="Clothing",Table1[[#This Row],[Sales]]*0.65,
Table1[[#This Row],[Sales]]*0.7)))</f>
        <v>8904.35</v>
      </c>
      <c r="I1791" s="11">
        <f ca="1">Table1[[#This Row],[Sales]]-H1791</f>
        <v>4794.6499999999996</v>
      </c>
      <c r="J1791" s="2">
        <f ca="1">Table1[[#This Row],[Profit]]/Table1[[#This Row],[Sales]]</f>
        <v>0.35</v>
      </c>
      <c r="K1791" t="str">
        <f ca="1">TEXT(Table1[[#This Row],[Order_Date]],"mmm")</f>
        <v>Feb</v>
      </c>
      <c r="L1791">
        <f ca="1">YEAR(Table1[[#This Row],[Order_Date]])</f>
        <v>2023</v>
      </c>
    </row>
    <row r="1792" spans="1:12" x14ac:dyDescent="0.3">
      <c r="A1792">
        <f t="shared" si="108"/>
        <v>1791</v>
      </c>
      <c r="B1792" s="1">
        <f t="shared" ca="1" si="109"/>
        <v>45161</v>
      </c>
      <c r="C1792" t="s">
        <v>9</v>
      </c>
      <c r="D1792" t="str">
        <f t="shared" ca="1" si="110"/>
        <v>Furniture</v>
      </c>
      <c r="E1792" t="s">
        <v>79</v>
      </c>
      <c r="F1792" s="11">
        <v>19543</v>
      </c>
      <c r="G1792">
        <f t="shared" ca="1" si="111"/>
        <v>4</v>
      </c>
      <c r="H1792" s="11">
        <f ca="1">IF(Table1[[#This Row],[Category]]="Electronics",Table1[[#This Row],[Sales]]*0.6,
IF(Table1[[#This Row],[Category]]="Furniture",Table1[[#This Row],[Sales]]*0.75,
IF(Table1[[#This Row],[Category]]="Clothing",Table1[[#This Row],[Sales]]*0.65,
Table1[[#This Row],[Sales]]*0.7)))</f>
        <v>14657.25</v>
      </c>
      <c r="I1792" s="11">
        <f ca="1">Table1[[#This Row],[Sales]]-H1792</f>
        <v>4885.75</v>
      </c>
      <c r="J1792" s="2">
        <f ca="1">Table1[[#This Row],[Profit]]/Table1[[#This Row],[Sales]]</f>
        <v>0.25</v>
      </c>
      <c r="K1792" t="str">
        <f ca="1">TEXT(Table1[[#This Row],[Order_Date]],"mmm")</f>
        <v>Aug</v>
      </c>
      <c r="L1792">
        <f ca="1">YEAR(Table1[[#This Row],[Order_Date]])</f>
        <v>2023</v>
      </c>
    </row>
    <row r="1793" spans="1:12" x14ac:dyDescent="0.3">
      <c r="A1793">
        <f t="shared" si="108"/>
        <v>1792</v>
      </c>
      <c r="B1793" s="1">
        <f t="shared" ca="1" si="109"/>
        <v>44996</v>
      </c>
      <c r="C1793" t="s">
        <v>10</v>
      </c>
      <c r="D1793" t="str">
        <f t="shared" ca="1" si="110"/>
        <v>Electronics</v>
      </c>
      <c r="E1793" t="s">
        <v>57</v>
      </c>
      <c r="F1793" s="11">
        <v>2193</v>
      </c>
      <c r="G1793">
        <f t="shared" ca="1" si="111"/>
        <v>1</v>
      </c>
      <c r="H1793" s="11">
        <f ca="1">IF(Table1[[#This Row],[Category]]="Electronics",Table1[[#This Row],[Sales]]*0.6,
IF(Table1[[#This Row],[Category]]="Furniture",Table1[[#This Row],[Sales]]*0.75,
IF(Table1[[#This Row],[Category]]="Clothing",Table1[[#This Row],[Sales]]*0.65,
Table1[[#This Row],[Sales]]*0.7)))</f>
        <v>1315.8</v>
      </c>
      <c r="I1793" s="11">
        <f ca="1">Table1[[#This Row],[Sales]]-H1793</f>
        <v>877.2</v>
      </c>
      <c r="J1793" s="2">
        <f ca="1">Table1[[#This Row],[Profit]]/Table1[[#This Row],[Sales]]</f>
        <v>0.4</v>
      </c>
      <c r="K1793" t="str">
        <f ca="1">TEXT(Table1[[#This Row],[Order_Date]],"mmm")</f>
        <v>Mar</v>
      </c>
      <c r="L1793">
        <f ca="1">YEAR(Table1[[#This Row],[Order_Date]])</f>
        <v>2023</v>
      </c>
    </row>
    <row r="1794" spans="1:12" x14ac:dyDescent="0.3">
      <c r="A1794">
        <f t="shared" si="108"/>
        <v>1793</v>
      </c>
      <c r="B1794" s="1">
        <f t="shared" ca="1" si="109"/>
        <v>45066</v>
      </c>
      <c r="C1794" t="s">
        <v>7</v>
      </c>
      <c r="D1794" t="str">
        <f t="shared" ca="1" si="110"/>
        <v>Office Supplies</v>
      </c>
      <c r="E1794" t="s">
        <v>45</v>
      </c>
      <c r="F1794" s="11">
        <v>19666</v>
      </c>
      <c r="G1794">
        <f t="shared" ca="1" si="111"/>
        <v>4</v>
      </c>
      <c r="H1794" s="11">
        <f ca="1">IF(Table1[[#This Row],[Category]]="Electronics",Table1[[#This Row],[Sales]]*0.6,
IF(Table1[[#This Row],[Category]]="Furniture",Table1[[#This Row],[Sales]]*0.75,
IF(Table1[[#This Row],[Category]]="Clothing",Table1[[#This Row],[Sales]]*0.65,
Table1[[#This Row],[Sales]]*0.7)))</f>
        <v>13766.199999999999</v>
      </c>
      <c r="I1794" s="11">
        <f ca="1">Table1[[#This Row],[Sales]]-H1794</f>
        <v>5899.8000000000011</v>
      </c>
      <c r="J1794" s="2">
        <f ca="1">Table1[[#This Row],[Profit]]/Table1[[#This Row],[Sales]]</f>
        <v>0.30000000000000004</v>
      </c>
      <c r="K1794" t="str">
        <f ca="1">TEXT(Table1[[#This Row],[Order_Date]],"mmm")</f>
        <v>May</v>
      </c>
      <c r="L1794">
        <f ca="1">YEAR(Table1[[#This Row],[Order_Date]])</f>
        <v>2023</v>
      </c>
    </row>
    <row r="1795" spans="1:12" x14ac:dyDescent="0.3">
      <c r="A1795">
        <f t="shared" ref="A1795:A1858" si="112">ROW()-1</f>
        <v>1794</v>
      </c>
      <c r="B1795" s="1">
        <f t="shared" ref="B1795:B1858" ca="1" si="113">DATE(2023, RANDBETWEEN(1,12), RANDBETWEEN(1,28))</f>
        <v>45050</v>
      </c>
      <c r="C1795" t="s">
        <v>8</v>
      </c>
      <c r="D1795" t="str">
        <f t="shared" ref="D1795:D1858" ca="1" si="114">CHOOSE(RANDBETWEEN(1,4),"Electronics","Furniture","Clothing","Office Supplies")</f>
        <v>Electronics</v>
      </c>
      <c r="E1795" t="s">
        <v>40</v>
      </c>
      <c r="F1795" s="11">
        <v>8621</v>
      </c>
      <c r="G1795">
        <f t="shared" ref="G1795:G1858" ca="1" si="115">RANDBETWEEN(1,10)</f>
        <v>3</v>
      </c>
      <c r="H1795" s="11">
        <f ca="1">IF(Table1[[#This Row],[Category]]="Electronics",Table1[[#This Row],[Sales]]*0.6,
IF(Table1[[#This Row],[Category]]="Furniture",Table1[[#This Row],[Sales]]*0.75,
IF(Table1[[#This Row],[Category]]="Clothing",Table1[[#This Row],[Sales]]*0.65,
Table1[[#This Row],[Sales]]*0.7)))</f>
        <v>5172.5999999999995</v>
      </c>
      <c r="I1795" s="11">
        <f ca="1">Table1[[#This Row],[Sales]]-H1795</f>
        <v>3448.4000000000005</v>
      </c>
      <c r="J1795" s="2">
        <f ca="1">Table1[[#This Row],[Profit]]/Table1[[#This Row],[Sales]]</f>
        <v>0.40000000000000008</v>
      </c>
      <c r="K1795" t="str">
        <f ca="1">TEXT(Table1[[#This Row],[Order_Date]],"mmm")</f>
        <v>May</v>
      </c>
      <c r="L1795">
        <f ca="1">YEAR(Table1[[#This Row],[Order_Date]])</f>
        <v>2023</v>
      </c>
    </row>
    <row r="1796" spans="1:12" x14ac:dyDescent="0.3">
      <c r="A1796">
        <f t="shared" si="112"/>
        <v>1795</v>
      </c>
      <c r="B1796" s="1">
        <f t="shared" ca="1" si="113"/>
        <v>44979</v>
      </c>
      <c r="C1796" t="s">
        <v>9</v>
      </c>
      <c r="D1796" t="str">
        <f t="shared" ca="1" si="114"/>
        <v>Clothing</v>
      </c>
      <c r="E1796" t="s">
        <v>51</v>
      </c>
      <c r="F1796" s="11">
        <v>9179</v>
      </c>
      <c r="G1796">
        <f t="shared" ca="1" si="115"/>
        <v>1</v>
      </c>
      <c r="H1796" s="11">
        <f ca="1">IF(Table1[[#This Row],[Category]]="Electronics",Table1[[#This Row],[Sales]]*0.6,
IF(Table1[[#This Row],[Category]]="Furniture",Table1[[#This Row],[Sales]]*0.75,
IF(Table1[[#This Row],[Category]]="Clothing",Table1[[#This Row],[Sales]]*0.65,
Table1[[#This Row],[Sales]]*0.7)))</f>
        <v>5966.35</v>
      </c>
      <c r="I1796" s="11">
        <f ca="1">Table1[[#This Row],[Sales]]-H1796</f>
        <v>3212.6499999999996</v>
      </c>
      <c r="J1796" s="2">
        <f ca="1">Table1[[#This Row],[Profit]]/Table1[[#This Row],[Sales]]</f>
        <v>0.35</v>
      </c>
      <c r="K1796" t="str">
        <f ca="1">TEXT(Table1[[#This Row],[Order_Date]],"mmm")</f>
        <v>Feb</v>
      </c>
      <c r="L1796">
        <f ca="1">YEAR(Table1[[#This Row],[Order_Date]])</f>
        <v>2023</v>
      </c>
    </row>
    <row r="1797" spans="1:12" x14ac:dyDescent="0.3">
      <c r="A1797">
        <f t="shared" si="112"/>
        <v>1796</v>
      </c>
      <c r="B1797" s="1">
        <f t="shared" ca="1" si="113"/>
        <v>45024</v>
      </c>
      <c r="C1797" t="s">
        <v>10</v>
      </c>
      <c r="D1797" t="str">
        <f t="shared" ca="1" si="114"/>
        <v>Clothing</v>
      </c>
      <c r="E1797" t="s">
        <v>71</v>
      </c>
      <c r="F1797" s="11">
        <v>13469</v>
      </c>
      <c r="G1797">
        <f t="shared" ca="1" si="115"/>
        <v>6</v>
      </c>
      <c r="H1797" s="11">
        <f ca="1">IF(Table1[[#This Row],[Category]]="Electronics",Table1[[#This Row],[Sales]]*0.6,
IF(Table1[[#This Row],[Category]]="Furniture",Table1[[#This Row],[Sales]]*0.75,
IF(Table1[[#This Row],[Category]]="Clothing",Table1[[#This Row],[Sales]]*0.65,
Table1[[#This Row],[Sales]]*0.7)))</f>
        <v>8754.85</v>
      </c>
      <c r="I1797" s="11">
        <f ca="1">Table1[[#This Row],[Sales]]-H1797</f>
        <v>4714.1499999999996</v>
      </c>
      <c r="J1797" s="2">
        <f ca="1">Table1[[#This Row],[Profit]]/Table1[[#This Row],[Sales]]</f>
        <v>0.35</v>
      </c>
      <c r="K1797" t="str">
        <f ca="1">TEXT(Table1[[#This Row],[Order_Date]],"mmm")</f>
        <v>Apr</v>
      </c>
      <c r="L1797">
        <f ca="1">YEAR(Table1[[#This Row],[Order_Date]])</f>
        <v>2023</v>
      </c>
    </row>
    <row r="1798" spans="1:12" x14ac:dyDescent="0.3">
      <c r="A1798">
        <f t="shared" si="112"/>
        <v>1797</v>
      </c>
      <c r="B1798" s="1">
        <f t="shared" ca="1" si="113"/>
        <v>45035</v>
      </c>
      <c r="C1798" t="s">
        <v>7</v>
      </c>
      <c r="D1798" t="str">
        <f t="shared" ca="1" si="114"/>
        <v>Furniture</v>
      </c>
      <c r="E1798" t="s">
        <v>60</v>
      </c>
      <c r="F1798" s="11">
        <v>7470</v>
      </c>
      <c r="G1798">
        <f t="shared" ca="1" si="115"/>
        <v>8</v>
      </c>
      <c r="H1798" s="11">
        <f ca="1">IF(Table1[[#This Row],[Category]]="Electronics",Table1[[#This Row],[Sales]]*0.6,
IF(Table1[[#This Row],[Category]]="Furniture",Table1[[#This Row],[Sales]]*0.75,
IF(Table1[[#This Row],[Category]]="Clothing",Table1[[#This Row],[Sales]]*0.65,
Table1[[#This Row],[Sales]]*0.7)))</f>
        <v>5602.5</v>
      </c>
      <c r="I1798" s="11">
        <f ca="1">Table1[[#This Row],[Sales]]-H1798</f>
        <v>1867.5</v>
      </c>
      <c r="J1798" s="2">
        <f ca="1">Table1[[#This Row],[Profit]]/Table1[[#This Row],[Sales]]</f>
        <v>0.25</v>
      </c>
      <c r="K1798" t="str">
        <f ca="1">TEXT(Table1[[#This Row],[Order_Date]],"mmm")</f>
        <v>Apr</v>
      </c>
      <c r="L1798">
        <f ca="1">YEAR(Table1[[#This Row],[Order_Date]])</f>
        <v>2023</v>
      </c>
    </row>
    <row r="1799" spans="1:12" x14ac:dyDescent="0.3">
      <c r="A1799">
        <f t="shared" si="112"/>
        <v>1798</v>
      </c>
      <c r="B1799" s="1">
        <f t="shared" ca="1" si="113"/>
        <v>45127</v>
      </c>
      <c r="C1799" t="s">
        <v>8</v>
      </c>
      <c r="D1799" t="str">
        <f t="shared" ca="1" si="114"/>
        <v>Electronics</v>
      </c>
      <c r="E1799" t="s">
        <v>52</v>
      </c>
      <c r="F1799" s="11">
        <v>7094</v>
      </c>
      <c r="G1799">
        <f t="shared" ca="1" si="115"/>
        <v>7</v>
      </c>
      <c r="H1799" s="11">
        <f ca="1">IF(Table1[[#This Row],[Category]]="Electronics",Table1[[#This Row],[Sales]]*0.6,
IF(Table1[[#This Row],[Category]]="Furniture",Table1[[#This Row],[Sales]]*0.75,
IF(Table1[[#This Row],[Category]]="Clothing",Table1[[#This Row],[Sales]]*0.65,
Table1[[#This Row],[Sales]]*0.7)))</f>
        <v>4256.3999999999996</v>
      </c>
      <c r="I1799" s="11">
        <f ca="1">Table1[[#This Row],[Sales]]-H1799</f>
        <v>2837.6000000000004</v>
      </c>
      <c r="J1799" s="2">
        <f ca="1">Table1[[#This Row],[Profit]]/Table1[[#This Row],[Sales]]</f>
        <v>0.40000000000000008</v>
      </c>
      <c r="K1799" t="str">
        <f ca="1">TEXT(Table1[[#This Row],[Order_Date]],"mmm")</f>
        <v>Jul</v>
      </c>
      <c r="L1799">
        <f ca="1">YEAR(Table1[[#This Row],[Order_Date]])</f>
        <v>2023</v>
      </c>
    </row>
    <row r="1800" spans="1:12" x14ac:dyDescent="0.3">
      <c r="A1800">
        <f t="shared" si="112"/>
        <v>1799</v>
      </c>
      <c r="B1800" s="1">
        <f t="shared" ca="1" si="113"/>
        <v>45081</v>
      </c>
      <c r="C1800" t="s">
        <v>9</v>
      </c>
      <c r="D1800" t="str">
        <f t="shared" ca="1" si="114"/>
        <v>Office Supplies</v>
      </c>
      <c r="E1800" t="s">
        <v>65</v>
      </c>
      <c r="F1800" s="11">
        <v>5407</v>
      </c>
      <c r="G1800">
        <f t="shared" ca="1" si="115"/>
        <v>4</v>
      </c>
      <c r="H1800" s="11">
        <f ca="1">IF(Table1[[#This Row],[Category]]="Electronics",Table1[[#This Row],[Sales]]*0.6,
IF(Table1[[#This Row],[Category]]="Furniture",Table1[[#This Row],[Sales]]*0.75,
IF(Table1[[#This Row],[Category]]="Clothing",Table1[[#This Row],[Sales]]*0.65,
Table1[[#This Row],[Sales]]*0.7)))</f>
        <v>3784.8999999999996</v>
      </c>
      <c r="I1800" s="11">
        <f ca="1">Table1[[#This Row],[Sales]]-H1800</f>
        <v>1622.1000000000004</v>
      </c>
      <c r="J1800" s="2">
        <f ca="1">Table1[[#This Row],[Profit]]/Table1[[#This Row],[Sales]]</f>
        <v>0.30000000000000004</v>
      </c>
      <c r="K1800" t="str">
        <f ca="1">TEXT(Table1[[#This Row],[Order_Date]],"mmm")</f>
        <v>Jun</v>
      </c>
      <c r="L1800">
        <f ca="1">YEAR(Table1[[#This Row],[Order_Date]])</f>
        <v>2023</v>
      </c>
    </row>
    <row r="1801" spans="1:12" x14ac:dyDescent="0.3">
      <c r="A1801">
        <f t="shared" si="112"/>
        <v>1800</v>
      </c>
      <c r="B1801" s="1">
        <f t="shared" ca="1" si="113"/>
        <v>44937</v>
      </c>
      <c r="C1801" t="s">
        <v>10</v>
      </c>
      <c r="D1801" t="str">
        <f t="shared" ca="1" si="114"/>
        <v>Furniture</v>
      </c>
      <c r="E1801" t="s">
        <v>62</v>
      </c>
      <c r="F1801" s="11">
        <v>15662</v>
      </c>
      <c r="G1801">
        <f t="shared" ca="1" si="115"/>
        <v>8</v>
      </c>
      <c r="H1801" s="11">
        <f ca="1">IF(Table1[[#This Row],[Category]]="Electronics",Table1[[#This Row],[Sales]]*0.6,
IF(Table1[[#This Row],[Category]]="Furniture",Table1[[#This Row],[Sales]]*0.75,
IF(Table1[[#This Row],[Category]]="Clothing",Table1[[#This Row],[Sales]]*0.65,
Table1[[#This Row],[Sales]]*0.7)))</f>
        <v>11746.5</v>
      </c>
      <c r="I1801" s="11">
        <f ca="1">Table1[[#This Row],[Sales]]-H1801</f>
        <v>3915.5</v>
      </c>
      <c r="J1801" s="2">
        <f ca="1">Table1[[#This Row],[Profit]]/Table1[[#This Row],[Sales]]</f>
        <v>0.25</v>
      </c>
      <c r="K1801" t="str">
        <f ca="1">TEXT(Table1[[#This Row],[Order_Date]],"mmm")</f>
        <v>Jan</v>
      </c>
      <c r="L1801">
        <f ca="1">YEAR(Table1[[#This Row],[Order_Date]])</f>
        <v>2023</v>
      </c>
    </row>
    <row r="1802" spans="1:12" x14ac:dyDescent="0.3">
      <c r="A1802">
        <f t="shared" si="112"/>
        <v>1801</v>
      </c>
      <c r="B1802" s="1">
        <f t="shared" ca="1" si="113"/>
        <v>45272</v>
      </c>
      <c r="C1802" t="s">
        <v>7</v>
      </c>
      <c r="D1802" t="str">
        <f t="shared" ca="1" si="114"/>
        <v>Office Supplies</v>
      </c>
      <c r="E1802" t="s">
        <v>69</v>
      </c>
      <c r="F1802" s="11">
        <v>4682</v>
      </c>
      <c r="G1802">
        <f t="shared" ca="1" si="115"/>
        <v>10</v>
      </c>
      <c r="H1802" s="11">
        <f ca="1">IF(Table1[[#This Row],[Category]]="Electronics",Table1[[#This Row],[Sales]]*0.6,
IF(Table1[[#This Row],[Category]]="Furniture",Table1[[#This Row],[Sales]]*0.75,
IF(Table1[[#This Row],[Category]]="Clothing",Table1[[#This Row],[Sales]]*0.65,
Table1[[#This Row],[Sales]]*0.7)))</f>
        <v>3277.3999999999996</v>
      </c>
      <c r="I1802" s="11">
        <f ca="1">Table1[[#This Row],[Sales]]-H1802</f>
        <v>1404.6000000000004</v>
      </c>
      <c r="J1802" s="2">
        <f ca="1">Table1[[#This Row],[Profit]]/Table1[[#This Row],[Sales]]</f>
        <v>0.3000000000000001</v>
      </c>
      <c r="K1802" t="str">
        <f ca="1">TEXT(Table1[[#This Row],[Order_Date]],"mmm")</f>
        <v>Dec</v>
      </c>
      <c r="L1802">
        <f ca="1">YEAR(Table1[[#This Row],[Order_Date]])</f>
        <v>2023</v>
      </c>
    </row>
    <row r="1803" spans="1:12" x14ac:dyDescent="0.3">
      <c r="A1803">
        <f t="shared" si="112"/>
        <v>1802</v>
      </c>
      <c r="B1803" s="1">
        <f t="shared" ca="1" si="113"/>
        <v>45032</v>
      </c>
      <c r="C1803" t="s">
        <v>8</v>
      </c>
      <c r="D1803" t="str">
        <f t="shared" ca="1" si="114"/>
        <v>Office Supplies</v>
      </c>
      <c r="E1803" t="s">
        <v>79</v>
      </c>
      <c r="F1803" s="11">
        <v>7810</v>
      </c>
      <c r="G1803">
        <f t="shared" ca="1" si="115"/>
        <v>5</v>
      </c>
      <c r="H1803" s="11">
        <f ca="1">IF(Table1[[#This Row],[Category]]="Electronics",Table1[[#This Row],[Sales]]*0.6,
IF(Table1[[#This Row],[Category]]="Furniture",Table1[[#This Row],[Sales]]*0.75,
IF(Table1[[#This Row],[Category]]="Clothing",Table1[[#This Row],[Sales]]*0.65,
Table1[[#This Row],[Sales]]*0.7)))</f>
        <v>5467</v>
      </c>
      <c r="I1803" s="11">
        <f ca="1">Table1[[#This Row],[Sales]]-H1803</f>
        <v>2343</v>
      </c>
      <c r="J1803" s="2">
        <f ca="1">Table1[[#This Row],[Profit]]/Table1[[#This Row],[Sales]]</f>
        <v>0.3</v>
      </c>
      <c r="K1803" t="str">
        <f ca="1">TEXT(Table1[[#This Row],[Order_Date]],"mmm")</f>
        <v>Apr</v>
      </c>
      <c r="L1803">
        <f ca="1">YEAR(Table1[[#This Row],[Order_Date]])</f>
        <v>2023</v>
      </c>
    </row>
    <row r="1804" spans="1:12" x14ac:dyDescent="0.3">
      <c r="A1804">
        <f t="shared" si="112"/>
        <v>1803</v>
      </c>
      <c r="B1804" s="1">
        <f t="shared" ca="1" si="113"/>
        <v>44963</v>
      </c>
      <c r="C1804" t="s">
        <v>9</v>
      </c>
      <c r="D1804" t="str">
        <f t="shared" ca="1" si="114"/>
        <v>Electronics</v>
      </c>
      <c r="E1804" t="s">
        <v>85</v>
      </c>
      <c r="F1804" s="11">
        <v>19571</v>
      </c>
      <c r="G1804">
        <f t="shared" ca="1" si="115"/>
        <v>3</v>
      </c>
      <c r="H1804" s="11">
        <f ca="1">IF(Table1[[#This Row],[Category]]="Electronics",Table1[[#This Row],[Sales]]*0.6,
IF(Table1[[#This Row],[Category]]="Furniture",Table1[[#This Row],[Sales]]*0.75,
IF(Table1[[#This Row],[Category]]="Clothing",Table1[[#This Row],[Sales]]*0.65,
Table1[[#This Row],[Sales]]*0.7)))</f>
        <v>11742.6</v>
      </c>
      <c r="I1804" s="11">
        <f ca="1">Table1[[#This Row],[Sales]]-H1804</f>
        <v>7828.4</v>
      </c>
      <c r="J1804" s="2">
        <f ca="1">Table1[[#This Row],[Profit]]/Table1[[#This Row],[Sales]]</f>
        <v>0.39999999999999997</v>
      </c>
      <c r="K1804" t="str">
        <f ca="1">TEXT(Table1[[#This Row],[Order_Date]],"mmm")</f>
        <v>Feb</v>
      </c>
      <c r="L1804">
        <f ca="1">YEAR(Table1[[#This Row],[Order_Date]])</f>
        <v>2023</v>
      </c>
    </row>
    <row r="1805" spans="1:12" x14ac:dyDescent="0.3">
      <c r="A1805">
        <f t="shared" si="112"/>
        <v>1804</v>
      </c>
      <c r="B1805" s="1">
        <f t="shared" ca="1" si="113"/>
        <v>45254</v>
      </c>
      <c r="C1805" t="s">
        <v>10</v>
      </c>
      <c r="D1805" t="str">
        <f t="shared" ca="1" si="114"/>
        <v>Furniture</v>
      </c>
      <c r="E1805" t="s">
        <v>64</v>
      </c>
      <c r="F1805" s="11">
        <v>19043</v>
      </c>
      <c r="G1805">
        <f t="shared" ca="1" si="115"/>
        <v>8</v>
      </c>
      <c r="H1805" s="11">
        <f ca="1">IF(Table1[[#This Row],[Category]]="Electronics",Table1[[#This Row],[Sales]]*0.6,
IF(Table1[[#This Row],[Category]]="Furniture",Table1[[#This Row],[Sales]]*0.75,
IF(Table1[[#This Row],[Category]]="Clothing",Table1[[#This Row],[Sales]]*0.65,
Table1[[#This Row],[Sales]]*0.7)))</f>
        <v>14282.25</v>
      </c>
      <c r="I1805" s="11">
        <f ca="1">Table1[[#This Row],[Sales]]-H1805</f>
        <v>4760.75</v>
      </c>
      <c r="J1805" s="2">
        <f ca="1">Table1[[#This Row],[Profit]]/Table1[[#This Row],[Sales]]</f>
        <v>0.25</v>
      </c>
      <c r="K1805" t="str">
        <f ca="1">TEXT(Table1[[#This Row],[Order_Date]],"mmm")</f>
        <v>Nov</v>
      </c>
      <c r="L1805">
        <f ca="1">YEAR(Table1[[#This Row],[Order_Date]])</f>
        <v>2023</v>
      </c>
    </row>
    <row r="1806" spans="1:12" x14ac:dyDescent="0.3">
      <c r="A1806">
        <f t="shared" si="112"/>
        <v>1805</v>
      </c>
      <c r="B1806" s="1">
        <f t="shared" ca="1" si="113"/>
        <v>44947</v>
      </c>
      <c r="C1806" t="s">
        <v>7</v>
      </c>
      <c r="D1806" t="str">
        <f t="shared" ca="1" si="114"/>
        <v>Clothing</v>
      </c>
      <c r="E1806" t="s">
        <v>65</v>
      </c>
      <c r="F1806" s="11">
        <v>11937</v>
      </c>
      <c r="G1806">
        <f t="shared" ca="1" si="115"/>
        <v>6</v>
      </c>
      <c r="H1806" s="11">
        <f ca="1">IF(Table1[[#This Row],[Category]]="Electronics",Table1[[#This Row],[Sales]]*0.6,
IF(Table1[[#This Row],[Category]]="Furniture",Table1[[#This Row],[Sales]]*0.75,
IF(Table1[[#This Row],[Category]]="Clothing",Table1[[#This Row],[Sales]]*0.65,
Table1[[#This Row],[Sales]]*0.7)))</f>
        <v>7759.05</v>
      </c>
      <c r="I1806" s="11">
        <f ca="1">Table1[[#This Row],[Sales]]-H1806</f>
        <v>4177.95</v>
      </c>
      <c r="J1806" s="2">
        <f ca="1">Table1[[#This Row],[Profit]]/Table1[[#This Row],[Sales]]</f>
        <v>0.35</v>
      </c>
      <c r="K1806" t="str">
        <f ca="1">TEXT(Table1[[#This Row],[Order_Date]],"mmm")</f>
        <v>Jan</v>
      </c>
      <c r="L1806">
        <f ca="1">YEAR(Table1[[#This Row],[Order_Date]])</f>
        <v>2023</v>
      </c>
    </row>
    <row r="1807" spans="1:12" x14ac:dyDescent="0.3">
      <c r="A1807">
        <f t="shared" si="112"/>
        <v>1806</v>
      </c>
      <c r="B1807" s="1">
        <f t="shared" ca="1" si="113"/>
        <v>45021</v>
      </c>
      <c r="C1807" t="s">
        <v>8</v>
      </c>
      <c r="D1807" t="str">
        <f t="shared" ca="1" si="114"/>
        <v>Clothing</v>
      </c>
      <c r="E1807" t="s">
        <v>56</v>
      </c>
      <c r="F1807" s="11">
        <v>17740</v>
      </c>
      <c r="G1807">
        <f t="shared" ca="1" si="115"/>
        <v>1</v>
      </c>
      <c r="H1807" s="11">
        <f ca="1">IF(Table1[[#This Row],[Category]]="Electronics",Table1[[#This Row],[Sales]]*0.6,
IF(Table1[[#This Row],[Category]]="Furniture",Table1[[#This Row],[Sales]]*0.75,
IF(Table1[[#This Row],[Category]]="Clothing",Table1[[#This Row],[Sales]]*0.65,
Table1[[#This Row],[Sales]]*0.7)))</f>
        <v>11531</v>
      </c>
      <c r="I1807" s="11">
        <f ca="1">Table1[[#This Row],[Sales]]-H1807</f>
        <v>6209</v>
      </c>
      <c r="J1807" s="2">
        <f ca="1">Table1[[#This Row],[Profit]]/Table1[[#This Row],[Sales]]</f>
        <v>0.35</v>
      </c>
      <c r="K1807" t="str">
        <f ca="1">TEXT(Table1[[#This Row],[Order_Date]],"mmm")</f>
        <v>Apr</v>
      </c>
      <c r="L1807">
        <f ca="1">YEAR(Table1[[#This Row],[Order_Date]])</f>
        <v>2023</v>
      </c>
    </row>
    <row r="1808" spans="1:12" x14ac:dyDescent="0.3">
      <c r="A1808">
        <f t="shared" si="112"/>
        <v>1807</v>
      </c>
      <c r="B1808" s="1">
        <f t="shared" ca="1" si="113"/>
        <v>45130</v>
      </c>
      <c r="C1808" t="s">
        <v>9</v>
      </c>
      <c r="D1808" t="str">
        <f t="shared" ca="1" si="114"/>
        <v>Furniture</v>
      </c>
      <c r="E1808" t="s">
        <v>64</v>
      </c>
      <c r="F1808" s="11">
        <v>17361</v>
      </c>
      <c r="G1808">
        <f t="shared" ca="1" si="115"/>
        <v>1</v>
      </c>
      <c r="H1808" s="11">
        <f ca="1">IF(Table1[[#This Row],[Category]]="Electronics",Table1[[#This Row],[Sales]]*0.6,
IF(Table1[[#This Row],[Category]]="Furniture",Table1[[#This Row],[Sales]]*0.75,
IF(Table1[[#This Row],[Category]]="Clothing",Table1[[#This Row],[Sales]]*0.65,
Table1[[#This Row],[Sales]]*0.7)))</f>
        <v>13020.75</v>
      </c>
      <c r="I1808" s="11">
        <f ca="1">Table1[[#This Row],[Sales]]-H1808</f>
        <v>4340.25</v>
      </c>
      <c r="J1808" s="2">
        <f ca="1">Table1[[#This Row],[Profit]]/Table1[[#This Row],[Sales]]</f>
        <v>0.25</v>
      </c>
      <c r="K1808" t="str">
        <f ca="1">TEXT(Table1[[#This Row],[Order_Date]],"mmm")</f>
        <v>Jul</v>
      </c>
      <c r="L1808">
        <f ca="1">YEAR(Table1[[#This Row],[Order_Date]])</f>
        <v>2023</v>
      </c>
    </row>
    <row r="1809" spans="1:12" x14ac:dyDescent="0.3">
      <c r="A1809">
        <f t="shared" si="112"/>
        <v>1808</v>
      </c>
      <c r="B1809" s="1">
        <f t="shared" ca="1" si="113"/>
        <v>44987</v>
      </c>
      <c r="C1809" t="s">
        <v>10</v>
      </c>
      <c r="D1809" t="str">
        <f t="shared" ca="1" si="114"/>
        <v>Clothing</v>
      </c>
      <c r="E1809" t="s">
        <v>36</v>
      </c>
      <c r="F1809" s="11">
        <v>10468</v>
      </c>
      <c r="G1809">
        <f t="shared" ca="1" si="115"/>
        <v>10</v>
      </c>
      <c r="H1809" s="11">
        <f ca="1">IF(Table1[[#This Row],[Category]]="Electronics",Table1[[#This Row],[Sales]]*0.6,
IF(Table1[[#This Row],[Category]]="Furniture",Table1[[#This Row],[Sales]]*0.75,
IF(Table1[[#This Row],[Category]]="Clothing",Table1[[#This Row],[Sales]]*0.65,
Table1[[#This Row],[Sales]]*0.7)))</f>
        <v>6804.2</v>
      </c>
      <c r="I1809" s="11">
        <f ca="1">Table1[[#This Row],[Sales]]-H1809</f>
        <v>3663.8</v>
      </c>
      <c r="J1809" s="2">
        <f ca="1">Table1[[#This Row],[Profit]]/Table1[[#This Row],[Sales]]</f>
        <v>0.35000000000000003</v>
      </c>
      <c r="K1809" t="str">
        <f ca="1">TEXT(Table1[[#This Row],[Order_Date]],"mmm")</f>
        <v>Mar</v>
      </c>
      <c r="L1809">
        <f ca="1">YEAR(Table1[[#This Row],[Order_Date]])</f>
        <v>2023</v>
      </c>
    </row>
    <row r="1810" spans="1:12" x14ac:dyDescent="0.3">
      <c r="A1810">
        <f t="shared" si="112"/>
        <v>1809</v>
      </c>
      <c r="B1810" s="1">
        <f t="shared" ca="1" si="113"/>
        <v>45197</v>
      </c>
      <c r="C1810" t="s">
        <v>7</v>
      </c>
      <c r="D1810" t="str">
        <f t="shared" ca="1" si="114"/>
        <v>Electronics</v>
      </c>
      <c r="E1810" t="s">
        <v>48</v>
      </c>
      <c r="F1810" s="11">
        <v>11100</v>
      </c>
      <c r="G1810">
        <f t="shared" ca="1" si="115"/>
        <v>6</v>
      </c>
      <c r="H1810" s="11">
        <f ca="1">IF(Table1[[#This Row],[Category]]="Electronics",Table1[[#This Row],[Sales]]*0.6,
IF(Table1[[#This Row],[Category]]="Furniture",Table1[[#This Row],[Sales]]*0.75,
IF(Table1[[#This Row],[Category]]="Clothing",Table1[[#This Row],[Sales]]*0.65,
Table1[[#This Row],[Sales]]*0.7)))</f>
        <v>6660</v>
      </c>
      <c r="I1810" s="11">
        <f ca="1">Table1[[#This Row],[Sales]]-H1810</f>
        <v>4440</v>
      </c>
      <c r="J1810" s="2">
        <f ca="1">Table1[[#This Row],[Profit]]/Table1[[#This Row],[Sales]]</f>
        <v>0.4</v>
      </c>
      <c r="K1810" t="str">
        <f ca="1">TEXT(Table1[[#This Row],[Order_Date]],"mmm")</f>
        <v>Sep</v>
      </c>
      <c r="L1810">
        <f ca="1">YEAR(Table1[[#This Row],[Order_Date]])</f>
        <v>2023</v>
      </c>
    </row>
    <row r="1811" spans="1:12" x14ac:dyDescent="0.3">
      <c r="A1811">
        <f t="shared" si="112"/>
        <v>1810</v>
      </c>
      <c r="B1811" s="1">
        <f t="shared" ca="1" si="113"/>
        <v>45050</v>
      </c>
      <c r="C1811" t="s">
        <v>8</v>
      </c>
      <c r="D1811" t="str">
        <f t="shared" ca="1" si="114"/>
        <v>Clothing</v>
      </c>
      <c r="E1811" t="s">
        <v>61</v>
      </c>
      <c r="F1811" s="11">
        <v>1375</v>
      </c>
      <c r="G1811">
        <f t="shared" ca="1" si="115"/>
        <v>5</v>
      </c>
      <c r="H1811" s="11">
        <f ca="1">IF(Table1[[#This Row],[Category]]="Electronics",Table1[[#This Row],[Sales]]*0.6,
IF(Table1[[#This Row],[Category]]="Furniture",Table1[[#This Row],[Sales]]*0.75,
IF(Table1[[#This Row],[Category]]="Clothing",Table1[[#This Row],[Sales]]*0.65,
Table1[[#This Row],[Sales]]*0.7)))</f>
        <v>893.75</v>
      </c>
      <c r="I1811" s="11">
        <f ca="1">Table1[[#This Row],[Sales]]-H1811</f>
        <v>481.25</v>
      </c>
      <c r="J1811" s="2">
        <f ca="1">Table1[[#This Row],[Profit]]/Table1[[#This Row],[Sales]]</f>
        <v>0.35</v>
      </c>
      <c r="K1811" t="str">
        <f ca="1">TEXT(Table1[[#This Row],[Order_Date]],"mmm")</f>
        <v>May</v>
      </c>
      <c r="L1811">
        <f ca="1">YEAR(Table1[[#This Row],[Order_Date]])</f>
        <v>2023</v>
      </c>
    </row>
    <row r="1812" spans="1:12" x14ac:dyDescent="0.3">
      <c r="A1812">
        <f t="shared" si="112"/>
        <v>1811</v>
      </c>
      <c r="B1812" s="1">
        <f t="shared" ca="1" si="113"/>
        <v>45247</v>
      </c>
      <c r="C1812" t="s">
        <v>9</v>
      </c>
      <c r="D1812" t="str">
        <f t="shared" ca="1" si="114"/>
        <v>Clothing</v>
      </c>
      <c r="E1812" t="s">
        <v>50</v>
      </c>
      <c r="F1812" s="11">
        <v>1701</v>
      </c>
      <c r="G1812">
        <f t="shared" ca="1" si="115"/>
        <v>3</v>
      </c>
      <c r="H1812" s="11">
        <f ca="1">IF(Table1[[#This Row],[Category]]="Electronics",Table1[[#This Row],[Sales]]*0.6,
IF(Table1[[#This Row],[Category]]="Furniture",Table1[[#This Row],[Sales]]*0.75,
IF(Table1[[#This Row],[Category]]="Clothing",Table1[[#This Row],[Sales]]*0.65,
Table1[[#This Row],[Sales]]*0.7)))</f>
        <v>1105.6500000000001</v>
      </c>
      <c r="I1812" s="11">
        <f ca="1">Table1[[#This Row],[Sales]]-H1812</f>
        <v>595.34999999999991</v>
      </c>
      <c r="J1812" s="2">
        <f ca="1">Table1[[#This Row],[Profit]]/Table1[[#This Row],[Sales]]</f>
        <v>0.34999999999999992</v>
      </c>
      <c r="K1812" t="str">
        <f ca="1">TEXT(Table1[[#This Row],[Order_Date]],"mmm")</f>
        <v>Nov</v>
      </c>
      <c r="L1812">
        <f ca="1">YEAR(Table1[[#This Row],[Order_Date]])</f>
        <v>2023</v>
      </c>
    </row>
    <row r="1813" spans="1:12" x14ac:dyDescent="0.3">
      <c r="A1813">
        <f t="shared" si="112"/>
        <v>1812</v>
      </c>
      <c r="B1813" s="1">
        <f t="shared" ca="1" si="113"/>
        <v>45176</v>
      </c>
      <c r="C1813" t="s">
        <v>10</v>
      </c>
      <c r="D1813" t="str">
        <f t="shared" ca="1" si="114"/>
        <v>Furniture</v>
      </c>
      <c r="E1813" t="s">
        <v>61</v>
      </c>
      <c r="F1813" s="11">
        <v>15044</v>
      </c>
      <c r="G1813">
        <f t="shared" ca="1" si="115"/>
        <v>1</v>
      </c>
      <c r="H1813" s="11">
        <f ca="1">IF(Table1[[#This Row],[Category]]="Electronics",Table1[[#This Row],[Sales]]*0.6,
IF(Table1[[#This Row],[Category]]="Furniture",Table1[[#This Row],[Sales]]*0.75,
IF(Table1[[#This Row],[Category]]="Clothing",Table1[[#This Row],[Sales]]*0.65,
Table1[[#This Row],[Sales]]*0.7)))</f>
        <v>11283</v>
      </c>
      <c r="I1813" s="11">
        <f ca="1">Table1[[#This Row],[Sales]]-H1813</f>
        <v>3761</v>
      </c>
      <c r="J1813" s="2">
        <f ca="1">Table1[[#This Row],[Profit]]/Table1[[#This Row],[Sales]]</f>
        <v>0.25</v>
      </c>
      <c r="K1813" t="str">
        <f ca="1">TEXT(Table1[[#This Row],[Order_Date]],"mmm")</f>
        <v>Sep</v>
      </c>
      <c r="L1813">
        <f ca="1">YEAR(Table1[[#This Row],[Order_Date]])</f>
        <v>2023</v>
      </c>
    </row>
    <row r="1814" spans="1:12" x14ac:dyDescent="0.3">
      <c r="A1814">
        <f t="shared" si="112"/>
        <v>1813</v>
      </c>
      <c r="B1814" s="1">
        <f t="shared" ca="1" si="113"/>
        <v>45124</v>
      </c>
      <c r="C1814" t="s">
        <v>7</v>
      </c>
      <c r="D1814" t="str">
        <f t="shared" ca="1" si="114"/>
        <v>Office Supplies</v>
      </c>
      <c r="E1814" t="s">
        <v>43</v>
      </c>
      <c r="F1814" s="11">
        <v>16029</v>
      </c>
      <c r="G1814">
        <f t="shared" ca="1" si="115"/>
        <v>2</v>
      </c>
      <c r="H1814" s="11">
        <f ca="1">IF(Table1[[#This Row],[Category]]="Electronics",Table1[[#This Row],[Sales]]*0.6,
IF(Table1[[#This Row],[Category]]="Furniture",Table1[[#This Row],[Sales]]*0.75,
IF(Table1[[#This Row],[Category]]="Clothing",Table1[[#This Row],[Sales]]*0.65,
Table1[[#This Row],[Sales]]*0.7)))</f>
        <v>11220.3</v>
      </c>
      <c r="I1814" s="11">
        <f ca="1">Table1[[#This Row],[Sales]]-H1814</f>
        <v>4808.7000000000007</v>
      </c>
      <c r="J1814" s="2">
        <f ca="1">Table1[[#This Row],[Profit]]/Table1[[#This Row],[Sales]]</f>
        <v>0.30000000000000004</v>
      </c>
      <c r="K1814" t="str">
        <f ca="1">TEXT(Table1[[#This Row],[Order_Date]],"mmm")</f>
        <v>Jul</v>
      </c>
      <c r="L1814">
        <f ca="1">YEAR(Table1[[#This Row],[Order_Date]])</f>
        <v>2023</v>
      </c>
    </row>
    <row r="1815" spans="1:12" x14ac:dyDescent="0.3">
      <c r="A1815">
        <f t="shared" si="112"/>
        <v>1814</v>
      </c>
      <c r="B1815" s="1">
        <f t="shared" ca="1" si="113"/>
        <v>45048</v>
      </c>
      <c r="C1815" t="s">
        <v>8</v>
      </c>
      <c r="D1815" t="str">
        <f t="shared" ca="1" si="114"/>
        <v>Furniture</v>
      </c>
      <c r="E1815" t="s">
        <v>65</v>
      </c>
      <c r="F1815" s="11">
        <v>15370</v>
      </c>
      <c r="G1815">
        <f t="shared" ca="1" si="115"/>
        <v>9</v>
      </c>
      <c r="H1815" s="11">
        <f ca="1">IF(Table1[[#This Row],[Category]]="Electronics",Table1[[#This Row],[Sales]]*0.6,
IF(Table1[[#This Row],[Category]]="Furniture",Table1[[#This Row],[Sales]]*0.75,
IF(Table1[[#This Row],[Category]]="Clothing",Table1[[#This Row],[Sales]]*0.65,
Table1[[#This Row],[Sales]]*0.7)))</f>
        <v>11527.5</v>
      </c>
      <c r="I1815" s="11">
        <f ca="1">Table1[[#This Row],[Sales]]-H1815</f>
        <v>3842.5</v>
      </c>
      <c r="J1815" s="2">
        <f ca="1">Table1[[#This Row],[Profit]]/Table1[[#This Row],[Sales]]</f>
        <v>0.25</v>
      </c>
      <c r="K1815" t="str">
        <f ca="1">TEXT(Table1[[#This Row],[Order_Date]],"mmm")</f>
        <v>May</v>
      </c>
      <c r="L1815">
        <f ca="1">YEAR(Table1[[#This Row],[Order_Date]])</f>
        <v>2023</v>
      </c>
    </row>
    <row r="1816" spans="1:12" x14ac:dyDescent="0.3">
      <c r="A1816">
        <f t="shared" si="112"/>
        <v>1815</v>
      </c>
      <c r="B1816" s="1">
        <f t="shared" ca="1" si="113"/>
        <v>45158</v>
      </c>
      <c r="C1816" t="s">
        <v>9</v>
      </c>
      <c r="D1816" t="str">
        <f t="shared" ca="1" si="114"/>
        <v>Clothing</v>
      </c>
      <c r="E1816" t="s">
        <v>64</v>
      </c>
      <c r="F1816" s="11">
        <v>13844</v>
      </c>
      <c r="G1816">
        <f t="shared" ca="1" si="115"/>
        <v>7</v>
      </c>
      <c r="H1816" s="11">
        <f ca="1">IF(Table1[[#This Row],[Category]]="Electronics",Table1[[#This Row],[Sales]]*0.6,
IF(Table1[[#This Row],[Category]]="Furniture",Table1[[#This Row],[Sales]]*0.75,
IF(Table1[[#This Row],[Category]]="Clothing",Table1[[#This Row],[Sales]]*0.65,
Table1[[#This Row],[Sales]]*0.7)))</f>
        <v>8998.6</v>
      </c>
      <c r="I1816" s="11">
        <f ca="1">Table1[[#This Row],[Sales]]-H1816</f>
        <v>4845.3999999999996</v>
      </c>
      <c r="J1816" s="2">
        <f ca="1">Table1[[#This Row],[Profit]]/Table1[[#This Row],[Sales]]</f>
        <v>0.35</v>
      </c>
      <c r="K1816" t="str">
        <f ca="1">TEXT(Table1[[#This Row],[Order_Date]],"mmm")</f>
        <v>Aug</v>
      </c>
      <c r="L1816">
        <f ca="1">YEAR(Table1[[#This Row],[Order_Date]])</f>
        <v>2023</v>
      </c>
    </row>
    <row r="1817" spans="1:12" x14ac:dyDescent="0.3">
      <c r="A1817">
        <f t="shared" si="112"/>
        <v>1816</v>
      </c>
      <c r="B1817" s="1">
        <f t="shared" ca="1" si="113"/>
        <v>44949</v>
      </c>
      <c r="C1817" t="s">
        <v>10</v>
      </c>
      <c r="D1817" t="str">
        <f t="shared" ca="1" si="114"/>
        <v>Clothing</v>
      </c>
      <c r="E1817" t="s">
        <v>65</v>
      </c>
      <c r="F1817" s="11">
        <v>1035</v>
      </c>
      <c r="G1817">
        <f t="shared" ca="1" si="115"/>
        <v>6</v>
      </c>
      <c r="H1817" s="11">
        <f ca="1">IF(Table1[[#This Row],[Category]]="Electronics",Table1[[#This Row],[Sales]]*0.6,
IF(Table1[[#This Row],[Category]]="Furniture",Table1[[#This Row],[Sales]]*0.75,
IF(Table1[[#This Row],[Category]]="Clothing",Table1[[#This Row],[Sales]]*0.65,
Table1[[#This Row],[Sales]]*0.7)))</f>
        <v>672.75</v>
      </c>
      <c r="I1817" s="11">
        <f ca="1">Table1[[#This Row],[Sales]]-H1817</f>
        <v>362.25</v>
      </c>
      <c r="J1817" s="2">
        <f ca="1">Table1[[#This Row],[Profit]]/Table1[[#This Row],[Sales]]</f>
        <v>0.35</v>
      </c>
      <c r="K1817" t="str">
        <f ca="1">TEXT(Table1[[#This Row],[Order_Date]],"mmm")</f>
        <v>Jan</v>
      </c>
      <c r="L1817">
        <f ca="1">YEAR(Table1[[#This Row],[Order_Date]])</f>
        <v>2023</v>
      </c>
    </row>
    <row r="1818" spans="1:12" x14ac:dyDescent="0.3">
      <c r="A1818">
        <f t="shared" si="112"/>
        <v>1817</v>
      </c>
      <c r="B1818" s="1">
        <f t="shared" ca="1" si="113"/>
        <v>45217</v>
      </c>
      <c r="C1818" t="s">
        <v>7</v>
      </c>
      <c r="D1818" t="str">
        <f t="shared" ca="1" si="114"/>
        <v>Furniture</v>
      </c>
      <c r="E1818" t="s">
        <v>44</v>
      </c>
      <c r="F1818" s="11">
        <v>3275</v>
      </c>
      <c r="G1818">
        <f t="shared" ca="1" si="115"/>
        <v>4</v>
      </c>
      <c r="H1818" s="11">
        <f ca="1">IF(Table1[[#This Row],[Category]]="Electronics",Table1[[#This Row],[Sales]]*0.6,
IF(Table1[[#This Row],[Category]]="Furniture",Table1[[#This Row],[Sales]]*0.75,
IF(Table1[[#This Row],[Category]]="Clothing",Table1[[#This Row],[Sales]]*0.65,
Table1[[#This Row],[Sales]]*0.7)))</f>
        <v>2456.25</v>
      </c>
      <c r="I1818" s="11">
        <f ca="1">Table1[[#This Row],[Sales]]-H1818</f>
        <v>818.75</v>
      </c>
      <c r="J1818" s="2">
        <f ca="1">Table1[[#This Row],[Profit]]/Table1[[#This Row],[Sales]]</f>
        <v>0.25</v>
      </c>
      <c r="K1818" t="str">
        <f ca="1">TEXT(Table1[[#This Row],[Order_Date]],"mmm")</f>
        <v>Oct</v>
      </c>
      <c r="L1818">
        <f ca="1">YEAR(Table1[[#This Row],[Order_Date]])</f>
        <v>2023</v>
      </c>
    </row>
    <row r="1819" spans="1:12" x14ac:dyDescent="0.3">
      <c r="A1819">
        <f t="shared" si="112"/>
        <v>1818</v>
      </c>
      <c r="B1819" s="1">
        <f t="shared" ca="1" si="113"/>
        <v>45058</v>
      </c>
      <c r="C1819" t="s">
        <v>8</v>
      </c>
      <c r="D1819" t="str">
        <f t="shared" ca="1" si="114"/>
        <v>Office Supplies</v>
      </c>
      <c r="E1819" t="s">
        <v>47</v>
      </c>
      <c r="F1819" s="11">
        <v>12431</v>
      </c>
      <c r="G1819">
        <f t="shared" ca="1" si="115"/>
        <v>6</v>
      </c>
      <c r="H1819" s="11">
        <f ca="1">IF(Table1[[#This Row],[Category]]="Electronics",Table1[[#This Row],[Sales]]*0.6,
IF(Table1[[#This Row],[Category]]="Furniture",Table1[[#This Row],[Sales]]*0.75,
IF(Table1[[#This Row],[Category]]="Clothing",Table1[[#This Row],[Sales]]*0.65,
Table1[[#This Row],[Sales]]*0.7)))</f>
        <v>8701.6999999999989</v>
      </c>
      <c r="I1819" s="11">
        <f ca="1">Table1[[#This Row],[Sales]]-H1819</f>
        <v>3729.3000000000011</v>
      </c>
      <c r="J1819" s="2">
        <f ca="1">Table1[[#This Row],[Profit]]/Table1[[#This Row],[Sales]]</f>
        <v>0.3000000000000001</v>
      </c>
      <c r="K1819" t="str">
        <f ca="1">TEXT(Table1[[#This Row],[Order_Date]],"mmm")</f>
        <v>May</v>
      </c>
      <c r="L1819">
        <f ca="1">YEAR(Table1[[#This Row],[Order_Date]])</f>
        <v>2023</v>
      </c>
    </row>
    <row r="1820" spans="1:12" x14ac:dyDescent="0.3">
      <c r="A1820">
        <f t="shared" si="112"/>
        <v>1819</v>
      </c>
      <c r="B1820" s="1">
        <f t="shared" ca="1" si="113"/>
        <v>45048</v>
      </c>
      <c r="C1820" t="s">
        <v>9</v>
      </c>
      <c r="D1820" t="str">
        <f t="shared" ca="1" si="114"/>
        <v>Furniture</v>
      </c>
      <c r="E1820" t="s">
        <v>45</v>
      </c>
      <c r="F1820" s="11">
        <v>11229</v>
      </c>
      <c r="G1820">
        <f t="shared" ca="1" si="115"/>
        <v>3</v>
      </c>
      <c r="H1820" s="11">
        <f ca="1">IF(Table1[[#This Row],[Category]]="Electronics",Table1[[#This Row],[Sales]]*0.6,
IF(Table1[[#This Row],[Category]]="Furniture",Table1[[#This Row],[Sales]]*0.75,
IF(Table1[[#This Row],[Category]]="Clothing",Table1[[#This Row],[Sales]]*0.65,
Table1[[#This Row],[Sales]]*0.7)))</f>
        <v>8421.75</v>
      </c>
      <c r="I1820" s="11">
        <f ca="1">Table1[[#This Row],[Sales]]-H1820</f>
        <v>2807.25</v>
      </c>
      <c r="J1820" s="2">
        <f ca="1">Table1[[#This Row],[Profit]]/Table1[[#This Row],[Sales]]</f>
        <v>0.25</v>
      </c>
      <c r="K1820" t="str">
        <f ca="1">TEXT(Table1[[#This Row],[Order_Date]],"mmm")</f>
        <v>May</v>
      </c>
      <c r="L1820">
        <f ca="1">YEAR(Table1[[#This Row],[Order_Date]])</f>
        <v>2023</v>
      </c>
    </row>
    <row r="1821" spans="1:12" x14ac:dyDescent="0.3">
      <c r="A1821">
        <f t="shared" si="112"/>
        <v>1820</v>
      </c>
      <c r="B1821" s="1">
        <f t="shared" ca="1" si="113"/>
        <v>45276</v>
      </c>
      <c r="C1821" t="s">
        <v>10</v>
      </c>
      <c r="D1821" t="str">
        <f t="shared" ca="1" si="114"/>
        <v>Office Supplies</v>
      </c>
      <c r="E1821" t="s">
        <v>83</v>
      </c>
      <c r="F1821" s="11">
        <v>10655</v>
      </c>
      <c r="G1821">
        <f t="shared" ca="1" si="115"/>
        <v>9</v>
      </c>
      <c r="H1821" s="11">
        <f ca="1">IF(Table1[[#This Row],[Category]]="Electronics",Table1[[#This Row],[Sales]]*0.6,
IF(Table1[[#This Row],[Category]]="Furniture",Table1[[#This Row],[Sales]]*0.75,
IF(Table1[[#This Row],[Category]]="Clothing",Table1[[#This Row],[Sales]]*0.65,
Table1[[#This Row],[Sales]]*0.7)))</f>
        <v>7458.4999999999991</v>
      </c>
      <c r="I1821" s="11">
        <f ca="1">Table1[[#This Row],[Sales]]-H1821</f>
        <v>3196.5000000000009</v>
      </c>
      <c r="J1821" s="2">
        <f ca="1">Table1[[#This Row],[Profit]]/Table1[[#This Row],[Sales]]</f>
        <v>0.3000000000000001</v>
      </c>
      <c r="K1821" t="str">
        <f ca="1">TEXT(Table1[[#This Row],[Order_Date]],"mmm")</f>
        <v>Dec</v>
      </c>
      <c r="L1821">
        <f ca="1">YEAR(Table1[[#This Row],[Order_Date]])</f>
        <v>2023</v>
      </c>
    </row>
    <row r="1822" spans="1:12" x14ac:dyDescent="0.3">
      <c r="A1822">
        <f t="shared" si="112"/>
        <v>1821</v>
      </c>
      <c r="B1822" s="1">
        <f t="shared" ca="1" si="113"/>
        <v>45056</v>
      </c>
      <c r="C1822" t="s">
        <v>7</v>
      </c>
      <c r="D1822" t="str">
        <f t="shared" ca="1" si="114"/>
        <v>Electronics</v>
      </c>
      <c r="E1822" t="s">
        <v>52</v>
      </c>
      <c r="F1822" s="11">
        <v>14130</v>
      </c>
      <c r="G1822">
        <f t="shared" ca="1" si="115"/>
        <v>6</v>
      </c>
      <c r="H1822" s="11">
        <f ca="1">IF(Table1[[#This Row],[Category]]="Electronics",Table1[[#This Row],[Sales]]*0.6,
IF(Table1[[#This Row],[Category]]="Furniture",Table1[[#This Row],[Sales]]*0.75,
IF(Table1[[#This Row],[Category]]="Clothing",Table1[[#This Row],[Sales]]*0.65,
Table1[[#This Row],[Sales]]*0.7)))</f>
        <v>8478</v>
      </c>
      <c r="I1822" s="11">
        <f ca="1">Table1[[#This Row],[Sales]]-H1822</f>
        <v>5652</v>
      </c>
      <c r="J1822" s="2">
        <f ca="1">Table1[[#This Row],[Profit]]/Table1[[#This Row],[Sales]]</f>
        <v>0.4</v>
      </c>
      <c r="K1822" t="str">
        <f ca="1">TEXT(Table1[[#This Row],[Order_Date]],"mmm")</f>
        <v>May</v>
      </c>
      <c r="L1822">
        <f ca="1">YEAR(Table1[[#This Row],[Order_Date]])</f>
        <v>2023</v>
      </c>
    </row>
    <row r="1823" spans="1:12" x14ac:dyDescent="0.3">
      <c r="A1823">
        <f t="shared" si="112"/>
        <v>1822</v>
      </c>
      <c r="B1823" s="1">
        <f t="shared" ca="1" si="113"/>
        <v>45192</v>
      </c>
      <c r="C1823" t="s">
        <v>8</v>
      </c>
      <c r="D1823" t="str">
        <f t="shared" ca="1" si="114"/>
        <v>Furniture</v>
      </c>
      <c r="E1823" t="s">
        <v>60</v>
      </c>
      <c r="F1823" s="11">
        <v>17861</v>
      </c>
      <c r="G1823">
        <f t="shared" ca="1" si="115"/>
        <v>5</v>
      </c>
      <c r="H1823" s="11">
        <f ca="1">IF(Table1[[#This Row],[Category]]="Electronics",Table1[[#This Row],[Sales]]*0.6,
IF(Table1[[#This Row],[Category]]="Furniture",Table1[[#This Row],[Sales]]*0.75,
IF(Table1[[#This Row],[Category]]="Clothing",Table1[[#This Row],[Sales]]*0.65,
Table1[[#This Row],[Sales]]*0.7)))</f>
        <v>13395.75</v>
      </c>
      <c r="I1823" s="11">
        <f ca="1">Table1[[#This Row],[Sales]]-H1823</f>
        <v>4465.25</v>
      </c>
      <c r="J1823" s="2">
        <f ca="1">Table1[[#This Row],[Profit]]/Table1[[#This Row],[Sales]]</f>
        <v>0.25</v>
      </c>
      <c r="K1823" t="str">
        <f ca="1">TEXT(Table1[[#This Row],[Order_Date]],"mmm")</f>
        <v>Sep</v>
      </c>
      <c r="L1823">
        <f ca="1">YEAR(Table1[[#This Row],[Order_Date]])</f>
        <v>2023</v>
      </c>
    </row>
    <row r="1824" spans="1:12" x14ac:dyDescent="0.3">
      <c r="A1824">
        <f t="shared" si="112"/>
        <v>1823</v>
      </c>
      <c r="B1824" s="1">
        <f t="shared" ca="1" si="113"/>
        <v>45146</v>
      </c>
      <c r="C1824" t="s">
        <v>9</v>
      </c>
      <c r="D1824" t="str">
        <f t="shared" ca="1" si="114"/>
        <v>Clothing</v>
      </c>
      <c r="E1824" t="s">
        <v>78</v>
      </c>
      <c r="F1824" s="11">
        <v>578</v>
      </c>
      <c r="G1824">
        <f t="shared" ca="1" si="115"/>
        <v>10</v>
      </c>
      <c r="H1824" s="11">
        <f ca="1">IF(Table1[[#This Row],[Category]]="Electronics",Table1[[#This Row],[Sales]]*0.6,
IF(Table1[[#This Row],[Category]]="Furniture",Table1[[#This Row],[Sales]]*0.75,
IF(Table1[[#This Row],[Category]]="Clothing",Table1[[#This Row],[Sales]]*0.65,
Table1[[#This Row],[Sales]]*0.7)))</f>
        <v>375.7</v>
      </c>
      <c r="I1824" s="11">
        <f ca="1">Table1[[#This Row],[Sales]]-H1824</f>
        <v>202.3</v>
      </c>
      <c r="J1824" s="2">
        <f ca="1">Table1[[#This Row],[Profit]]/Table1[[#This Row],[Sales]]</f>
        <v>0.35000000000000003</v>
      </c>
      <c r="K1824" t="str">
        <f ca="1">TEXT(Table1[[#This Row],[Order_Date]],"mmm")</f>
        <v>Aug</v>
      </c>
      <c r="L1824">
        <f ca="1">YEAR(Table1[[#This Row],[Order_Date]])</f>
        <v>2023</v>
      </c>
    </row>
    <row r="1825" spans="1:12" x14ac:dyDescent="0.3">
      <c r="A1825">
        <f t="shared" si="112"/>
        <v>1824</v>
      </c>
      <c r="B1825" s="1">
        <f t="shared" ca="1" si="113"/>
        <v>45089</v>
      </c>
      <c r="C1825" t="s">
        <v>10</v>
      </c>
      <c r="D1825" t="str">
        <f t="shared" ca="1" si="114"/>
        <v>Furniture</v>
      </c>
      <c r="E1825" t="s">
        <v>83</v>
      </c>
      <c r="F1825" s="11">
        <v>10360</v>
      </c>
      <c r="G1825">
        <f t="shared" ca="1" si="115"/>
        <v>4</v>
      </c>
      <c r="H1825" s="11">
        <f ca="1">IF(Table1[[#This Row],[Category]]="Electronics",Table1[[#This Row],[Sales]]*0.6,
IF(Table1[[#This Row],[Category]]="Furniture",Table1[[#This Row],[Sales]]*0.75,
IF(Table1[[#This Row],[Category]]="Clothing",Table1[[#This Row],[Sales]]*0.65,
Table1[[#This Row],[Sales]]*0.7)))</f>
        <v>7770</v>
      </c>
      <c r="I1825" s="11">
        <f ca="1">Table1[[#This Row],[Sales]]-H1825</f>
        <v>2590</v>
      </c>
      <c r="J1825" s="2">
        <f ca="1">Table1[[#This Row],[Profit]]/Table1[[#This Row],[Sales]]</f>
        <v>0.25</v>
      </c>
      <c r="K1825" t="str">
        <f ca="1">TEXT(Table1[[#This Row],[Order_Date]],"mmm")</f>
        <v>Jun</v>
      </c>
      <c r="L1825">
        <f ca="1">YEAR(Table1[[#This Row],[Order_Date]])</f>
        <v>2023</v>
      </c>
    </row>
    <row r="1826" spans="1:12" x14ac:dyDescent="0.3">
      <c r="A1826">
        <f t="shared" si="112"/>
        <v>1825</v>
      </c>
      <c r="B1826" s="1">
        <f t="shared" ca="1" si="113"/>
        <v>45252</v>
      </c>
      <c r="C1826" t="s">
        <v>7</v>
      </c>
      <c r="D1826" t="str">
        <f t="shared" ca="1" si="114"/>
        <v>Office Supplies</v>
      </c>
      <c r="E1826" t="s">
        <v>51</v>
      </c>
      <c r="F1826" s="11">
        <v>17260</v>
      </c>
      <c r="G1826">
        <f t="shared" ca="1" si="115"/>
        <v>2</v>
      </c>
      <c r="H1826" s="11">
        <f ca="1">IF(Table1[[#This Row],[Category]]="Electronics",Table1[[#This Row],[Sales]]*0.6,
IF(Table1[[#This Row],[Category]]="Furniture",Table1[[#This Row],[Sales]]*0.75,
IF(Table1[[#This Row],[Category]]="Clothing",Table1[[#This Row],[Sales]]*0.65,
Table1[[#This Row],[Sales]]*0.7)))</f>
        <v>12082</v>
      </c>
      <c r="I1826" s="11">
        <f ca="1">Table1[[#This Row],[Sales]]-H1826</f>
        <v>5178</v>
      </c>
      <c r="J1826" s="2">
        <f ca="1">Table1[[#This Row],[Profit]]/Table1[[#This Row],[Sales]]</f>
        <v>0.3</v>
      </c>
      <c r="K1826" t="str">
        <f ca="1">TEXT(Table1[[#This Row],[Order_Date]],"mmm")</f>
        <v>Nov</v>
      </c>
      <c r="L1826">
        <f ca="1">YEAR(Table1[[#This Row],[Order_Date]])</f>
        <v>2023</v>
      </c>
    </row>
    <row r="1827" spans="1:12" x14ac:dyDescent="0.3">
      <c r="A1827">
        <f t="shared" si="112"/>
        <v>1826</v>
      </c>
      <c r="B1827" s="1">
        <f t="shared" ca="1" si="113"/>
        <v>44934</v>
      </c>
      <c r="C1827" t="s">
        <v>8</v>
      </c>
      <c r="D1827" t="str">
        <f t="shared" ca="1" si="114"/>
        <v>Clothing</v>
      </c>
      <c r="E1827" t="s">
        <v>49</v>
      </c>
      <c r="F1827" s="11">
        <v>15138</v>
      </c>
      <c r="G1827">
        <f t="shared" ca="1" si="115"/>
        <v>1</v>
      </c>
      <c r="H1827" s="11">
        <f ca="1">IF(Table1[[#This Row],[Category]]="Electronics",Table1[[#This Row],[Sales]]*0.6,
IF(Table1[[#This Row],[Category]]="Furniture",Table1[[#This Row],[Sales]]*0.75,
IF(Table1[[#This Row],[Category]]="Clothing",Table1[[#This Row],[Sales]]*0.65,
Table1[[#This Row],[Sales]]*0.7)))</f>
        <v>9839.7000000000007</v>
      </c>
      <c r="I1827" s="11">
        <f ca="1">Table1[[#This Row],[Sales]]-H1827</f>
        <v>5298.2999999999993</v>
      </c>
      <c r="J1827" s="2">
        <f ca="1">Table1[[#This Row],[Profit]]/Table1[[#This Row],[Sales]]</f>
        <v>0.35</v>
      </c>
      <c r="K1827" t="str">
        <f ca="1">TEXT(Table1[[#This Row],[Order_Date]],"mmm")</f>
        <v>Jan</v>
      </c>
      <c r="L1827">
        <f ca="1">YEAR(Table1[[#This Row],[Order_Date]])</f>
        <v>2023</v>
      </c>
    </row>
    <row r="1828" spans="1:12" x14ac:dyDescent="0.3">
      <c r="A1828">
        <f t="shared" si="112"/>
        <v>1827</v>
      </c>
      <c r="B1828" s="1">
        <f t="shared" ca="1" si="113"/>
        <v>45208</v>
      </c>
      <c r="C1828" t="s">
        <v>9</v>
      </c>
      <c r="D1828" t="str">
        <f t="shared" ca="1" si="114"/>
        <v>Office Supplies</v>
      </c>
      <c r="E1828" t="s">
        <v>40</v>
      </c>
      <c r="F1828" s="11">
        <v>14008</v>
      </c>
      <c r="G1828">
        <f t="shared" ca="1" si="115"/>
        <v>1</v>
      </c>
      <c r="H1828" s="11">
        <f ca="1">IF(Table1[[#This Row],[Category]]="Electronics",Table1[[#This Row],[Sales]]*0.6,
IF(Table1[[#This Row],[Category]]="Furniture",Table1[[#This Row],[Sales]]*0.75,
IF(Table1[[#This Row],[Category]]="Clothing",Table1[[#This Row],[Sales]]*0.65,
Table1[[#This Row],[Sales]]*0.7)))</f>
        <v>9805.5999999999985</v>
      </c>
      <c r="I1828" s="11">
        <f ca="1">Table1[[#This Row],[Sales]]-H1828</f>
        <v>4202.4000000000015</v>
      </c>
      <c r="J1828" s="2">
        <f ca="1">Table1[[#This Row],[Profit]]/Table1[[#This Row],[Sales]]</f>
        <v>0.3000000000000001</v>
      </c>
      <c r="K1828" t="str">
        <f ca="1">TEXT(Table1[[#This Row],[Order_Date]],"mmm")</f>
        <v>Oct</v>
      </c>
      <c r="L1828">
        <f ca="1">YEAR(Table1[[#This Row],[Order_Date]])</f>
        <v>2023</v>
      </c>
    </row>
    <row r="1829" spans="1:12" x14ac:dyDescent="0.3">
      <c r="A1829">
        <f t="shared" si="112"/>
        <v>1828</v>
      </c>
      <c r="B1829" s="1">
        <f t="shared" ca="1" si="113"/>
        <v>45153</v>
      </c>
      <c r="C1829" t="s">
        <v>10</v>
      </c>
      <c r="D1829" t="str">
        <f t="shared" ca="1" si="114"/>
        <v>Clothing</v>
      </c>
      <c r="E1829" t="s">
        <v>40</v>
      </c>
      <c r="F1829" s="11">
        <v>18518</v>
      </c>
      <c r="G1829">
        <f t="shared" ca="1" si="115"/>
        <v>3</v>
      </c>
      <c r="H1829" s="11">
        <f ca="1">IF(Table1[[#This Row],[Category]]="Electronics",Table1[[#This Row],[Sales]]*0.6,
IF(Table1[[#This Row],[Category]]="Furniture",Table1[[#This Row],[Sales]]*0.75,
IF(Table1[[#This Row],[Category]]="Clothing",Table1[[#This Row],[Sales]]*0.65,
Table1[[#This Row],[Sales]]*0.7)))</f>
        <v>12036.7</v>
      </c>
      <c r="I1829" s="11">
        <f ca="1">Table1[[#This Row],[Sales]]-H1829</f>
        <v>6481.2999999999993</v>
      </c>
      <c r="J1829" s="2">
        <f ca="1">Table1[[#This Row],[Profit]]/Table1[[#This Row],[Sales]]</f>
        <v>0.35</v>
      </c>
      <c r="K1829" t="str">
        <f ca="1">TEXT(Table1[[#This Row],[Order_Date]],"mmm")</f>
        <v>Aug</v>
      </c>
      <c r="L1829">
        <f ca="1">YEAR(Table1[[#This Row],[Order_Date]])</f>
        <v>2023</v>
      </c>
    </row>
    <row r="1830" spans="1:12" x14ac:dyDescent="0.3">
      <c r="A1830">
        <f t="shared" si="112"/>
        <v>1829</v>
      </c>
      <c r="B1830" s="1">
        <f t="shared" ca="1" si="113"/>
        <v>45218</v>
      </c>
      <c r="C1830" t="s">
        <v>7</v>
      </c>
      <c r="D1830" t="str">
        <f t="shared" ca="1" si="114"/>
        <v>Clothing</v>
      </c>
      <c r="E1830" t="s">
        <v>45</v>
      </c>
      <c r="F1830" s="11">
        <v>10265</v>
      </c>
      <c r="G1830">
        <f t="shared" ca="1" si="115"/>
        <v>6</v>
      </c>
      <c r="H1830" s="11">
        <f ca="1">IF(Table1[[#This Row],[Category]]="Electronics",Table1[[#This Row],[Sales]]*0.6,
IF(Table1[[#This Row],[Category]]="Furniture",Table1[[#This Row],[Sales]]*0.75,
IF(Table1[[#This Row],[Category]]="Clothing",Table1[[#This Row],[Sales]]*0.65,
Table1[[#This Row],[Sales]]*0.7)))</f>
        <v>6672.25</v>
      </c>
      <c r="I1830" s="11">
        <f ca="1">Table1[[#This Row],[Sales]]-H1830</f>
        <v>3592.75</v>
      </c>
      <c r="J1830" s="2">
        <f ca="1">Table1[[#This Row],[Profit]]/Table1[[#This Row],[Sales]]</f>
        <v>0.35</v>
      </c>
      <c r="K1830" t="str">
        <f ca="1">TEXT(Table1[[#This Row],[Order_Date]],"mmm")</f>
        <v>Oct</v>
      </c>
      <c r="L1830">
        <f ca="1">YEAR(Table1[[#This Row],[Order_Date]])</f>
        <v>2023</v>
      </c>
    </row>
    <row r="1831" spans="1:12" x14ac:dyDescent="0.3">
      <c r="A1831">
        <f t="shared" si="112"/>
        <v>1830</v>
      </c>
      <c r="B1831" s="1">
        <f t="shared" ca="1" si="113"/>
        <v>45283</v>
      </c>
      <c r="C1831" t="s">
        <v>8</v>
      </c>
      <c r="D1831" t="str">
        <f t="shared" ca="1" si="114"/>
        <v>Furniture</v>
      </c>
      <c r="E1831" t="s">
        <v>67</v>
      </c>
      <c r="F1831" s="11">
        <v>9801</v>
      </c>
      <c r="G1831">
        <f t="shared" ca="1" si="115"/>
        <v>6</v>
      </c>
      <c r="H1831" s="11">
        <f ca="1">IF(Table1[[#This Row],[Category]]="Electronics",Table1[[#This Row],[Sales]]*0.6,
IF(Table1[[#This Row],[Category]]="Furniture",Table1[[#This Row],[Sales]]*0.75,
IF(Table1[[#This Row],[Category]]="Clothing",Table1[[#This Row],[Sales]]*0.65,
Table1[[#This Row],[Sales]]*0.7)))</f>
        <v>7350.75</v>
      </c>
      <c r="I1831" s="11">
        <f ca="1">Table1[[#This Row],[Sales]]-H1831</f>
        <v>2450.25</v>
      </c>
      <c r="J1831" s="2">
        <f ca="1">Table1[[#This Row],[Profit]]/Table1[[#This Row],[Sales]]</f>
        <v>0.25</v>
      </c>
      <c r="K1831" t="str">
        <f ca="1">TEXT(Table1[[#This Row],[Order_Date]],"mmm")</f>
        <v>Dec</v>
      </c>
      <c r="L1831">
        <f ca="1">YEAR(Table1[[#This Row],[Order_Date]])</f>
        <v>2023</v>
      </c>
    </row>
    <row r="1832" spans="1:12" x14ac:dyDescent="0.3">
      <c r="A1832">
        <f t="shared" si="112"/>
        <v>1831</v>
      </c>
      <c r="B1832" s="1">
        <f t="shared" ca="1" si="113"/>
        <v>45165</v>
      </c>
      <c r="C1832" t="s">
        <v>9</v>
      </c>
      <c r="D1832" t="str">
        <f t="shared" ca="1" si="114"/>
        <v>Office Supplies</v>
      </c>
      <c r="E1832" t="s">
        <v>62</v>
      </c>
      <c r="F1832" s="11">
        <v>19314</v>
      </c>
      <c r="G1832">
        <f t="shared" ca="1" si="115"/>
        <v>9</v>
      </c>
      <c r="H1832" s="11">
        <f ca="1">IF(Table1[[#This Row],[Category]]="Electronics",Table1[[#This Row],[Sales]]*0.6,
IF(Table1[[#This Row],[Category]]="Furniture",Table1[[#This Row],[Sales]]*0.75,
IF(Table1[[#This Row],[Category]]="Clothing",Table1[[#This Row],[Sales]]*0.65,
Table1[[#This Row],[Sales]]*0.7)))</f>
        <v>13519.8</v>
      </c>
      <c r="I1832" s="11">
        <f ca="1">Table1[[#This Row],[Sales]]-H1832</f>
        <v>5794.2000000000007</v>
      </c>
      <c r="J1832" s="2">
        <f ca="1">Table1[[#This Row],[Profit]]/Table1[[#This Row],[Sales]]</f>
        <v>0.30000000000000004</v>
      </c>
      <c r="K1832" t="str">
        <f ca="1">TEXT(Table1[[#This Row],[Order_Date]],"mmm")</f>
        <v>Aug</v>
      </c>
      <c r="L1832">
        <f ca="1">YEAR(Table1[[#This Row],[Order_Date]])</f>
        <v>2023</v>
      </c>
    </row>
    <row r="1833" spans="1:12" x14ac:dyDescent="0.3">
      <c r="A1833">
        <f t="shared" si="112"/>
        <v>1832</v>
      </c>
      <c r="B1833" s="1">
        <f t="shared" ca="1" si="113"/>
        <v>44978</v>
      </c>
      <c r="C1833" t="s">
        <v>10</v>
      </c>
      <c r="D1833" t="str">
        <f t="shared" ca="1" si="114"/>
        <v>Office Supplies</v>
      </c>
      <c r="E1833" t="s">
        <v>85</v>
      </c>
      <c r="F1833" s="11">
        <v>4271</v>
      </c>
      <c r="G1833">
        <f t="shared" ca="1" si="115"/>
        <v>1</v>
      </c>
      <c r="H1833" s="11">
        <f ca="1">IF(Table1[[#This Row],[Category]]="Electronics",Table1[[#This Row],[Sales]]*0.6,
IF(Table1[[#This Row],[Category]]="Furniture",Table1[[#This Row],[Sales]]*0.75,
IF(Table1[[#This Row],[Category]]="Clothing",Table1[[#This Row],[Sales]]*0.65,
Table1[[#This Row],[Sales]]*0.7)))</f>
        <v>2989.7</v>
      </c>
      <c r="I1833" s="11">
        <f ca="1">Table1[[#This Row],[Sales]]-H1833</f>
        <v>1281.3000000000002</v>
      </c>
      <c r="J1833" s="2">
        <f ca="1">Table1[[#This Row],[Profit]]/Table1[[#This Row],[Sales]]</f>
        <v>0.30000000000000004</v>
      </c>
      <c r="K1833" t="str">
        <f ca="1">TEXT(Table1[[#This Row],[Order_Date]],"mmm")</f>
        <v>Feb</v>
      </c>
      <c r="L1833">
        <f ca="1">YEAR(Table1[[#This Row],[Order_Date]])</f>
        <v>2023</v>
      </c>
    </row>
    <row r="1834" spans="1:12" x14ac:dyDescent="0.3">
      <c r="A1834">
        <f t="shared" si="112"/>
        <v>1833</v>
      </c>
      <c r="B1834" s="1">
        <f t="shared" ca="1" si="113"/>
        <v>45264</v>
      </c>
      <c r="C1834" t="s">
        <v>7</v>
      </c>
      <c r="D1834" t="str">
        <f t="shared" ca="1" si="114"/>
        <v>Clothing</v>
      </c>
      <c r="E1834" t="s">
        <v>60</v>
      </c>
      <c r="F1834" s="11">
        <v>18096</v>
      </c>
      <c r="G1834">
        <f t="shared" ca="1" si="115"/>
        <v>9</v>
      </c>
      <c r="H1834" s="11">
        <f ca="1">IF(Table1[[#This Row],[Category]]="Electronics",Table1[[#This Row],[Sales]]*0.6,
IF(Table1[[#This Row],[Category]]="Furniture",Table1[[#This Row],[Sales]]*0.75,
IF(Table1[[#This Row],[Category]]="Clothing",Table1[[#This Row],[Sales]]*0.65,
Table1[[#This Row],[Sales]]*0.7)))</f>
        <v>11762.4</v>
      </c>
      <c r="I1834" s="11">
        <f ca="1">Table1[[#This Row],[Sales]]-H1834</f>
        <v>6333.6</v>
      </c>
      <c r="J1834" s="2">
        <f ca="1">Table1[[#This Row],[Profit]]/Table1[[#This Row],[Sales]]</f>
        <v>0.35000000000000003</v>
      </c>
      <c r="K1834" t="str">
        <f ca="1">TEXT(Table1[[#This Row],[Order_Date]],"mmm")</f>
        <v>Dec</v>
      </c>
      <c r="L1834">
        <f ca="1">YEAR(Table1[[#This Row],[Order_Date]])</f>
        <v>2023</v>
      </c>
    </row>
    <row r="1835" spans="1:12" x14ac:dyDescent="0.3">
      <c r="A1835">
        <f t="shared" si="112"/>
        <v>1834</v>
      </c>
      <c r="B1835" s="1">
        <f t="shared" ca="1" si="113"/>
        <v>45284</v>
      </c>
      <c r="C1835" t="s">
        <v>8</v>
      </c>
      <c r="D1835" t="str">
        <f t="shared" ca="1" si="114"/>
        <v>Office Supplies</v>
      </c>
      <c r="E1835" t="s">
        <v>48</v>
      </c>
      <c r="F1835" s="11">
        <v>12467</v>
      </c>
      <c r="G1835">
        <f t="shared" ca="1" si="115"/>
        <v>6</v>
      </c>
      <c r="H1835" s="11">
        <f ca="1">IF(Table1[[#This Row],[Category]]="Electronics",Table1[[#This Row],[Sales]]*0.6,
IF(Table1[[#This Row],[Category]]="Furniture",Table1[[#This Row],[Sales]]*0.75,
IF(Table1[[#This Row],[Category]]="Clothing",Table1[[#This Row],[Sales]]*0.65,
Table1[[#This Row],[Sales]]*0.7)))</f>
        <v>8726.9</v>
      </c>
      <c r="I1835" s="11">
        <f ca="1">Table1[[#This Row],[Sales]]-H1835</f>
        <v>3740.1000000000004</v>
      </c>
      <c r="J1835" s="2">
        <f ca="1">Table1[[#This Row],[Profit]]/Table1[[#This Row],[Sales]]</f>
        <v>0.30000000000000004</v>
      </c>
      <c r="K1835" t="str">
        <f ca="1">TEXT(Table1[[#This Row],[Order_Date]],"mmm")</f>
        <v>Dec</v>
      </c>
      <c r="L1835">
        <f ca="1">YEAR(Table1[[#This Row],[Order_Date]])</f>
        <v>2023</v>
      </c>
    </row>
    <row r="1836" spans="1:12" x14ac:dyDescent="0.3">
      <c r="A1836">
        <f t="shared" si="112"/>
        <v>1835</v>
      </c>
      <c r="B1836" s="1">
        <f t="shared" ca="1" si="113"/>
        <v>45180</v>
      </c>
      <c r="C1836" t="s">
        <v>9</v>
      </c>
      <c r="D1836" t="str">
        <f t="shared" ca="1" si="114"/>
        <v>Office Supplies</v>
      </c>
      <c r="E1836" t="s">
        <v>72</v>
      </c>
      <c r="F1836" s="11">
        <v>951</v>
      </c>
      <c r="G1836">
        <f t="shared" ca="1" si="115"/>
        <v>5</v>
      </c>
      <c r="H1836" s="11">
        <f ca="1">IF(Table1[[#This Row],[Category]]="Electronics",Table1[[#This Row],[Sales]]*0.6,
IF(Table1[[#This Row],[Category]]="Furniture",Table1[[#This Row],[Sales]]*0.75,
IF(Table1[[#This Row],[Category]]="Clothing",Table1[[#This Row],[Sales]]*0.65,
Table1[[#This Row],[Sales]]*0.7)))</f>
        <v>665.69999999999993</v>
      </c>
      <c r="I1836" s="11">
        <f ca="1">Table1[[#This Row],[Sales]]-H1836</f>
        <v>285.30000000000007</v>
      </c>
      <c r="J1836" s="2">
        <f ca="1">Table1[[#This Row],[Profit]]/Table1[[#This Row],[Sales]]</f>
        <v>0.30000000000000004</v>
      </c>
      <c r="K1836" t="str">
        <f ca="1">TEXT(Table1[[#This Row],[Order_Date]],"mmm")</f>
        <v>Sep</v>
      </c>
      <c r="L1836">
        <f ca="1">YEAR(Table1[[#This Row],[Order_Date]])</f>
        <v>2023</v>
      </c>
    </row>
    <row r="1837" spans="1:12" x14ac:dyDescent="0.3">
      <c r="A1837">
        <f t="shared" si="112"/>
        <v>1836</v>
      </c>
      <c r="B1837" s="1">
        <f t="shared" ca="1" si="113"/>
        <v>45079</v>
      </c>
      <c r="C1837" t="s">
        <v>10</v>
      </c>
      <c r="D1837" t="str">
        <f t="shared" ca="1" si="114"/>
        <v>Office Supplies</v>
      </c>
      <c r="E1837" t="s">
        <v>38</v>
      </c>
      <c r="F1837" s="11">
        <v>13219</v>
      </c>
      <c r="G1837">
        <f t="shared" ca="1" si="115"/>
        <v>9</v>
      </c>
      <c r="H1837" s="11">
        <f ca="1">IF(Table1[[#This Row],[Category]]="Electronics",Table1[[#This Row],[Sales]]*0.6,
IF(Table1[[#This Row],[Category]]="Furniture",Table1[[#This Row],[Sales]]*0.75,
IF(Table1[[#This Row],[Category]]="Clothing",Table1[[#This Row],[Sales]]*0.65,
Table1[[#This Row],[Sales]]*0.7)))</f>
        <v>9253.2999999999993</v>
      </c>
      <c r="I1837" s="11">
        <f ca="1">Table1[[#This Row],[Sales]]-H1837</f>
        <v>3965.7000000000007</v>
      </c>
      <c r="J1837" s="2">
        <f ca="1">Table1[[#This Row],[Profit]]/Table1[[#This Row],[Sales]]</f>
        <v>0.30000000000000004</v>
      </c>
      <c r="K1837" t="str">
        <f ca="1">TEXT(Table1[[#This Row],[Order_Date]],"mmm")</f>
        <v>Jun</v>
      </c>
      <c r="L1837">
        <f ca="1">YEAR(Table1[[#This Row],[Order_Date]])</f>
        <v>2023</v>
      </c>
    </row>
    <row r="1838" spans="1:12" x14ac:dyDescent="0.3">
      <c r="A1838">
        <f t="shared" si="112"/>
        <v>1837</v>
      </c>
      <c r="B1838" s="1">
        <f t="shared" ca="1" si="113"/>
        <v>45248</v>
      </c>
      <c r="C1838" t="s">
        <v>7</v>
      </c>
      <c r="D1838" t="str">
        <f t="shared" ca="1" si="114"/>
        <v>Furniture</v>
      </c>
      <c r="E1838" t="s">
        <v>66</v>
      </c>
      <c r="F1838" s="11">
        <v>3406</v>
      </c>
      <c r="G1838">
        <f t="shared" ca="1" si="115"/>
        <v>3</v>
      </c>
      <c r="H1838" s="11">
        <f ca="1">IF(Table1[[#This Row],[Category]]="Electronics",Table1[[#This Row],[Sales]]*0.6,
IF(Table1[[#This Row],[Category]]="Furniture",Table1[[#This Row],[Sales]]*0.75,
IF(Table1[[#This Row],[Category]]="Clothing",Table1[[#This Row],[Sales]]*0.65,
Table1[[#This Row],[Sales]]*0.7)))</f>
        <v>2554.5</v>
      </c>
      <c r="I1838" s="11">
        <f ca="1">Table1[[#This Row],[Sales]]-H1838</f>
        <v>851.5</v>
      </c>
      <c r="J1838" s="2">
        <f ca="1">Table1[[#This Row],[Profit]]/Table1[[#This Row],[Sales]]</f>
        <v>0.25</v>
      </c>
      <c r="K1838" t="str">
        <f ca="1">TEXT(Table1[[#This Row],[Order_Date]],"mmm")</f>
        <v>Nov</v>
      </c>
      <c r="L1838">
        <f ca="1">YEAR(Table1[[#This Row],[Order_Date]])</f>
        <v>2023</v>
      </c>
    </row>
    <row r="1839" spans="1:12" x14ac:dyDescent="0.3">
      <c r="A1839">
        <f t="shared" si="112"/>
        <v>1838</v>
      </c>
      <c r="B1839" s="1">
        <f t="shared" ca="1" si="113"/>
        <v>45284</v>
      </c>
      <c r="C1839" t="s">
        <v>8</v>
      </c>
      <c r="D1839" t="str">
        <f t="shared" ca="1" si="114"/>
        <v>Furniture</v>
      </c>
      <c r="E1839" t="s">
        <v>70</v>
      </c>
      <c r="F1839" s="11">
        <v>9091</v>
      </c>
      <c r="G1839">
        <f t="shared" ca="1" si="115"/>
        <v>7</v>
      </c>
      <c r="H1839" s="11">
        <f ca="1">IF(Table1[[#This Row],[Category]]="Electronics",Table1[[#This Row],[Sales]]*0.6,
IF(Table1[[#This Row],[Category]]="Furniture",Table1[[#This Row],[Sales]]*0.75,
IF(Table1[[#This Row],[Category]]="Clothing",Table1[[#This Row],[Sales]]*0.65,
Table1[[#This Row],[Sales]]*0.7)))</f>
        <v>6818.25</v>
      </c>
      <c r="I1839" s="11">
        <f ca="1">Table1[[#This Row],[Sales]]-H1839</f>
        <v>2272.75</v>
      </c>
      <c r="J1839" s="2">
        <f ca="1">Table1[[#This Row],[Profit]]/Table1[[#This Row],[Sales]]</f>
        <v>0.25</v>
      </c>
      <c r="K1839" t="str">
        <f ca="1">TEXT(Table1[[#This Row],[Order_Date]],"mmm")</f>
        <v>Dec</v>
      </c>
      <c r="L1839">
        <f ca="1">YEAR(Table1[[#This Row],[Order_Date]])</f>
        <v>2023</v>
      </c>
    </row>
    <row r="1840" spans="1:12" x14ac:dyDescent="0.3">
      <c r="A1840">
        <f t="shared" si="112"/>
        <v>1839</v>
      </c>
      <c r="B1840" s="1">
        <f t="shared" ca="1" si="113"/>
        <v>45190</v>
      </c>
      <c r="C1840" t="s">
        <v>9</v>
      </c>
      <c r="D1840" t="str">
        <f t="shared" ca="1" si="114"/>
        <v>Electronics</v>
      </c>
      <c r="E1840" t="s">
        <v>68</v>
      </c>
      <c r="F1840" s="11">
        <v>10792</v>
      </c>
      <c r="G1840">
        <f t="shared" ca="1" si="115"/>
        <v>10</v>
      </c>
      <c r="H1840" s="11">
        <f ca="1">IF(Table1[[#This Row],[Category]]="Electronics",Table1[[#This Row],[Sales]]*0.6,
IF(Table1[[#This Row],[Category]]="Furniture",Table1[[#This Row],[Sales]]*0.75,
IF(Table1[[#This Row],[Category]]="Clothing",Table1[[#This Row],[Sales]]*0.65,
Table1[[#This Row],[Sales]]*0.7)))</f>
        <v>6475.2</v>
      </c>
      <c r="I1840" s="11">
        <f ca="1">Table1[[#This Row],[Sales]]-H1840</f>
        <v>4316.8</v>
      </c>
      <c r="J1840" s="2">
        <f ca="1">Table1[[#This Row],[Profit]]/Table1[[#This Row],[Sales]]</f>
        <v>0.4</v>
      </c>
      <c r="K1840" t="str">
        <f ca="1">TEXT(Table1[[#This Row],[Order_Date]],"mmm")</f>
        <v>Sep</v>
      </c>
      <c r="L1840">
        <f ca="1">YEAR(Table1[[#This Row],[Order_Date]])</f>
        <v>2023</v>
      </c>
    </row>
    <row r="1841" spans="1:12" x14ac:dyDescent="0.3">
      <c r="A1841">
        <f t="shared" si="112"/>
        <v>1840</v>
      </c>
      <c r="B1841" s="1">
        <f t="shared" ca="1" si="113"/>
        <v>45225</v>
      </c>
      <c r="C1841" t="s">
        <v>10</v>
      </c>
      <c r="D1841" t="str">
        <f t="shared" ca="1" si="114"/>
        <v>Office Supplies</v>
      </c>
      <c r="E1841" t="s">
        <v>59</v>
      </c>
      <c r="F1841" s="11">
        <v>7973</v>
      </c>
      <c r="G1841">
        <f t="shared" ca="1" si="115"/>
        <v>7</v>
      </c>
      <c r="H1841" s="11">
        <f ca="1">IF(Table1[[#This Row],[Category]]="Electronics",Table1[[#This Row],[Sales]]*0.6,
IF(Table1[[#This Row],[Category]]="Furniture",Table1[[#This Row],[Sales]]*0.75,
IF(Table1[[#This Row],[Category]]="Clothing",Table1[[#This Row],[Sales]]*0.65,
Table1[[#This Row],[Sales]]*0.7)))</f>
        <v>5581.0999999999995</v>
      </c>
      <c r="I1841" s="11">
        <f ca="1">Table1[[#This Row],[Sales]]-H1841</f>
        <v>2391.9000000000005</v>
      </c>
      <c r="J1841" s="2">
        <f ca="1">Table1[[#This Row],[Profit]]/Table1[[#This Row],[Sales]]</f>
        <v>0.30000000000000004</v>
      </c>
      <c r="K1841" t="str">
        <f ca="1">TEXT(Table1[[#This Row],[Order_Date]],"mmm")</f>
        <v>Oct</v>
      </c>
      <c r="L1841">
        <f ca="1">YEAR(Table1[[#This Row],[Order_Date]])</f>
        <v>2023</v>
      </c>
    </row>
    <row r="1842" spans="1:12" x14ac:dyDescent="0.3">
      <c r="A1842">
        <f t="shared" si="112"/>
        <v>1841</v>
      </c>
      <c r="B1842" s="1">
        <f t="shared" ca="1" si="113"/>
        <v>45122</v>
      </c>
      <c r="C1842" t="s">
        <v>7</v>
      </c>
      <c r="D1842" t="str">
        <f t="shared" ca="1" si="114"/>
        <v>Electronics</v>
      </c>
      <c r="E1842" t="s">
        <v>54</v>
      </c>
      <c r="F1842" s="11">
        <v>19058</v>
      </c>
      <c r="G1842">
        <f t="shared" ca="1" si="115"/>
        <v>6</v>
      </c>
      <c r="H1842" s="11">
        <f ca="1">IF(Table1[[#This Row],[Category]]="Electronics",Table1[[#This Row],[Sales]]*0.6,
IF(Table1[[#This Row],[Category]]="Furniture",Table1[[#This Row],[Sales]]*0.75,
IF(Table1[[#This Row],[Category]]="Clothing",Table1[[#This Row],[Sales]]*0.65,
Table1[[#This Row],[Sales]]*0.7)))</f>
        <v>11434.8</v>
      </c>
      <c r="I1842" s="11">
        <f ca="1">Table1[[#This Row],[Sales]]-H1842</f>
        <v>7623.2000000000007</v>
      </c>
      <c r="J1842" s="2">
        <f ca="1">Table1[[#This Row],[Profit]]/Table1[[#This Row],[Sales]]</f>
        <v>0.4</v>
      </c>
      <c r="K1842" t="str">
        <f ca="1">TEXT(Table1[[#This Row],[Order_Date]],"mmm")</f>
        <v>Jul</v>
      </c>
      <c r="L1842">
        <f ca="1">YEAR(Table1[[#This Row],[Order_Date]])</f>
        <v>2023</v>
      </c>
    </row>
    <row r="1843" spans="1:12" x14ac:dyDescent="0.3">
      <c r="A1843">
        <f t="shared" si="112"/>
        <v>1842</v>
      </c>
      <c r="B1843" s="1">
        <f t="shared" ca="1" si="113"/>
        <v>45117</v>
      </c>
      <c r="C1843" t="s">
        <v>8</v>
      </c>
      <c r="D1843" t="str">
        <f t="shared" ca="1" si="114"/>
        <v>Electronics</v>
      </c>
      <c r="E1843" t="s">
        <v>73</v>
      </c>
      <c r="F1843" s="11">
        <v>17885</v>
      </c>
      <c r="G1843">
        <f t="shared" ca="1" si="115"/>
        <v>6</v>
      </c>
      <c r="H1843" s="11">
        <f ca="1">IF(Table1[[#This Row],[Category]]="Electronics",Table1[[#This Row],[Sales]]*0.6,
IF(Table1[[#This Row],[Category]]="Furniture",Table1[[#This Row],[Sales]]*0.75,
IF(Table1[[#This Row],[Category]]="Clothing",Table1[[#This Row],[Sales]]*0.65,
Table1[[#This Row],[Sales]]*0.7)))</f>
        <v>10731</v>
      </c>
      <c r="I1843" s="11">
        <f ca="1">Table1[[#This Row],[Sales]]-H1843</f>
        <v>7154</v>
      </c>
      <c r="J1843" s="2">
        <f ca="1">Table1[[#This Row],[Profit]]/Table1[[#This Row],[Sales]]</f>
        <v>0.4</v>
      </c>
      <c r="K1843" t="str">
        <f ca="1">TEXT(Table1[[#This Row],[Order_Date]],"mmm")</f>
        <v>Jul</v>
      </c>
      <c r="L1843">
        <f ca="1">YEAR(Table1[[#This Row],[Order_Date]])</f>
        <v>2023</v>
      </c>
    </row>
    <row r="1844" spans="1:12" x14ac:dyDescent="0.3">
      <c r="A1844">
        <f t="shared" si="112"/>
        <v>1843</v>
      </c>
      <c r="B1844" s="1">
        <f t="shared" ca="1" si="113"/>
        <v>44965</v>
      </c>
      <c r="C1844" t="s">
        <v>9</v>
      </c>
      <c r="D1844" t="str">
        <f t="shared" ca="1" si="114"/>
        <v>Clothing</v>
      </c>
      <c r="E1844" t="s">
        <v>49</v>
      </c>
      <c r="F1844" s="11">
        <v>15235</v>
      </c>
      <c r="G1844">
        <f t="shared" ca="1" si="115"/>
        <v>7</v>
      </c>
      <c r="H1844" s="11">
        <f ca="1">IF(Table1[[#This Row],[Category]]="Electronics",Table1[[#This Row],[Sales]]*0.6,
IF(Table1[[#This Row],[Category]]="Furniture",Table1[[#This Row],[Sales]]*0.75,
IF(Table1[[#This Row],[Category]]="Clothing",Table1[[#This Row],[Sales]]*0.65,
Table1[[#This Row],[Sales]]*0.7)))</f>
        <v>9902.75</v>
      </c>
      <c r="I1844" s="11">
        <f ca="1">Table1[[#This Row],[Sales]]-H1844</f>
        <v>5332.25</v>
      </c>
      <c r="J1844" s="2">
        <f ca="1">Table1[[#This Row],[Profit]]/Table1[[#This Row],[Sales]]</f>
        <v>0.35</v>
      </c>
      <c r="K1844" t="str">
        <f ca="1">TEXT(Table1[[#This Row],[Order_Date]],"mmm")</f>
        <v>Feb</v>
      </c>
      <c r="L1844">
        <f ca="1">YEAR(Table1[[#This Row],[Order_Date]])</f>
        <v>2023</v>
      </c>
    </row>
    <row r="1845" spans="1:12" x14ac:dyDescent="0.3">
      <c r="A1845">
        <f t="shared" si="112"/>
        <v>1844</v>
      </c>
      <c r="B1845" s="1">
        <f t="shared" ca="1" si="113"/>
        <v>45089</v>
      </c>
      <c r="C1845" t="s">
        <v>10</v>
      </c>
      <c r="D1845" t="str">
        <f t="shared" ca="1" si="114"/>
        <v>Furniture</v>
      </c>
      <c r="E1845" t="s">
        <v>84</v>
      </c>
      <c r="F1845" s="11">
        <v>7724</v>
      </c>
      <c r="G1845">
        <f t="shared" ca="1" si="115"/>
        <v>10</v>
      </c>
      <c r="H1845" s="11">
        <f ca="1">IF(Table1[[#This Row],[Category]]="Electronics",Table1[[#This Row],[Sales]]*0.6,
IF(Table1[[#This Row],[Category]]="Furniture",Table1[[#This Row],[Sales]]*0.75,
IF(Table1[[#This Row],[Category]]="Clothing",Table1[[#This Row],[Sales]]*0.65,
Table1[[#This Row],[Sales]]*0.7)))</f>
        <v>5793</v>
      </c>
      <c r="I1845" s="11">
        <f ca="1">Table1[[#This Row],[Sales]]-H1845</f>
        <v>1931</v>
      </c>
      <c r="J1845" s="2">
        <f ca="1">Table1[[#This Row],[Profit]]/Table1[[#This Row],[Sales]]</f>
        <v>0.25</v>
      </c>
      <c r="K1845" t="str">
        <f ca="1">TEXT(Table1[[#This Row],[Order_Date]],"mmm")</f>
        <v>Jun</v>
      </c>
      <c r="L1845">
        <f ca="1">YEAR(Table1[[#This Row],[Order_Date]])</f>
        <v>2023</v>
      </c>
    </row>
    <row r="1846" spans="1:12" x14ac:dyDescent="0.3">
      <c r="A1846">
        <f t="shared" si="112"/>
        <v>1845</v>
      </c>
      <c r="B1846" s="1">
        <f t="shared" ca="1" si="113"/>
        <v>45048</v>
      </c>
      <c r="C1846" t="s">
        <v>7</v>
      </c>
      <c r="D1846" t="str">
        <f t="shared" ca="1" si="114"/>
        <v>Furniture</v>
      </c>
      <c r="E1846" t="s">
        <v>39</v>
      </c>
      <c r="F1846" s="11">
        <v>7943</v>
      </c>
      <c r="G1846">
        <f t="shared" ca="1" si="115"/>
        <v>7</v>
      </c>
      <c r="H1846" s="11">
        <f ca="1">IF(Table1[[#This Row],[Category]]="Electronics",Table1[[#This Row],[Sales]]*0.6,
IF(Table1[[#This Row],[Category]]="Furniture",Table1[[#This Row],[Sales]]*0.75,
IF(Table1[[#This Row],[Category]]="Clothing",Table1[[#This Row],[Sales]]*0.65,
Table1[[#This Row],[Sales]]*0.7)))</f>
        <v>5957.25</v>
      </c>
      <c r="I1846" s="11">
        <f ca="1">Table1[[#This Row],[Sales]]-H1846</f>
        <v>1985.75</v>
      </c>
      <c r="J1846" s="2">
        <f ca="1">Table1[[#This Row],[Profit]]/Table1[[#This Row],[Sales]]</f>
        <v>0.25</v>
      </c>
      <c r="K1846" t="str">
        <f ca="1">TEXT(Table1[[#This Row],[Order_Date]],"mmm")</f>
        <v>May</v>
      </c>
      <c r="L1846">
        <f ca="1">YEAR(Table1[[#This Row],[Order_Date]])</f>
        <v>2023</v>
      </c>
    </row>
    <row r="1847" spans="1:12" x14ac:dyDescent="0.3">
      <c r="A1847">
        <f t="shared" si="112"/>
        <v>1846</v>
      </c>
      <c r="B1847" s="1">
        <f t="shared" ca="1" si="113"/>
        <v>45130</v>
      </c>
      <c r="C1847" t="s">
        <v>8</v>
      </c>
      <c r="D1847" t="str">
        <f t="shared" ca="1" si="114"/>
        <v>Electronics</v>
      </c>
      <c r="E1847" t="s">
        <v>36</v>
      </c>
      <c r="F1847" s="11">
        <v>15439</v>
      </c>
      <c r="G1847">
        <f t="shared" ca="1" si="115"/>
        <v>4</v>
      </c>
      <c r="H1847" s="11">
        <f ca="1">IF(Table1[[#This Row],[Category]]="Electronics",Table1[[#This Row],[Sales]]*0.6,
IF(Table1[[#This Row],[Category]]="Furniture",Table1[[#This Row],[Sales]]*0.75,
IF(Table1[[#This Row],[Category]]="Clothing",Table1[[#This Row],[Sales]]*0.65,
Table1[[#This Row],[Sales]]*0.7)))</f>
        <v>9263.4</v>
      </c>
      <c r="I1847" s="11">
        <f ca="1">Table1[[#This Row],[Sales]]-H1847</f>
        <v>6175.6</v>
      </c>
      <c r="J1847" s="2">
        <f ca="1">Table1[[#This Row],[Profit]]/Table1[[#This Row],[Sales]]</f>
        <v>0.4</v>
      </c>
      <c r="K1847" t="str">
        <f ca="1">TEXT(Table1[[#This Row],[Order_Date]],"mmm")</f>
        <v>Jul</v>
      </c>
      <c r="L1847">
        <f ca="1">YEAR(Table1[[#This Row],[Order_Date]])</f>
        <v>2023</v>
      </c>
    </row>
    <row r="1848" spans="1:12" x14ac:dyDescent="0.3">
      <c r="A1848">
        <f t="shared" si="112"/>
        <v>1847</v>
      </c>
      <c r="B1848" s="1">
        <f t="shared" ca="1" si="113"/>
        <v>45225</v>
      </c>
      <c r="C1848" t="s">
        <v>9</v>
      </c>
      <c r="D1848" t="str">
        <f t="shared" ca="1" si="114"/>
        <v>Clothing</v>
      </c>
      <c r="E1848" t="s">
        <v>42</v>
      </c>
      <c r="F1848" s="11">
        <v>1439</v>
      </c>
      <c r="G1848">
        <f t="shared" ca="1" si="115"/>
        <v>6</v>
      </c>
      <c r="H1848" s="11">
        <f ca="1">IF(Table1[[#This Row],[Category]]="Electronics",Table1[[#This Row],[Sales]]*0.6,
IF(Table1[[#This Row],[Category]]="Furniture",Table1[[#This Row],[Sales]]*0.75,
IF(Table1[[#This Row],[Category]]="Clothing",Table1[[#This Row],[Sales]]*0.65,
Table1[[#This Row],[Sales]]*0.7)))</f>
        <v>935.35</v>
      </c>
      <c r="I1848" s="11">
        <f ca="1">Table1[[#This Row],[Sales]]-H1848</f>
        <v>503.65</v>
      </c>
      <c r="J1848" s="2">
        <f ca="1">Table1[[#This Row],[Profit]]/Table1[[#This Row],[Sales]]</f>
        <v>0.35</v>
      </c>
      <c r="K1848" t="str">
        <f ca="1">TEXT(Table1[[#This Row],[Order_Date]],"mmm")</f>
        <v>Oct</v>
      </c>
      <c r="L1848">
        <f ca="1">YEAR(Table1[[#This Row],[Order_Date]])</f>
        <v>2023</v>
      </c>
    </row>
    <row r="1849" spans="1:12" x14ac:dyDescent="0.3">
      <c r="A1849">
        <f t="shared" si="112"/>
        <v>1848</v>
      </c>
      <c r="B1849" s="1">
        <f t="shared" ca="1" si="113"/>
        <v>45000</v>
      </c>
      <c r="C1849" t="s">
        <v>10</v>
      </c>
      <c r="D1849" t="str">
        <f t="shared" ca="1" si="114"/>
        <v>Furniture</v>
      </c>
      <c r="E1849" t="s">
        <v>58</v>
      </c>
      <c r="F1849" s="11">
        <v>10809</v>
      </c>
      <c r="G1849">
        <f t="shared" ca="1" si="115"/>
        <v>8</v>
      </c>
      <c r="H1849" s="11">
        <f ca="1">IF(Table1[[#This Row],[Category]]="Electronics",Table1[[#This Row],[Sales]]*0.6,
IF(Table1[[#This Row],[Category]]="Furniture",Table1[[#This Row],[Sales]]*0.75,
IF(Table1[[#This Row],[Category]]="Clothing",Table1[[#This Row],[Sales]]*0.65,
Table1[[#This Row],[Sales]]*0.7)))</f>
        <v>8106.75</v>
      </c>
      <c r="I1849" s="11">
        <f ca="1">Table1[[#This Row],[Sales]]-H1849</f>
        <v>2702.25</v>
      </c>
      <c r="J1849" s="2">
        <f ca="1">Table1[[#This Row],[Profit]]/Table1[[#This Row],[Sales]]</f>
        <v>0.25</v>
      </c>
      <c r="K1849" t="str">
        <f ca="1">TEXT(Table1[[#This Row],[Order_Date]],"mmm")</f>
        <v>Mar</v>
      </c>
      <c r="L1849">
        <f ca="1">YEAR(Table1[[#This Row],[Order_Date]])</f>
        <v>2023</v>
      </c>
    </row>
    <row r="1850" spans="1:12" x14ac:dyDescent="0.3">
      <c r="A1850">
        <f t="shared" si="112"/>
        <v>1849</v>
      </c>
      <c r="B1850" s="1">
        <f t="shared" ca="1" si="113"/>
        <v>45166</v>
      </c>
      <c r="C1850" t="s">
        <v>7</v>
      </c>
      <c r="D1850" t="str">
        <f t="shared" ca="1" si="114"/>
        <v>Clothing</v>
      </c>
      <c r="E1850" t="s">
        <v>44</v>
      </c>
      <c r="F1850" s="11">
        <v>7977</v>
      </c>
      <c r="G1850">
        <f t="shared" ca="1" si="115"/>
        <v>10</v>
      </c>
      <c r="H1850" s="11">
        <f ca="1">IF(Table1[[#This Row],[Category]]="Electronics",Table1[[#This Row],[Sales]]*0.6,
IF(Table1[[#This Row],[Category]]="Furniture",Table1[[#This Row],[Sales]]*0.75,
IF(Table1[[#This Row],[Category]]="Clothing",Table1[[#This Row],[Sales]]*0.65,
Table1[[#This Row],[Sales]]*0.7)))</f>
        <v>5185.05</v>
      </c>
      <c r="I1850" s="11">
        <f ca="1">Table1[[#This Row],[Sales]]-H1850</f>
        <v>2791.95</v>
      </c>
      <c r="J1850" s="2">
        <f ca="1">Table1[[#This Row],[Profit]]/Table1[[#This Row],[Sales]]</f>
        <v>0.35</v>
      </c>
      <c r="K1850" t="str">
        <f ca="1">TEXT(Table1[[#This Row],[Order_Date]],"mmm")</f>
        <v>Aug</v>
      </c>
      <c r="L1850">
        <f ca="1">YEAR(Table1[[#This Row],[Order_Date]])</f>
        <v>2023</v>
      </c>
    </row>
    <row r="1851" spans="1:12" x14ac:dyDescent="0.3">
      <c r="A1851">
        <f t="shared" si="112"/>
        <v>1850</v>
      </c>
      <c r="B1851" s="1">
        <f t="shared" ca="1" si="113"/>
        <v>45119</v>
      </c>
      <c r="C1851" t="s">
        <v>8</v>
      </c>
      <c r="D1851" t="str">
        <f t="shared" ca="1" si="114"/>
        <v>Office Supplies</v>
      </c>
      <c r="E1851" t="s">
        <v>56</v>
      </c>
      <c r="F1851" s="11">
        <v>9280</v>
      </c>
      <c r="G1851">
        <f t="shared" ca="1" si="115"/>
        <v>3</v>
      </c>
      <c r="H1851" s="11">
        <f ca="1">IF(Table1[[#This Row],[Category]]="Electronics",Table1[[#This Row],[Sales]]*0.6,
IF(Table1[[#This Row],[Category]]="Furniture",Table1[[#This Row],[Sales]]*0.75,
IF(Table1[[#This Row],[Category]]="Clothing",Table1[[#This Row],[Sales]]*0.65,
Table1[[#This Row],[Sales]]*0.7)))</f>
        <v>6496</v>
      </c>
      <c r="I1851" s="11">
        <f ca="1">Table1[[#This Row],[Sales]]-H1851</f>
        <v>2784</v>
      </c>
      <c r="J1851" s="2">
        <f ca="1">Table1[[#This Row],[Profit]]/Table1[[#This Row],[Sales]]</f>
        <v>0.3</v>
      </c>
      <c r="K1851" t="str">
        <f ca="1">TEXT(Table1[[#This Row],[Order_Date]],"mmm")</f>
        <v>Jul</v>
      </c>
      <c r="L1851">
        <f ca="1">YEAR(Table1[[#This Row],[Order_Date]])</f>
        <v>2023</v>
      </c>
    </row>
    <row r="1852" spans="1:12" x14ac:dyDescent="0.3">
      <c r="A1852">
        <f t="shared" si="112"/>
        <v>1851</v>
      </c>
      <c r="B1852" s="1">
        <f t="shared" ca="1" si="113"/>
        <v>45219</v>
      </c>
      <c r="C1852" t="s">
        <v>9</v>
      </c>
      <c r="D1852" t="str">
        <f t="shared" ca="1" si="114"/>
        <v>Clothing</v>
      </c>
      <c r="E1852" t="s">
        <v>73</v>
      </c>
      <c r="F1852" s="11">
        <v>6934</v>
      </c>
      <c r="G1852">
        <f t="shared" ca="1" si="115"/>
        <v>10</v>
      </c>
      <c r="H1852" s="11">
        <f ca="1">IF(Table1[[#This Row],[Category]]="Electronics",Table1[[#This Row],[Sales]]*0.6,
IF(Table1[[#This Row],[Category]]="Furniture",Table1[[#This Row],[Sales]]*0.75,
IF(Table1[[#This Row],[Category]]="Clothing",Table1[[#This Row],[Sales]]*0.65,
Table1[[#This Row],[Sales]]*0.7)))</f>
        <v>4507.1000000000004</v>
      </c>
      <c r="I1852" s="11">
        <f ca="1">Table1[[#This Row],[Sales]]-H1852</f>
        <v>2426.8999999999996</v>
      </c>
      <c r="J1852" s="2">
        <f ca="1">Table1[[#This Row],[Profit]]/Table1[[#This Row],[Sales]]</f>
        <v>0.34999999999999992</v>
      </c>
      <c r="K1852" t="str">
        <f ca="1">TEXT(Table1[[#This Row],[Order_Date]],"mmm")</f>
        <v>Oct</v>
      </c>
      <c r="L1852">
        <f ca="1">YEAR(Table1[[#This Row],[Order_Date]])</f>
        <v>2023</v>
      </c>
    </row>
    <row r="1853" spans="1:12" x14ac:dyDescent="0.3">
      <c r="A1853">
        <f t="shared" si="112"/>
        <v>1852</v>
      </c>
      <c r="B1853" s="1">
        <f t="shared" ca="1" si="113"/>
        <v>44973</v>
      </c>
      <c r="C1853" t="s">
        <v>10</v>
      </c>
      <c r="D1853" t="str">
        <f t="shared" ca="1" si="114"/>
        <v>Electronics</v>
      </c>
      <c r="E1853" t="s">
        <v>77</v>
      </c>
      <c r="F1853" s="11">
        <v>9531</v>
      </c>
      <c r="G1853">
        <f t="shared" ca="1" si="115"/>
        <v>5</v>
      </c>
      <c r="H1853" s="11">
        <f ca="1">IF(Table1[[#This Row],[Category]]="Electronics",Table1[[#This Row],[Sales]]*0.6,
IF(Table1[[#This Row],[Category]]="Furniture",Table1[[#This Row],[Sales]]*0.75,
IF(Table1[[#This Row],[Category]]="Clothing",Table1[[#This Row],[Sales]]*0.65,
Table1[[#This Row],[Sales]]*0.7)))</f>
        <v>5718.5999999999995</v>
      </c>
      <c r="I1853" s="11">
        <f ca="1">Table1[[#This Row],[Sales]]-H1853</f>
        <v>3812.4000000000005</v>
      </c>
      <c r="J1853" s="2">
        <f ca="1">Table1[[#This Row],[Profit]]/Table1[[#This Row],[Sales]]</f>
        <v>0.40000000000000008</v>
      </c>
      <c r="K1853" t="str">
        <f ca="1">TEXT(Table1[[#This Row],[Order_Date]],"mmm")</f>
        <v>Feb</v>
      </c>
      <c r="L1853">
        <f ca="1">YEAR(Table1[[#This Row],[Order_Date]])</f>
        <v>2023</v>
      </c>
    </row>
    <row r="1854" spans="1:12" x14ac:dyDescent="0.3">
      <c r="A1854">
        <f t="shared" si="112"/>
        <v>1853</v>
      </c>
      <c r="B1854" s="1">
        <f t="shared" ca="1" si="113"/>
        <v>45164</v>
      </c>
      <c r="C1854" t="s">
        <v>7</v>
      </c>
      <c r="D1854" t="str">
        <f t="shared" ca="1" si="114"/>
        <v>Office Supplies</v>
      </c>
      <c r="E1854" t="s">
        <v>36</v>
      </c>
      <c r="F1854" s="11">
        <v>19616</v>
      </c>
      <c r="G1854">
        <f t="shared" ca="1" si="115"/>
        <v>3</v>
      </c>
      <c r="H1854" s="11">
        <f ca="1">IF(Table1[[#This Row],[Category]]="Electronics",Table1[[#This Row],[Sales]]*0.6,
IF(Table1[[#This Row],[Category]]="Furniture",Table1[[#This Row],[Sales]]*0.75,
IF(Table1[[#This Row],[Category]]="Clothing",Table1[[#This Row],[Sales]]*0.65,
Table1[[#This Row],[Sales]]*0.7)))</f>
        <v>13731.199999999999</v>
      </c>
      <c r="I1854" s="11">
        <f ca="1">Table1[[#This Row],[Sales]]-H1854</f>
        <v>5884.8000000000011</v>
      </c>
      <c r="J1854" s="2">
        <f ca="1">Table1[[#This Row],[Profit]]/Table1[[#This Row],[Sales]]</f>
        <v>0.30000000000000004</v>
      </c>
      <c r="K1854" t="str">
        <f ca="1">TEXT(Table1[[#This Row],[Order_Date]],"mmm")</f>
        <v>Aug</v>
      </c>
      <c r="L1854">
        <f ca="1">YEAR(Table1[[#This Row],[Order_Date]])</f>
        <v>2023</v>
      </c>
    </row>
    <row r="1855" spans="1:12" x14ac:dyDescent="0.3">
      <c r="A1855">
        <f t="shared" si="112"/>
        <v>1854</v>
      </c>
      <c r="B1855" s="1">
        <f t="shared" ca="1" si="113"/>
        <v>45235</v>
      </c>
      <c r="C1855" t="s">
        <v>8</v>
      </c>
      <c r="D1855" t="str">
        <f t="shared" ca="1" si="114"/>
        <v>Furniture</v>
      </c>
      <c r="E1855" t="s">
        <v>79</v>
      </c>
      <c r="F1855" s="11">
        <v>17086</v>
      </c>
      <c r="G1855">
        <f t="shared" ca="1" si="115"/>
        <v>2</v>
      </c>
      <c r="H1855" s="11">
        <f ca="1">IF(Table1[[#This Row],[Category]]="Electronics",Table1[[#This Row],[Sales]]*0.6,
IF(Table1[[#This Row],[Category]]="Furniture",Table1[[#This Row],[Sales]]*0.75,
IF(Table1[[#This Row],[Category]]="Clothing",Table1[[#This Row],[Sales]]*0.65,
Table1[[#This Row],[Sales]]*0.7)))</f>
        <v>12814.5</v>
      </c>
      <c r="I1855" s="11">
        <f ca="1">Table1[[#This Row],[Sales]]-H1855</f>
        <v>4271.5</v>
      </c>
      <c r="J1855" s="2">
        <f ca="1">Table1[[#This Row],[Profit]]/Table1[[#This Row],[Sales]]</f>
        <v>0.25</v>
      </c>
      <c r="K1855" t="str">
        <f ca="1">TEXT(Table1[[#This Row],[Order_Date]],"mmm")</f>
        <v>Nov</v>
      </c>
      <c r="L1855">
        <f ca="1">YEAR(Table1[[#This Row],[Order_Date]])</f>
        <v>2023</v>
      </c>
    </row>
    <row r="1856" spans="1:12" x14ac:dyDescent="0.3">
      <c r="A1856">
        <f t="shared" si="112"/>
        <v>1855</v>
      </c>
      <c r="B1856" s="1">
        <f t="shared" ca="1" si="113"/>
        <v>45258</v>
      </c>
      <c r="C1856" t="s">
        <v>9</v>
      </c>
      <c r="D1856" t="str">
        <f t="shared" ca="1" si="114"/>
        <v>Office Supplies</v>
      </c>
      <c r="E1856" t="s">
        <v>85</v>
      </c>
      <c r="F1856" s="11">
        <v>12772</v>
      </c>
      <c r="G1856">
        <f t="shared" ca="1" si="115"/>
        <v>10</v>
      </c>
      <c r="H1856" s="11">
        <f ca="1">IF(Table1[[#This Row],[Category]]="Electronics",Table1[[#This Row],[Sales]]*0.6,
IF(Table1[[#This Row],[Category]]="Furniture",Table1[[#This Row],[Sales]]*0.75,
IF(Table1[[#This Row],[Category]]="Clothing",Table1[[#This Row],[Sales]]*0.65,
Table1[[#This Row],[Sales]]*0.7)))</f>
        <v>8940.4</v>
      </c>
      <c r="I1856" s="11">
        <f ca="1">Table1[[#This Row],[Sales]]-H1856</f>
        <v>3831.6000000000004</v>
      </c>
      <c r="J1856" s="2">
        <f ca="1">Table1[[#This Row],[Profit]]/Table1[[#This Row],[Sales]]</f>
        <v>0.30000000000000004</v>
      </c>
      <c r="K1856" t="str">
        <f ca="1">TEXT(Table1[[#This Row],[Order_Date]],"mmm")</f>
        <v>Nov</v>
      </c>
      <c r="L1856">
        <f ca="1">YEAR(Table1[[#This Row],[Order_Date]])</f>
        <v>2023</v>
      </c>
    </row>
    <row r="1857" spans="1:12" x14ac:dyDescent="0.3">
      <c r="A1857">
        <f t="shared" si="112"/>
        <v>1856</v>
      </c>
      <c r="B1857" s="1">
        <f t="shared" ca="1" si="113"/>
        <v>44931</v>
      </c>
      <c r="C1857" t="s">
        <v>10</v>
      </c>
      <c r="D1857" t="str">
        <f t="shared" ca="1" si="114"/>
        <v>Electronics</v>
      </c>
      <c r="E1857" t="s">
        <v>64</v>
      </c>
      <c r="F1857" s="11">
        <v>4714</v>
      </c>
      <c r="G1857">
        <f t="shared" ca="1" si="115"/>
        <v>9</v>
      </c>
      <c r="H1857" s="11">
        <f ca="1">IF(Table1[[#This Row],[Category]]="Electronics",Table1[[#This Row],[Sales]]*0.6,
IF(Table1[[#This Row],[Category]]="Furniture",Table1[[#This Row],[Sales]]*0.75,
IF(Table1[[#This Row],[Category]]="Clothing",Table1[[#This Row],[Sales]]*0.65,
Table1[[#This Row],[Sales]]*0.7)))</f>
        <v>2828.4</v>
      </c>
      <c r="I1857" s="11">
        <f ca="1">Table1[[#This Row],[Sales]]-H1857</f>
        <v>1885.6</v>
      </c>
      <c r="J1857" s="2">
        <f ca="1">Table1[[#This Row],[Profit]]/Table1[[#This Row],[Sales]]</f>
        <v>0.39999999999999997</v>
      </c>
      <c r="K1857" t="str">
        <f ca="1">TEXT(Table1[[#This Row],[Order_Date]],"mmm")</f>
        <v>Jan</v>
      </c>
      <c r="L1857">
        <f ca="1">YEAR(Table1[[#This Row],[Order_Date]])</f>
        <v>2023</v>
      </c>
    </row>
    <row r="1858" spans="1:12" x14ac:dyDescent="0.3">
      <c r="A1858">
        <f t="shared" si="112"/>
        <v>1857</v>
      </c>
      <c r="B1858" s="1">
        <f t="shared" ca="1" si="113"/>
        <v>45149</v>
      </c>
      <c r="C1858" t="s">
        <v>7</v>
      </c>
      <c r="D1858" t="str">
        <f t="shared" ca="1" si="114"/>
        <v>Electronics</v>
      </c>
      <c r="E1858" t="s">
        <v>72</v>
      </c>
      <c r="F1858" s="11">
        <v>2194</v>
      </c>
      <c r="G1858">
        <f t="shared" ca="1" si="115"/>
        <v>2</v>
      </c>
      <c r="H1858" s="11">
        <f ca="1">IF(Table1[[#This Row],[Category]]="Electronics",Table1[[#This Row],[Sales]]*0.6,
IF(Table1[[#This Row],[Category]]="Furniture",Table1[[#This Row],[Sales]]*0.75,
IF(Table1[[#This Row],[Category]]="Clothing",Table1[[#This Row],[Sales]]*0.65,
Table1[[#This Row],[Sales]]*0.7)))</f>
        <v>1316.3999999999999</v>
      </c>
      <c r="I1858" s="11">
        <f ca="1">Table1[[#This Row],[Sales]]-H1858</f>
        <v>877.60000000000014</v>
      </c>
      <c r="J1858" s="2">
        <f ca="1">Table1[[#This Row],[Profit]]/Table1[[#This Row],[Sales]]</f>
        <v>0.40000000000000008</v>
      </c>
      <c r="K1858" t="str">
        <f ca="1">TEXT(Table1[[#This Row],[Order_Date]],"mmm")</f>
        <v>Aug</v>
      </c>
      <c r="L1858">
        <f ca="1">YEAR(Table1[[#This Row],[Order_Date]])</f>
        <v>2023</v>
      </c>
    </row>
    <row r="1859" spans="1:12" x14ac:dyDescent="0.3">
      <c r="A1859">
        <f t="shared" ref="A1859:A1922" si="116">ROW()-1</f>
        <v>1858</v>
      </c>
      <c r="B1859" s="1">
        <f t="shared" ref="B1859:B1922" ca="1" si="117">DATE(2023, RANDBETWEEN(1,12), RANDBETWEEN(1,28))</f>
        <v>45248</v>
      </c>
      <c r="C1859" t="s">
        <v>8</v>
      </c>
      <c r="D1859" t="str">
        <f t="shared" ref="D1859:D1922" ca="1" si="118">CHOOSE(RANDBETWEEN(1,4),"Electronics","Furniture","Clothing","Office Supplies")</f>
        <v>Furniture</v>
      </c>
      <c r="E1859" t="s">
        <v>64</v>
      </c>
      <c r="F1859" s="11">
        <v>19406</v>
      </c>
      <c r="G1859">
        <f t="shared" ref="G1859:G1922" ca="1" si="119">RANDBETWEEN(1,10)</f>
        <v>3</v>
      </c>
      <c r="H1859" s="11">
        <f ca="1">IF(Table1[[#This Row],[Category]]="Electronics",Table1[[#This Row],[Sales]]*0.6,
IF(Table1[[#This Row],[Category]]="Furniture",Table1[[#This Row],[Sales]]*0.75,
IF(Table1[[#This Row],[Category]]="Clothing",Table1[[#This Row],[Sales]]*0.65,
Table1[[#This Row],[Sales]]*0.7)))</f>
        <v>14554.5</v>
      </c>
      <c r="I1859" s="11">
        <f ca="1">Table1[[#This Row],[Sales]]-H1859</f>
        <v>4851.5</v>
      </c>
      <c r="J1859" s="2">
        <f ca="1">Table1[[#This Row],[Profit]]/Table1[[#This Row],[Sales]]</f>
        <v>0.25</v>
      </c>
      <c r="K1859" t="str">
        <f ca="1">TEXT(Table1[[#This Row],[Order_Date]],"mmm")</f>
        <v>Nov</v>
      </c>
      <c r="L1859">
        <f ca="1">YEAR(Table1[[#This Row],[Order_Date]])</f>
        <v>2023</v>
      </c>
    </row>
    <row r="1860" spans="1:12" x14ac:dyDescent="0.3">
      <c r="A1860">
        <f t="shared" si="116"/>
        <v>1859</v>
      </c>
      <c r="B1860" s="1">
        <f t="shared" ca="1" si="117"/>
        <v>45237</v>
      </c>
      <c r="C1860" t="s">
        <v>9</v>
      </c>
      <c r="D1860" t="str">
        <f t="shared" ca="1" si="118"/>
        <v>Office Supplies</v>
      </c>
      <c r="E1860" t="s">
        <v>59</v>
      </c>
      <c r="F1860" s="11">
        <v>3366</v>
      </c>
      <c r="G1860">
        <f t="shared" ca="1" si="119"/>
        <v>10</v>
      </c>
      <c r="H1860" s="11">
        <f ca="1">IF(Table1[[#This Row],[Category]]="Electronics",Table1[[#This Row],[Sales]]*0.6,
IF(Table1[[#This Row],[Category]]="Furniture",Table1[[#This Row],[Sales]]*0.75,
IF(Table1[[#This Row],[Category]]="Clothing",Table1[[#This Row],[Sales]]*0.65,
Table1[[#This Row],[Sales]]*0.7)))</f>
        <v>2356.1999999999998</v>
      </c>
      <c r="I1860" s="11">
        <f ca="1">Table1[[#This Row],[Sales]]-H1860</f>
        <v>1009.8000000000002</v>
      </c>
      <c r="J1860" s="2">
        <f ca="1">Table1[[#This Row],[Profit]]/Table1[[#This Row],[Sales]]</f>
        <v>0.30000000000000004</v>
      </c>
      <c r="K1860" t="str">
        <f ca="1">TEXT(Table1[[#This Row],[Order_Date]],"mmm")</f>
        <v>Nov</v>
      </c>
      <c r="L1860">
        <f ca="1">YEAR(Table1[[#This Row],[Order_Date]])</f>
        <v>2023</v>
      </c>
    </row>
    <row r="1861" spans="1:12" x14ac:dyDescent="0.3">
      <c r="A1861">
        <f t="shared" si="116"/>
        <v>1860</v>
      </c>
      <c r="B1861" s="1">
        <f t="shared" ca="1" si="117"/>
        <v>45161</v>
      </c>
      <c r="C1861" t="s">
        <v>10</v>
      </c>
      <c r="D1861" t="str">
        <f t="shared" ca="1" si="118"/>
        <v>Office Supplies</v>
      </c>
      <c r="E1861" t="s">
        <v>63</v>
      </c>
      <c r="F1861" s="11">
        <v>1336</v>
      </c>
      <c r="G1861">
        <f t="shared" ca="1" si="119"/>
        <v>3</v>
      </c>
      <c r="H1861" s="11">
        <f ca="1">IF(Table1[[#This Row],[Category]]="Electronics",Table1[[#This Row],[Sales]]*0.6,
IF(Table1[[#This Row],[Category]]="Furniture",Table1[[#This Row],[Sales]]*0.75,
IF(Table1[[#This Row],[Category]]="Clothing",Table1[[#This Row],[Sales]]*0.65,
Table1[[#This Row],[Sales]]*0.7)))</f>
        <v>935.19999999999993</v>
      </c>
      <c r="I1861" s="11">
        <f ca="1">Table1[[#This Row],[Sales]]-H1861</f>
        <v>400.80000000000007</v>
      </c>
      <c r="J1861" s="2">
        <f ca="1">Table1[[#This Row],[Profit]]/Table1[[#This Row],[Sales]]</f>
        <v>0.30000000000000004</v>
      </c>
      <c r="K1861" t="str">
        <f ca="1">TEXT(Table1[[#This Row],[Order_Date]],"mmm")</f>
        <v>Aug</v>
      </c>
      <c r="L1861">
        <f ca="1">YEAR(Table1[[#This Row],[Order_Date]])</f>
        <v>2023</v>
      </c>
    </row>
    <row r="1862" spans="1:12" x14ac:dyDescent="0.3">
      <c r="A1862">
        <f t="shared" si="116"/>
        <v>1861</v>
      </c>
      <c r="B1862" s="1">
        <f t="shared" ca="1" si="117"/>
        <v>45001</v>
      </c>
      <c r="C1862" t="s">
        <v>7</v>
      </c>
      <c r="D1862" t="str">
        <f t="shared" ca="1" si="118"/>
        <v>Clothing</v>
      </c>
      <c r="E1862" t="s">
        <v>56</v>
      </c>
      <c r="F1862" s="11">
        <v>6036</v>
      </c>
      <c r="G1862">
        <f t="shared" ca="1" si="119"/>
        <v>2</v>
      </c>
      <c r="H1862" s="11">
        <f ca="1">IF(Table1[[#This Row],[Category]]="Electronics",Table1[[#This Row],[Sales]]*0.6,
IF(Table1[[#This Row],[Category]]="Furniture",Table1[[#This Row],[Sales]]*0.75,
IF(Table1[[#This Row],[Category]]="Clothing",Table1[[#This Row],[Sales]]*0.65,
Table1[[#This Row],[Sales]]*0.7)))</f>
        <v>3923.4</v>
      </c>
      <c r="I1862" s="11">
        <f ca="1">Table1[[#This Row],[Sales]]-H1862</f>
        <v>2112.6</v>
      </c>
      <c r="J1862" s="2">
        <f ca="1">Table1[[#This Row],[Profit]]/Table1[[#This Row],[Sales]]</f>
        <v>0.35</v>
      </c>
      <c r="K1862" t="str">
        <f ca="1">TEXT(Table1[[#This Row],[Order_Date]],"mmm")</f>
        <v>Mar</v>
      </c>
      <c r="L1862">
        <f ca="1">YEAR(Table1[[#This Row],[Order_Date]])</f>
        <v>2023</v>
      </c>
    </row>
    <row r="1863" spans="1:12" x14ac:dyDescent="0.3">
      <c r="A1863">
        <f t="shared" si="116"/>
        <v>1862</v>
      </c>
      <c r="B1863" s="1">
        <f t="shared" ca="1" si="117"/>
        <v>45118</v>
      </c>
      <c r="C1863" t="s">
        <v>8</v>
      </c>
      <c r="D1863" t="str">
        <f t="shared" ca="1" si="118"/>
        <v>Electronics</v>
      </c>
      <c r="E1863" t="s">
        <v>66</v>
      </c>
      <c r="F1863" s="11">
        <v>1693</v>
      </c>
      <c r="G1863">
        <f t="shared" ca="1" si="119"/>
        <v>1</v>
      </c>
      <c r="H1863" s="11">
        <f ca="1">IF(Table1[[#This Row],[Category]]="Electronics",Table1[[#This Row],[Sales]]*0.6,
IF(Table1[[#This Row],[Category]]="Furniture",Table1[[#This Row],[Sales]]*0.75,
IF(Table1[[#This Row],[Category]]="Clothing",Table1[[#This Row],[Sales]]*0.65,
Table1[[#This Row],[Sales]]*0.7)))</f>
        <v>1015.8</v>
      </c>
      <c r="I1863" s="11">
        <f ca="1">Table1[[#This Row],[Sales]]-H1863</f>
        <v>677.2</v>
      </c>
      <c r="J1863" s="2">
        <f ca="1">Table1[[#This Row],[Profit]]/Table1[[#This Row],[Sales]]</f>
        <v>0.4</v>
      </c>
      <c r="K1863" t="str">
        <f ca="1">TEXT(Table1[[#This Row],[Order_Date]],"mmm")</f>
        <v>Jul</v>
      </c>
      <c r="L1863">
        <f ca="1">YEAR(Table1[[#This Row],[Order_Date]])</f>
        <v>2023</v>
      </c>
    </row>
    <row r="1864" spans="1:12" x14ac:dyDescent="0.3">
      <c r="A1864">
        <f t="shared" si="116"/>
        <v>1863</v>
      </c>
      <c r="B1864" s="1">
        <f t="shared" ca="1" si="117"/>
        <v>45099</v>
      </c>
      <c r="C1864" t="s">
        <v>9</v>
      </c>
      <c r="D1864" t="str">
        <f t="shared" ca="1" si="118"/>
        <v>Electronics</v>
      </c>
      <c r="E1864" t="s">
        <v>57</v>
      </c>
      <c r="F1864" s="11">
        <v>15407</v>
      </c>
      <c r="G1864">
        <f t="shared" ca="1" si="119"/>
        <v>3</v>
      </c>
      <c r="H1864" s="11">
        <f ca="1">IF(Table1[[#This Row],[Category]]="Electronics",Table1[[#This Row],[Sales]]*0.6,
IF(Table1[[#This Row],[Category]]="Furniture",Table1[[#This Row],[Sales]]*0.75,
IF(Table1[[#This Row],[Category]]="Clothing",Table1[[#This Row],[Sales]]*0.65,
Table1[[#This Row],[Sales]]*0.7)))</f>
        <v>9244.1999999999989</v>
      </c>
      <c r="I1864" s="11">
        <f ca="1">Table1[[#This Row],[Sales]]-H1864</f>
        <v>6162.8000000000011</v>
      </c>
      <c r="J1864" s="2">
        <f ca="1">Table1[[#This Row],[Profit]]/Table1[[#This Row],[Sales]]</f>
        <v>0.40000000000000008</v>
      </c>
      <c r="K1864" t="str">
        <f ca="1">TEXT(Table1[[#This Row],[Order_Date]],"mmm")</f>
        <v>Jun</v>
      </c>
      <c r="L1864">
        <f ca="1">YEAR(Table1[[#This Row],[Order_Date]])</f>
        <v>2023</v>
      </c>
    </row>
    <row r="1865" spans="1:12" x14ac:dyDescent="0.3">
      <c r="A1865">
        <f t="shared" si="116"/>
        <v>1864</v>
      </c>
      <c r="B1865" s="1">
        <f t="shared" ca="1" si="117"/>
        <v>44940</v>
      </c>
      <c r="C1865" t="s">
        <v>10</v>
      </c>
      <c r="D1865" t="str">
        <f t="shared" ca="1" si="118"/>
        <v>Clothing</v>
      </c>
      <c r="E1865" t="s">
        <v>39</v>
      </c>
      <c r="F1865" s="11">
        <v>15736</v>
      </c>
      <c r="G1865">
        <f t="shared" ca="1" si="119"/>
        <v>2</v>
      </c>
      <c r="H1865" s="11">
        <f ca="1">IF(Table1[[#This Row],[Category]]="Electronics",Table1[[#This Row],[Sales]]*0.6,
IF(Table1[[#This Row],[Category]]="Furniture",Table1[[#This Row],[Sales]]*0.75,
IF(Table1[[#This Row],[Category]]="Clothing",Table1[[#This Row],[Sales]]*0.65,
Table1[[#This Row],[Sales]]*0.7)))</f>
        <v>10228.4</v>
      </c>
      <c r="I1865" s="11">
        <f ca="1">Table1[[#This Row],[Sales]]-H1865</f>
        <v>5507.6</v>
      </c>
      <c r="J1865" s="2">
        <f ca="1">Table1[[#This Row],[Profit]]/Table1[[#This Row],[Sales]]</f>
        <v>0.35000000000000003</v>
      </c>
      <c r="K1865" t="str">
        <f ca="1">TEXT(Table1[[#This Row],[Order_Date]],"mmm")</f>
        <v>Jan</v>
      </c>
      <c r="L1865">
        <f ca="1">YEAR(Table1[[#This Row],[Order_Date]])</f>
        <v>2023</v>
      </c>
    </row>
    <row r="1866" spans="1:12" x14ac:dyDescent="0.3">
      <c r="A1866">
        <f t="shared" si="116"/>
        <v>1865</v>
      </c>
      <c r="B1866" s="1">
        <f t="shared" ca="1" si="117"/>
        <v>45163</v>
      </c>
      <c r="C1866" t="s">
        <v>7</v>
      </c>
      <c r="D1866" t="str">
        <f t="shared" ca="1" si="118"/>
        <v>Furniture</v>
      </c>
      <c r="E1866" t="s">
        <v>39</v>
      </c>
      <c r="F1866" s="11">
        <v>17690</v>
      </c>
      <c r="G1866">
        <f t="shared" ca="1" si="119"/>
        <v>9</v>
      </c>
      <c r="H1866" s="11">
        <f ca="1">IF(Table1[[#This Row],[Category]]="Electronics",Table1[[#This Row],[Sales]]*0.6,
IF(Table1[[#This Row],[Category]]="Furniture",Table1[[#This Row],[Sales]]*0.75,
IF(Table1[[#This Row],[Category]]="Clothing",Table1[[#This Row],[Sales]]*0.65,
Table1[[#This Row],[Sales]]*0.7)))</f>
        <v>13267.5</v>
      </c>
      <c r="I1866" s="11">
        <f ca="1">Table1[[#This Row],[Sales]]-H1866</f>
        <v>4422.5</v>
      </c>
      <c r="J1866" s="2">
        <f ca="1">Table1[[#This Row],[Profit]]/Table1[[#This Row],[Sales]]</f>
        <v>0.25</v>
      </c>
      <c r="K1866" t="str">
        <f ca="1">TEXT(Table1[[#This Row],[Order_Date]],"mmm")</f>
        <v>Aug</v>
      </c>
      <c r="L1866">
        <f ca="1">YEAR(Table1[[#This Row],[Order_Date]])</f>
        <v>2023</v>
      </c>
    </row>
    <row r="1867" spans="1:12" x14ac:dyDescent="0.3">
      <c r="A1867">
        <f t="shared" si="116"/>
        <v>1866</v>
      </c>
      <c r="B1867" s="1">
        <f t="shared" ca="1" si="117"/>
        <v>44933</v>
      </c>
      <c r="C1867" t="s">
        <v>8</v>
      </c>
      <c r="D1867" t="str">
        <f t="shared" ca="1" si="118"/>
        <v>Furniture</v>
      </c>
      <c r="E1867" t="s">
        <v>73</v>
      </c>
      <c r="F1867" s="11">
        <v>1234</v>
      </c>
      <c r="G1867">
        <f t="shared" ca="1" si="119"/>
        <v>6</v>
      </c>
      <c r="H1867" s="11">
        <f ca="1">IF(Table1[[#This Row],[Category]]="Electronics",Table1[[#This Row],[Sales]]*0.6,
IF(Table1[[#This Row],[Category]]="Furniture",Table1[[#This Row],[Sales]]*0.75,
IF(Table1[[#This Row],[Category]]="Clothing",Table1[[#This Row],[Sales]]*0.65,
Table1[[#This Row],[Sales]]*0.7)))</f>
        <v>925.5</v>
      </c>
      <c r="I1867" s="11">
        <f ca="1">Table1[[#This Row],[Sales]]-H1867</f>
        <v>308.5</v>
      </c>
      <c r="J1867" s="2">
        <f ca="1">Table1[[#This Row],[Profit]]/Table1[[#This Row],[Sales]]</f>
        <v>0.25</v>
      </c>
      <c r="K1867" t="str">
        <f ca="1">TEXT(Table1[[#This Row],[Order_Date]],"mmm")</f>
        <v>Jan</v>
      </c>
      <c r="L1867">
        <f ca="1">YEAR(Table1[[#This Row],[Order_Date]])</f>
        <v>2023</v>
      </c>
    </row>
    <row r="1868" spans="1:12" x14ac:dyDescent="0.3">
      <c r="A1868">
        <f t="shared" si="116"/>
        <v>1867</v>
      </c>
      <c r="B1868" s="1">
        <f t="shared" ca="1" si="117"/>
        <v>45200</v>
      </c>
      <c r="C1868" t="s">
        <v>9</v>
      </c>
      <c r="D1868" t="str">
        <f t="shared" ca="1" si="118"/>
        <v>Furniture</v>
      </c>
      <c r="E1868" t="s">
        <v>59</v>
      </c>
      <c r="F1868" s="11">
        <v>16020</v>
      </c>
      <c r="G1868">
        <f t="shared" ca="1" si="119"/>
        <v>7</v>
      </c>
      <c r="H1868" s="11">
        <f ca="1">IF(Table1[[#This Row],[Category]]="Electronics",Table1[[#This Row],[Sales]]*0.6,
IF(Table1[[#This Row],[Category]]="Furniture",Table1[[#This Row],[Sales]]*0.75,
IF(Table1[[#This Row],[Category]]="Clothing",Table1[[#This Row],[Sales]]*0.65,
Table1[[#This Row],[Sales]]*0.7)))</f>
        <v>12015</v>
      </c>
      <c r="I1868" s="11">
        <f ca="1">Table1[[#This Row],[Sales]]-H1868</f>
        <v>4005</v>
      </c>
      <c r="J1868" s="2">
        <f ca="1">Table1[[#This Row],[Profit]]/Table1[[#This Row],[Sales]]</f>
        <v>0.25</v>
      </c>
      <c r="K1868" t="str">
        <f ca="1">TEXT(Table1[[#This Row],[Order_Date]],"mmm")</f>
        <v>Oct</v>
      </c>
      <c r="L1868">
        <f ca="1">YEAR(Table1[[#This Row],[Order_Date]])</f>
        <v>2023</v>
      </c>
    </row>
    <row r="1869" spans="1:12" x14ac:dyDescent="0.3">
      <c r="A1869">
        <f t="shared" si="116"/>
        <v>1868</v>
      </c>
      <c r="B1869" s="1">
        <f t="shared" ca="1" si="117"/>
        <v>44958</v>
      </c>
      <c r="C1869" t="s">
        <v>10</v>
      </c>
      <c r="D1869" t="str">
        <f t="shared" ca="1" si="118"/>
        <v>Furniture</v>
      </c>
      <c r="E1869" t="s">
        <v>76</v>
      </c>
      <c r="F1869" s="11">
        <v>13774</v>
      </c>
      <c r="G1869">
        <f t="shared" ca="1" si="119"/>
        <v>8</v>
      </c>
      <c r="H1869" s="11">
        <f ca="1">IF(Table1[[#This Row],[Category]]="Electronics",Table1[[#This Row],[Sales]]*0.6,
IF(Table1[[#This Row],[Category]]="Furniture",Table1[[#This Row],[Sales]]*0.75,
IF(Table1[[#This Row],[Category]]="Clothing",Table1[[#This Row],[Sales]]*0.65,
Table1[[#This Row],[Sales]]*0.7)))</f>
        <v>10330.5</v>
      </c>
      <c r="I1869" s="11">
        <f ca="1">Table1[[#This Row],[Sales]]-H1869</f>
        <v>3443.5</v>
      </c>
      <c r="J1869" s="2">
        <f ca="1">Table1[[#This Row],[Profit]]/Table1[[#This Row],[Sales]]</f>
        <v>0.25</v>
      </c>
      <c r="K1869" t="str">
        <f ca="1">TEXT(Table1[[#This Row],[Order_Date]],"mmm")</f>
        <v>Feb</v>
      </c>
      <c r="L1869">
        <f ca="1">YEAR(Table1[[#This Row],[Order_Date]])</f>
        <v>2023</v>
      </c>
    </row>
    <row r="1870" spans="1:12" x14ac:dyDescent="0.3">
      <c r="A1870">
        <f t="shared" si="116"/>
        <v>1869</v>
      </c>
      <c r="B1870" s="1">
        <f t="shared" ca="1" si="117"/>
        <v>45103</v>
      </c>
      <c r="C1870" t="s">
        <v>7</v>
      </c>
      <c r="D1870" t="str">
        <f t="shared" ca="1" si="118"/>
        <v>Office Supplies</v>
      </c>
      <c r="E1870" t="s">
        <v>58</v>
      </c>
      <c r="F1870" s="11">
        <v>12324</v>
      </c>
      <c r="G1870">
        <f t="shared" ca="1" si="119"/>
        <v>5</v>
      </c>
      <c r="H1870" s="11">
        <f ca="1">IF(Table1[[#This Row],[Category]]="Electronics",Table1[[#This Row],[Sales]]*0.6,
IF(Table1[[#This Row],[Category]]="Furniture",Table1[[#This Row],[Sales]]*0.75,
IF(Table1[[#This Row],[Category]]="Clothing",Table1[[#This Row],[Sales]]*0.65,
Table1[[#This Row],[Sales]]*0.7)))</f>
        <v>8626.7999999999993</v>
      </c>
      <c r="I1870" s="11">
        <f ca="1">Table1[[#This Row],[Sales]]-H1870</f>
        <v>3697.2000000000007</v>
      </c>
      <c r="J1870" s="2">
        <f ca="1">Table1[[#This Row],[Profit]]/Table1[[#This Row],[Sales]]</f>
        <v>0.30000000000000004</v>
      </c>
      <c r="K1870" t="str">
        <f ca="1">TEXT(Table1[[#This Row],[Order_Date]],"mmm")</f>
        <v>Jun</v>
      </c>
      <c r="L1870">
        <f ca="1">YEAR(Table1[[#This Row],[Order_Date]])</f>
        <v>2023</v>
      </c>
    </row>
    <row r="1871" spans="1:12" x14ac:dyDescent="0.3">
      <c r="A1871">
        <f t="shared" si="116"/>
        <v>1870</v>
      </c>
      <c r="B1871" s="1">
        <f t="shared" ca="1" si="117"/>
        <v>45207</v>
      </c>
      <c r="C1871" t="s">
        <v>8</v>
      </c>
      <c r="D1871" t="str">
        <f t="shared" ca="1" si="118"/>
        <v>Electronics</v>
      </c>
      <c r="E1871" t="s">
        <v>83</v>
      </c>
      <c r="F1871" s="11">
        <v>10608</v>
      </c>
      <c r="G1871">
        <f t="shared" ca="1" si="119"/>
        <v>3</v>
      </c>
      <c r="H1871" s="11">
        <f ca="1">IF(Table1[[#This Row],[Category]]="Electronics",Table1[[#This Row],[Sales]]*0.6,
IF(Table1[[#This Row],[Category]]="Furniture",Table1[[#This Row],[Sales]]*0.75,
IF(Table1[[#This Row],[Category]]="Clothing",Table1[[#This Row],[Sales]]*0.65,
Table1[[#This Row],[Sales]]*0.7)))</f>
        <v>6364.8</v>
      </c>
      <c r="I1871" s="11">
        <f ca="1">Table1[[#This Row],[Sales]]-H1871</f>
        <v>4243.2</v>
      </c>
      <c r="J1871" s="2">
        <f ca="1">Table1[[#This Row],[Profit]]/Table1[[#This Row],[Sales]]</f>
        <v>0.39999999999999997</v>
      </c>
      <c r="K1871" t="str">
        <f ca="1">TEXT(Table1[[#This Row],[Order_Date]],"mmm")</f>
        <v>Oct</v>
      </c>
      <c r="L1871">
        <f ca="1">YEAR(Table1[[#This Row],[Order_Date]])</f>
        <v>2023</v>
      </c>
    </row>
    <row r="1872" spans="1:12" x14ac:dyDescent="0.3">
      <c r="A1872">
        <f t="shared" si="116"/>
        <v>1871</v>
      </c>
      <c r="B1872" s="1">
        <f t="shared" ca="1" si="117"/>
        <v>44967</v>
      </c>
      <c r="C1872" t="s">
        <v>9</v>
      </c>
      <c r="D1872" t="str">
        <f t="shared" ca="1" si="118"/>
        <v>Office Supplies</v>
      </c>
      <c r="E1872" t="s">
        <v>41</v>
      </c>
      <c r="F1872" s="11">
        <v>12468</v>
      </c>
      <c r="G1872">
        <f t="shared" ca="1" si="119"/>
        <v>6</v>
      </c>
      <c r="H1872" s="11">
        <f ca="1">IF(Table1[[#This Row],[Category]]="Electronics",Table1[[#This Row],[Sales]]*0.6,
IF(Table1[[#This Row],[Category]]="Furniture",Table1[[#This Row],[Sales]]*0.75,
IF(Table1[[#This Row],[Category]]="Clothing",Table1[[#This Row],[Sales]]*0.65,
Table1[[#This Row],[Sales]]*0.7)))</f>
        <v>8727.5999999999985</v>
      </c>
      <c r="I1872" s="11">
        <f ca="1">Table1[[#This Row],[Sales]]-H1872</f>
        <v>3740.4000000000015</v>
      </c>
      <c r="J1872" s="2">
        <f ca="1">Table1[[#This Row],[Profit]]/Table1[[#This Row],[Sales]]</f>
        <v>0.3000000000000001</v>
      </c>
      <c r="K1872" t="str">
        <f ca="1">TEXT(Table1[[#This Row],[Order_Date]],"mmm")</f>
        <v>Feb</v>
      </c>
      <c r="L1872">
        <f ca="1">YEAR(Table1[[#This Row],[Order_Date]])</f>
        <v>2023</v>
      </c>
    </row>
    <row r="1873" spans="1:12" x14ac:dyDescent="0.3">
      <c r="A1873">
        <f t="shared" si="116"/>
        <v>1872</v>
      </c>
      <c r="B1873" s="1">
        <f t="shared" ca="1" si="117"/>
        <v>45080</v>
      </c>
      <c r="C1873" t="s">
        <v>10</v>
      </c>
      <c r="D1873" t="str">
        <f t="shared" ca="1" si="118"/>
        <v>Furniture</v>
      </c>
      <c r="E1873" t="s">
        <v>55</v>
      </c>
      <c r="F1873" s="11">
        <v>15992</v>
      </c>
      <c r="G1873">
        <f t="shared" ca="1" si="119"/>
        <v>9</v>
      </c>
      <c r="H1873" s="11">
        <f ca="1">IF(Table1[[#This Row],[Category]]="Electronics",Table1[[#This Row],[Sales]]*0.6,
IF(Table1[[#This Row],[Category]]="Furniture",Table1[[#This Row],[Sales]]*0.75,
IF(Table1[[#This Row],[Category]]="Clothing",Table1[[#This Row],[Sales]]*0.65,
Table1[[#This Row],[Sales]]*0.7)))</f>
        <v>11994</v>
      </c>
      <c r="I1873" s="11">
        <f ca="1">Table1[[#This Row],[Sales]]-H1873</f>
        <v>3998</v>
      </c>
      <c r="J1873" s="2">
        <f ca="1">Table1[[#This Row],[Profit]]/Table1[[#This Row],[Sales]]</f>
        <v>0.25</v>
      </c>
      <c r="K1873" t="str">
        <f ca="1">TEXT(Table1[[#This Row],[Order_Date]],"mmm")</f>
        <v>Jun</v>
      </c>
      <c r="L1873">
        <f ca="1">YEAR(Table1[[#This Row],[Order_Date]])</f>
        <v>2023</v>
      </c>
    </row>
    <row r="1874" spans="1:12" x14ac:dyDescent="0.3">
      <c r="A1874">
        <f t="shared" si="116"/>
        <v>1873</v>
      </c>
      <c r="B1874" s="1">
        <f t="shared" ca="1" si="117"/>
        <v>44931</v>
      </c>
      <c r="C1874" t="s">
        <v>7</v>
      </c>
      <c r="D1874" t="str">
        <f t="shared" ca="1" si="118"/>
        <v>Office Supplies</v>
      </c>
      <c r="E1874" t="s">
        <v>71</v>
      </c>
      <c r="F1874" s="11">
        <v>16944</v>
      </c>
      <c r="G1874">
        <f t="shared" ca="1" si="119"/>
        <v>10</v>
      </c>
      <c r="H1874" s="11">
        <f ca="1">IF(Table1[[#This Row],[Category]]="Electronics",Table1[[#This Row],[Sales]]*0.6,
IF(Table1[[#This Row],[Category]]="Furniture",Table1[[#This Row],[Sales]]*0.75,
IF(Table1[[#This Row],[Category]]="Clothing",Table1[[#This Row],[Sales]]*0.65,
Table1[[#This Row],[Sales]]*0.7)))</f>
        <v>11860.8</v>
      </c>
      <c r="I1874" s="11">
        <f ca="1">Table1[[#This Row],[Sales]]-H1874</f>
        <v>5083.2000000000007</v>
      </c>
      <c r="J1874" s="2">
        <f ca="1">Table1[[#This Row],[Profit]]/Table1[[#This Row],[Sales]]</f>
        <v>0.30000000000000004</v>
      </c>
      <c r="K1874" t="str">
        <f ca="1">TEXT(Table1[[#This Row],[Order_Date]],"mmm")</f>
        <v>Jan</v>
      </c>
      <c r="L1874">
        <f ca="1">YEAR(Table1[[#This Row],[Order_Date]])</f>
        <v>2023</v>
      </c>
    </row>
    <row r="1875" spans="1:12" x14ac:dyDescent="0.3">
      <c r="A1875">
        <f t="shared" si="116"/>
        <v>1874</v>
      </c>
      <c r="B1875" s="1">
        <f t="shared" ca="1" si="117"/>
        <v>45119</v>
      </c>
      <c r="C1875" t="s">
        <v>8</v>
      </c>
      <c r="D1875" t="str">
        <f t="shared" ca="1" si="118"/>
        <v>Electronics</v>
      </c>
      <c r="E1875" t="s">
        <v>70</v>
      </c>
      <c r="F1875" s="11">
        <v>15579</v>
      </c>
      <c r="G1875">
        <f t="shared" ca="1" si="119"/>
        <v>9</v>
      </c>
      <c r="H1875" s="11">
        <f ca="1">IF(Table1[[#This Row],[Category]]="Electronics",Table1[[#This Row],[Sales]]*0.6,
IF(Table1[[#This Row],[Category]]="Furniture",Table1[[#This Row],[Sales]]*0.75,
IF(Table1[[#This Row],[Category]]="Clothing",Table1[[#This Row],[Sales]]*0.65,
Table1[[#This Row],[Sales]]*0.7)))</f>
        <v>9347.4</v>
      </c>
      <c r="I1875" s="11">
        <f ca="1">Table1[[#This Row],[Sales]]-H1875</f>
        <v>6231.6</v>
      </c>
      <c r="J1875" s="2">
        <f ca="1">Table1[[#This Row],[Profit]]/Table1[[#This Row],[Sales]]</f>
        <v>0.4</v>
      </c>
      <c r="K1875" t="str">
        <f ca="1">TEXT(Table1[[#This Row],[Order_Date]],"mmm")</f>
        <v>Jul</v>
      </c>
      <c r="L1875">
        <f ca="1">YEAR(Table1[[#This Row],[Order_Date]])</f>
        <v>2023</v>
      </c>
    </row>
    <row r="1876" spans="1:12" x14ac:dyDescent="0.3">
      <c r="A1876">
        <f t="shared" si="116"/>
        <v>1875</v>
      </c>
      <c r="B1876" s="1">
        <f t="shared" ca="1" si="117"/>
        <v>45071</v>
      </c>
      <c r="C1876" t="s">
        <v>9</v>
      </c>
      <c r="D1876" t="str">
        <f t="shared" ca="1" si="118"/>
        <v>Electronics</v>
      </c>
      <c r="E1876" t="s">
        <v>41</v>
      </c>
      <c r="F1876" s="11">
        <v>17180</v>
      </c>
      <c r="G1876">
        <f t="shared" ca="1" si="119"/>
        <v>7</v>
      </c>
      <c r="H1876" s="11">
        <f ca="1">IF(Table1[[#This Row],[Category]]="Electronics",Table1[[#This Row],[Sales]]*0.6,
IF(Table1[[#This Row],[Category]]="Furniture",Table1[[#This Row],[Sales]]*0.75,
IF(Table1[[#This Row],[Category]]="Clothing",Table1[[#This Row],[Sales]]*0.65,
Table1[[#This Row],[Sales]]*0.7)))</f>
        <v>10308</v>
      </c>
      <c r="I1876" s="11">
        <f ca="1">Table1[[#This Row],[Sales]]-H1876</f>
        <v>6872</v>
      </c>
      <c r="J1876" s="2">
        <f ca="1">Table1[[#This Row],[Profit]]/Table1[[#This Row],[Sales]]</f>
        <v>0.4</v>
      </c>
      <c r="K1876" t="str">
        <f ca="1">TEXT(Table1[[#This Row],[Order_Date]],"mmm")</f>
        <v>May</v>
      </c>
      <c r="L1876">
        <f ca="1">YEAR(Table1[[#This Row],[Order_Date]])</f>
        <v>2023</v>
      </c>
    </row>
    <row r="1877" spans="1:12" x14ac:dyDescent="0.3">
      <c r="A1877">
        <f t="shared" si="116"/>
        <v>1876</v>
      </c>
      <c r="B1877" s="1">
        <f t="shared" ca="1" si="117"/>
        <v>45216</v>
      </c>
      <c r="C1877" t="s">
        <v>10</v>
      </c>
      <c r="D1877" t="str">
        <f t="shared" ca="1" si="118"/>
        <v>Electronics</v>
      </c>
      <c r="E1877" t="s">
        <v>42</v>
      </c>
      <c r="F1877" s="11">
        <v>3097</v>
      </c>
      <c r="G1877">
        <f t="shared" ca="1" si="119"/>
        <v>6</v>
      </c>
      <c r="H1877" s="11">
        <f ca="1">IF(Table1[[#This Row],[Category]]="Electronics",Table1[[#This Row],[Sales]]*0.6,
IF(Table1[[#This Row],[Category]]="Furniture",Table1[[#This Row],[Sales]]*0.75,
IF(Table1[[#This Row],[Category]]="Clothing",Table1[[#This Row],[Sales]]*0.65,
Table1[[#This Row],[Sales]]*0.7)))</f>
        <v>1858.1999999999998</v>
      </c>
      <c r="I1877" s="11">
        <f ca="1">Table1[[#This Row],[Sales]]-H1877</f>
        <v>1238.8000000000002</v>
      </c>
      <c r="J1877" s="2">
        <f ca="1">Table1[[#This Row],[Profit]]/Table1[[#This Row],[Sales]]</f>
        <v>0.40000000000000008</v>
      </c>
      <c r="K1877" t="str">
        <f ca="1">TEXT(Table1[[#This Row],[Order_Date]],"mmm")</f>
        <v>Oct</v>
      </c>
      <c r="L1877">
        <f ca="1">YEAR(Table1[[#This Row],[Order_Date]])</f>
        <v>2023</v>
      </c>
    </row>
    <row r="1878" spans="1:12" x14ac:dyDescent="0.3">
      <c r="A1878">
        <f t="shared" si="116"/>
        <v>1877</v>
      </c>
      <c r="B1878" s="1">
        <f t="shared" ca="1" si="117"/>
        <v>45254</v>
      </c>
      <c r="C1878" t="s">
        <v>7</v>
      </c>
      <c r="D1878" t="str">
        <f t="shared" ca="1" si="118"/>
        <v>Clothing</v>
      </c>
      <c r="E1878" t="s">
        <v>69</v>
      </c>
      <c r="F1878" s="11">
        <v>4422</v>
      </c>
      <c r="G1878">
        <f t="shared" ca="1" si="119"/>
        <v>10</v>
      </c>
      <c r="H1878" s="11">
        <f ca="1">IF(Table1[[#This Row],[Category]]="Electronics",Table1[[#This Row],[Sales]]*0.6,
IF(Table1[[#This Row],[Category]]="Furniture",Table1[[#This Row],[Sales]]*0.75,
IF(Table1[[#This Row],[Category]]="Clothing",Table1[[#This Row],[Sales]]*0.65,
Table1[[#This Row],[Sales]]*0.7)))</f>
        <v>2874.3</v>
      </c>
      <c r="I1878" s="11">
        <f ca="1">Table1[[#This Row],[Sales]]-H1878</f>
        <v>1547.6999999999998</v>
      </c>
      <c r="J1878" s="2">
        <f ca="1">Table1[[#This Row],[Profit]]/Table1[[#This Row],[Sales]]</f>
        <v>0.35</v>
      </c>
      <c r="K1878" t="str">
        <f ca="1">TEXT(Table1[[#This Row],[Order_Date]],"mmm")</f>
        <v>Nov</v>
      </c>
      <c r="L1878">
        <f ca="1">YEAR(Table1[[#This Row],[Order_Date]])</f>
        <v>2023</v>
      </c>
    </row>
    <row r="1879" spans="1:12" x14ac:dyDescent="0.3">
      <c r="A1879">
        <f t="shared" si="116"/>
        <v>1878</v>
      </c>
      <c r="B1879" s="1">
        <f t="shared" ca="1" si="117"/>
        <v>45004</v>
      </c>
      <c r="C1879" t="s">
        <v>8</v>
      </c>
      <c r="D1879" t="str">
        <f t="shared" ca="1" si="118"/>
        <v>Furniture</v>
      </c>
      <c r="E1879" t="s">
        <v>67</v>
      </c>
      <c r="F1879" s="11">
        <v>12505</v>
      </c>
      <c r="G1879">
        <f t="shared" ca="1" si="119"/>
        <v>3</v>
      </c>
      <c r="H1879" s="11">
        <f ca="1">IF(Table1[[#This Row],[Category]]="Electronics",Table1[[#This Row],[Sales]]*0.6,
IF(Table1[[#This Row],[Category]]="Furniture",Table1[[#This Row],[Sales]]*0.75,
IF(Table1[[#This Row],[Category]]="Clothing",Table1[[#This Row],[Sales]]*0.65,
Table1[[#This Row],[Sales]]*0.7)))</f>
        <v>9378.75</v>
      </c>
      <c r="I1879" s="11">
        <f ca="1">Table1[[#This Row],[Sales]]-H1879</f>
        <v>3126.25</v>
      </c>
      <c r="J1879" s="2">
        <f ca="1">Table1[[#This Row],[Profit]]/Table1[[#This Row],[Sales]]</f>
        <v>0.25</v>
      </c>
      <c r="K1879" t="str">
        <f ca="1">TEXT(Table1[[#This Row],[Order_Date]],"mmm")</f>
        <v>Mar</v>
      </c>
      <c r="L1879">
        <f ca="1">YEAR(Table1[[#This Row],[Order_Date]])</f>
        <v>2023</v>
      </c>
    </row>
    <row r="1880" spans="1:12" x14ac:dyDescent="0.3">
      <c r="A1880">
        <f t="shared" si="116"/>
        <v>1879</v>
      </c>
      <c r="B1880" s="1">
        <f t="shared" ca="1" si="117"/>
        <v>45175</v>
      </c>
      <c r="C1880" t="s">
        <v>9</v>
      </c>
      <c r="D1880" t="str">
        <f t="shared" ca="1" si="118"/>
        <v>Furniture</v>
      </c>
      <c r="E1880" t="s">
        <v>49</v>
      </c>
      <c r="F1880" s="11">
        <v>7678</v>
      </c>
      <c r="G1880">
        <f t="shared" ca="1" si="119"/>
        <v>7</v>
      </c>
      <c r="H1880" s="11">
        <f ca="1">IF(Table1[[#This Row],[Category]]="Electronics",Table1[[#This Row],[Sales]]*0.6,
IF(Table1[[#This Row],[Category]]="Furniture",Table1[[#This Row],[Sales]]*0.75,
IF(Table1[[#This Row],[Category]]="Clothing",Table1[[#This Row],[Sales]]*0.65,
Table1[[#This Row],[Sales]]*0.7)))</f>
        <v>5758.5</v>
      </c>
      <c r="I1880" s="11">
        <f ca="1">Table1[[#This Row],[Sales]]-H1880</f>
        <v>1919.5</v>
      </c>
      <c r="J1880" s="2">
        <f ca="1">Table1[[#This Row],[Profit]]/Table1[[#This Row],[Sales]]</f>
        <v>0.25</v>
      </c>
      <c r="K1880" t="str">
        <f ca="1">TEXT(Table1[[#This Row],[Order_Date]],"mmm")</f>
        <v>Sep</v>
      </c>
      <c r="L1880">
        <f ca="1">YEAR(Table1[[#This Row],[Order_Date]])</f>
        <v>2023</v>
      </c>
    </row>
    <row r="1881" spans="1:12" x14ac:dyDescent="0.3">
      <c r="A1881">
        <f t="shared" si="116"/>
        <v>1880</v>
      </c>
      <c r="B1881" s="1">
        <f t="shared" ca="1" si="117"/>
        <v>45000</v>
      </c>
      <c r="C1881" t="s">
        <v>10</v>
      </c>
      <c r="D1881" t="str">
        <f t="shared" ca="1" si="118"/>
        <v>Clothing</v>
      </c>
      <c r="E1881" t="s">
        <v>78</v>
      </c>
      <c r="F1881" s="11">
        <v>12841</v>
      </c>
      <c r="G1881">
        <f t="shared" ca="1" si="119"/>
        <v>10</v>
      </c>
      <c r="H1881" s="11">
        <f ca="1">IF(Table1[[#This Row],[Category]]="Electronics",Table1[[#This Row],[Sales]]*0.6,
IF(Table1[[#This Row],[Category]]="Furniture",Table1[[#This Row],[Sales]]*0.75,
IF(Table1[[#This Row],[Category]]="Clothing",Table1[[#This Row],[Sales]]*0.65,
Table1[[#This Row],[Sales]]*0.7)))</f>
        <v>8346.65</v>
      </c>
      <c r="I1881" s="11">
        <f ca="1">Table1[[#This Row],[Sales]]-H1881</f>
        <v>4494.3500000000004</v>
      </c>
      <c r="J1881" s="2">
        <f ca="1">Table1[[#This Row],[Profit]]/Table1[[#This Row],[Sales]]</f>
        <v>0.35000000000000003</v>
      </c>
      <c r="K1881" t="str">
        <f ca="1">TEXT(Table1[[#This Row],[Order_Date]],"mmm")</f>
        <v>Mar</v>
      </c>
      <c r="L1881">
        <f ca="1">YEAR(Table1[[#This Row],[Order_Date]])</f>
        <v>2023</v>
      </c>
    </row>
    <row r="1882" spans="1:12" x14ac:dyDescent="0.3">
      <c r="A1882">
        <f t="shared" si="116"/>
        <v>1881</v>
      </c>
      <c r="B1882" s="1">
        <f t="shared" ca="1" si="117"/>
        <v>45127</v>
      </c>
      <c r="C1882" t="s">
        <v>7</v>
      </c>
      <c r="D1882" t="str">
        <f t="shared" ca="1" si="118"/>
        <v>Office Supplies</v>
      </c>
      <c r="E1882" t="s">
        <v>80</v>
      </c>
      <c r="F1882" s="11">
        <v>570</v>
      </c>
      <c r="G1882">
        <f t="shared" ca="1" si="119"/>
        <v>8</v>
      </c>
      <c r="H1882" s="11">
        <f ca="1">IF(Table1[[#This Row],[Category]]="Electronics",Table1[[#This Row],[Sales]]*0.6,
IF(Table1[[#This Row],[Category]]="Furniture",Table1[[#This Row],[Sales]]*0.75,
IF(Table1[[#This Row],[Category]]="Clothing",Table1[[#This Row],[Sales]]*0.65,
Table1[[#This Row],[Sales]]*0.7)))</f>
        <v>399</v>
      </c>
      <c r="I1882" s="11">
        <f ca="1">Table1[[#This Row],[Sales]]-H1882</f>
        <v>171</v>
      </c>
      <c r="J1882" s="2">
        <f ca="1">Table1[[#This Row],[Profit]]/Table1[[#This Row],[Sales]]</f>
        <v>0.3</v>
      </c>
      <c r="K1882" t="str">
        <f ca="1">TEXT(Table1[[#This Row],[Order_Date]],"mmm")</f>
        <v>Jul</v>
      </c>
      <c r="L1882">
        <f ca="1">YEAR(Table1[[#This Row],[Order_Date]])</f>
        <v>2023</v>
      </c>
    </row>
    <row r="1883" spans="1:12" x14ac:dyDescent="0.3">
      <c r="A1883">
        <f t="shared" si="116"/>
        <v>1882</v>
      </c>
      <c r="B1883" s="1">
        <f t="shared" ca="1" si="117"/>
        <v>44978</v>
      </c>
      <c r="C1883" t="s">
        <v>8</v>
      </c>
      <c r="D1883" t="str">
        <f t="shared" ca="1" si="118"/>
        <v>Furniture</v>
      </c>
      <c r="E1883" t="s">
        <v>73</v>
      </c>
      <c r="F1883" s="11">
        <v>18181</v>
      </c>
      <c r="G1883">
        <f t="shared" ca="1" si="119"/>
        <v>6</v>
      </c>
      <c r="H1883" s="11">
        <f ca="1">IF(Table1[[#This Row],[Category]]="Electronics",Table1[[#This Row],[Sales]]*0.6,
IF(Table1[[#This Row],[Category]]="Furniture",Table1[[#This Row],[Sales]]*0.75,
IF(Table1[[#This Row],[Category]]="Clothing",Table1[[#This Row],[Sales]]*0.65,
Table1[[#This Row],[Sales]]*0.7)))</f>
        <v>13635.75</v>
      </c>
      <c r="I1883" s="11">
        <f ca="1">Table1[[#This Row],[Sales]]-H1883</f>
        <v>4545.25</v>
      </c>
      <c r="J1883" s="2">
        <f ca="1">Table1[[#This Row],[Profit]]/Table1[[#This Row],[Sales]]</f>
        <v>0.25</v>
      </c>
      <c r="K1883" t="str">
        <f ca="1">TEXT(Table1[[#This Row],[Order_Date]],"mmm")</f>
        <v>Feb</v>
      </c>
      <c r="L1883">
        <f ca="1">YEAR(Table1[[#This Row],[Order_Date]])</f>
        <v>2023</v>
      </c>
    </row>
    <row r="1884" spans="1:12" x14ac:dyDescent="0.3">
      <c r="A1884">
        <f t="shared" si="116"/>
        <v>1883</v>
      </c>
      <c r="B1884" s="1">
        <f t="shared" ca="1" si="117"/>
        <v>45174</v>
      </c>
      <c r="C1884" t="s">
        <v>9</v>
      </c>
      <c r="D1884" t="str">
        <f t="shared" ca="1" si="118"/>
        <v>Clothing</v>
      </c>
      <c r="E1884" t="s">
        <v>82</v>
      </c>
      <c r="F1884" s="11">
        <v>16608</v>
      </c>
      <c r="G1884">
        <f t="shared" ca="1" si="119"/>
        <v>10</v>
      </c>
      <c r="H1884" s="11">
        <f ca="1">IF(Table1[[#This Row],[Category]]="Electronics",Table1[[#This Row],[Sales]]*0.6,
IF(Table1[[#This Row],[Category]]="Furniture",Table1[[#This Row],[Sales]]*0.75,
IF(Table1[[#This Row],[Category]]="Clothing",Table1[[#This Row],[Sales]]*0.65,
Table1[[#This Row],[Sales]]*0.7)))</f>
        <v>10795.2</v>
      </c>
      <c r="I1884" s="11">
        <f ca="1">Table1[[#This Row],[Sales]]-H1884</f>
        <v>5812.7999999999993</v>
      </c>
      <c r="J1884" s="2">
        <f ca="1">Table1[[#This Row],[Profit]]/Table1[[#This Row],[Sales]]</f>
        <v>0.35</v>
      </c>
      <c r="K1884" t="str">
        <f ca="1">TEXT(Table1[[#This Row],[Order_Date]],"mmm")</f>
        <v>Sep</v>
      </c>
      <c r="L1884">
        <f ca="1">YEAR(Table1[[#This Row],[Order_Date]])</f>
        <v>2023</v>
      </c>
    </row>
    <row r="1885" spans="1:12" x14ac:dyDescent="0.3">
      <c r="A1885">
        <f t="shared" si="116"/>
        <v>1884</v>
      </c>
      <c r="B1885" s="1">
        <f t="shared" ca="1" si="117"/>
        <v>45081</v>
      </c>
      <c r="C1885" t="s">
        <v>10</v>
      </c>
      <c r="D1885" t="str">
        <f t="shared" ca="1" si="118"/>
        <v>Clothing</v>
      </c>
      <c r="E1885" t="s">
        <v>63</v>
      </c>
      <c r="F1885" s="11">
        <v>19772</v>
      </c>
      <c r="G1885">
        <f t="shared" ca="1" si="119"/>
        <v>7</v>
      </c>
      <c r="H1885" s="11">
        <f ca="1">IF(Table1[[#This Row],[Category]]="Electronics",Table1[[#This Row],[Sales]]*0.6,
IF(Table1[[#This Row],[Category]]="Furniture",Table1[[#This Row],[Sales]]*0.75,
IF(Table1[[#This Row],[Category]]="Clothing",Table1[[#This Row],[Sales]]*0.65,
Table1[[#This Row],[Sales]]*0.7)))</f>
        <v>12851.800000000001</v>
      </c>
      <c r="I1885" s="11">
        <f ca="1">Table1[[#This Row],[Sales]]-H1885</f>
        <v>6920.1999999999989</v>
      </c>
      <c r="J1885" s="2">
        <f ca="1">Table1[[#This Row],[Profit]]/Table1[[#This Row],[Sales]]</f>
        <v>0.34999999999999992</v>
      </c>
      <c r="K1885" t="str">
        <f ca="1">TEXT(Table1[[#This Row],[Order_Date]],"mmm")</f>
        <v>Jun</v>
      </c>
      <c r="L1885">
        <f ca="1">YEAR(Table1[[#This Row],[Order_Date]])</f>
        <v>2023</v>
      </c>
    </row>
    <row r="1886" spans="1:12" x14ac:dyDescent="0.3">
      <c r="A1886">
        <f t="shared" si="116"/>
        <v>1885</v>
      </c>
      <c r="B1886" s="1">
        <f t="shared" ca="1" si="117"/>
        <v>45099</v>
      </c>
      <c r="C1886" t="s">
        <v>7</v>
      </c>
      <c r="D1886" t="str">
        <f t="shared" ca="1" si="118"/>
        <v>Clothing</v>
      </c>
      <c r="E1886" t="s">
        <v>46</v>
      </c>
      <c r="F1886" s="11">
        <v>9489</v>
      </c>
      <c r="G1886">
        <f t="shared" ca="1" si="119"/>
        <v>5</v>
      </c>
      <c r="H1886" s="11">
        <f ca="1">IF(Table1[[#This Row],[Category]]="Electronics",Table1[[#This Row],[Sales]]*0.6,
IF(Table1[[#This Row],[Category]]="Furniture",Table1[[#This Row],[Sales]]*0.75,
IF(Table1[[#This Row],[Category]]="Clothing",Table1[[#This Row],[Sales]]*0.65,
Table1[[#This Row],[Sales]]*0.7)))</f>
        <v>6167.85</v>
      </c>
      <c r="I1886" s="11">
        <f ca="1">Table1[[#This Row],[Sales]]-H1886</f>
        <v>3321.1499999999996</v>
      </c>
      <c r="J1886" s="2">
        <f ca="1">Table1[[#This Row],[Profit]]/Table1[[#This Row],[Sales]]</f>
        <v>0.35</v>
      </c>
      <c r="K1886" t="str">
        <f ca="1">TEXT(Table1[[#This Row],[Order_Date]],"mmm")</f>
        <v>Jun</v>
      </c>
      <c r="L1886">
        <f ca="1">YEAR(Table1[[#This Row],[Order_Date]])</f>
        <v>2023</v>
      </c>
    </row>
    <row r="1887" spans="1:12" x14ac:dyDescent="0.3">
      <c r="A1887">
        <f t="shared" si="116"/>
        <v>1886</v>
      </c>
      <c r="B1887" s="1">
        <f t="shared" ca="1" si="117"/>
        <v>45239</v>
      </c>
      <c r="C1887" t="s">
        <v>8</v>
      </c>
      <c r="D1887" t="str">
        <f t="shared" ca="1" si="118"/>
        <v>Office Supplies</v>
      </c>
      <c r="E1887" t="s">
        <v>45</v>
      </c>
      <c r="F1887" s="11">
        <v>19577</v>
      </c>
      <c r="G1887">
        <f t="shared" ca="1" si="119"/>
        <v>7</v>
      </c>
      <c r="H1887" s="11">
        <f ca="1">IF(Table1[[#This Row],[Category]]="Electronics",Table1[[#This Row],[Sales]]*0.6,
IF(Table1[[#This Row],[Category]]="Furniture",Table1[[#This Row],[Sales]]*0.75,
IF(Table1[[#This Row],[Category]]="Clothing",Table1[[#This Row],[Sales]]*0.65,
Table1[[#This Row],[Sales]]*0.7)))</f>
        <v>13703.9</v>
      </c>
      <c r="I1887" s="11">
        <f ca="1">Table1[[#This Row],[Sales]]-H1887</f>
        <v>5873.1</v>
      </c>
      <c r="J1887" s="2">
        <f ca="1">Table1[[#This Row],[Profit]]/Table1[[#This Row],[Sales]]</f>
        <v>0.30000000000000004</v>
      </c>
      <c r="K1887" t="str">
        <f ca="1">TEXT(Table1[[#This Row],[Order_Date]],"mmm")</f>
        <v>Nov</v>
      </c>
      <c r="L1887">
        <f ca="1">YEAR(Table1[[#This Row],[Order_Date]])</f>
        <v>2023</v>
      </c>
    </row>
    <row r="1888" spans="1:12" x14ac:dyDescent="0.3">
      <c r="A1888">
        <f t="shared" si="116"/>
        <v>1887</v>
      </c>
      <c r="B1888" s="1">
        <f t="shared" ca="1" si="117"/>
        <v>45206</v>
      </c>
      <c r="C1888" t="s">
        <v>9</v>
      </c>
      <c r="D1888" t="str">
        <f t="shared" ca="1" si="118"/>
        <v>Electronics</v>
      </c>
      <c r="E1888" t="s">
        <v>68</v>
      </c>
      <c r="F1888" s="11">
        <v>1000</v>
      </c>
      <c r="G1888">
        <f t="shared" ca="1" si="119"/>
        <v>2</v>
      </c>
      <c r="H1888" s="11">
        <f ca="1">IF(Table1[[#This Row],[Category]]="Electronics",Table1[[#This Row],[Sales]]*0.6,
IF(Table1[[#This Row],[Category]]="Furniture",Table1[[#This Row],[Sales]]*0.75,
IF(Table1[[#This Row],[Category]]="Clothing",Table1[[#This Row],[Sales]]*0.65,
Table1[[#This Row],[Sales]]*0.7)))</f>
        <v>600</v>
      </c>
      <c r="I1888" s="11">
        <f ca="1">Table1[[#This Row],[Sales]]-H1888</f>
        <v>400</v>
      </c>
      <c r="J1888" s="2">
        <f ca="1">Table1[[#This Row],[Profit]]/Table1[[#This Row],[Sales]]</f>
        <v>0.4</v>
      </c>
      <c r="K1888" t="str">
        <f ca="1">TEXT(Table1[[#This Row],[Order_Date]],"mmm")</f>
        <v>Oct</v>
      </c>
      <c r="L1888">
        <f ca="1">YEAR(Table1[[#This Row],[Order_Date]])</f>
        <v>2023</v>
      </c>
    </row>
    <row r="1889" spans="1:12" x14ac:dyDescent="0.3">
      <c r="A1889">
        <f t="shared" si="116"/>
        <v>1888</v>
      </c>
      <c r="B1889" s="1">
        <f t="shared" ca="1" si="117"/>
        <v>44994</v>
      </c>
      <c r="C1889" t="s">
        <v>10</v>
      </c>
      <c r="D1889" t="str">
        <f t="shared" ca="1" si="118"/>
        <v>Office Supplies</v>
      </c>
      <c r="E1889" t="s">
        <v>45</v>
      </c>
      <c r="F1889" s="11">
        <v>17048</v>
      </c>
      <c r="G1889">
        <f t="shared" ca="1" si="119"/>
        <v>4</v>
      </c>
      <c r="H1889" s="11">
        <f ca="1">IF(Table1[[#This Row],[Category]]="Electronics",Table1[[#This Row],[Sales]]*0.6,
IF(Table1[[#This Row],[Category]]="Furniture",Table1[[#This Row],[Sales]]*0.75,
IF(Table1[[#This Row],[Category]]="Clothing",Table1[[#This Row],[Sales]]*0.65,
Table1[[#This Row],[Sales]]*0.7)))</f>
        <v>11933.599999999999</v>
      </c>
      <c r="I1889" s="11">
        <f ca="1">Table1[[#This Row],[Sales]]-H1889</f>
        <v>5114.4000000000015</v>
      </c>
      <c r="J1889" s="2">
        <f ca="1">Table1[[#This Row],[Profit]]/Table1[[#This Row],[Sales]]</f>
        <v>0.3000000000000001</v>
      </c>
      <c r="K1889" t="str">
        <f ca="1">TEXT(Table1[[#This Row],[Order_Date]],"mmm")</f>
        <v>Mar</v>
      </c>
      <c r="L1889">
        <f ca="1">YEAR(Table1[[#This Row],[Order_Date]])</f>
        <v>2023</v>
      </c>
    </row>
    <row r="1890" spans="1:12" x14ac:dyDescent="0.3">
      <c r="A1890">
        <f t="shared" si="116"/>
        <v>1889</v>
      </c>
      <c r="B1890" s="1">
        <f t="shared" ca="1" si="117"/>
        <v>45241</v>
      </c>
      <c r="C1890" t="s">
        <v>7</v>
      </c>
      <c r="D1890" t="str">
        <f t="shared" ca="1" si="118"/>
        <v>Electronics</v>
      </c>
      <c r="E1890" t="s">
        <v>52</v>
      </c>
      <c r="F1890" s="11">
        <v>5892</v>
      </c>
      <c r="G1890">
        <f t="shared" ca="1" si="119"/>
        <v>7</v>
      </c>
      <c r="H1890" s="11">
        <f ca="1">IF(Table1[[#This Row],[Category]]="Electronics",Table1[[#This Row],[Sales]]*0.6,
IF(Table1[[#This Row],[Category]]="Furniture",Table1[[#This Row],[Sales]]*0.75,
IF(Table1[[#This Row],[Category]]="Clothing",Table1[[#This Row],[Sales]]*0.65,
Table1[[#This Row],[Sales]]*0.7)))</f>
        <v>3535.2</v>
      </c>
      <c r="I1890" s="11">
        <f ca="1">Table1[[#This Row],[Sales]]-H1890</f>
        <v>2356.8000000000002</v>
      </c>
      <c r="J1890" s="2">
        <f ca="1">Table1[[#This Row],[Profit]]/Table1[[#This Row],[Sales]]</f>
        <v>0.4</v>
      </c>
      <c r="K1890" t="str">
        <f ca="1">TEXT(Table1[[#This Row],[Order_Date]],"mmm")</f>
        <v>Nov</v>
      </c>
      <c r="L1890">
        <f ca="1">YEAR(Table1[[#This Row],[Order_Date]])</f>
        <v>2023</v>
      </c>
    </row>
    <row r="1891" spans="1:12" x14ac:dyDescent="0.3">
      <c r="A1891">
        <f t="shared" si="116"/>
        <v>1890</v>
      </c>
      <c r="B1891" s="1">
        <f t="shared" ca="1" si="117"/>
        <v>45052</v>
      </c>
      <c r="C1891" t="s">
        <v>8</v>
      </c>
      <c r="D1891" t="str">
        <f t="shared" ca="1" si="118"/>
        <v>Clothing</v>
      </c>
      <c r="E1891" t="s">
        <v>37</v>
      </c>
      <c r="F1891" s="11">
        <v>759</v>
      </c>
      <c r="G1891">
        <f t="shared" ca="1" si="119"/>
        <v>8</v>
      </c>
      <c r="H1891" s="11">
        <f ca="1">IF(Table1[[#This Row],[Category]]="Electronics",Table1[[#This Row],[Sales]]*0.6,
IF(Table1[[#This Row],[Category]]="Furniture",Table1[[#This Row],[Sales]]*0.75,
IF(Table1[[#This Row],[Category]]="Clothing",Table1[[#This Row],[Sales]]*0.65,
Table1[[#This Row],[Sales]]*0.7)))</f>
        <v>493.35</v>
      </c>
      <c r="I1891" s="11">
        <f ca="1">Table1[[#This Row],[Sales]]-H1891</f>
        <v>265.64999999999998</v>
      </c>
      <c r="J1891" s="2">
        <f ca="1">Table1[[#This Row],[Profit]]/Table1[[#This Row],[Sales]]</f>
        <v>0.35</v>
      </c>
      <c r="K1891" t="str">
        <f ca="1">TEXT(Table1[[#This Row],[Order_Date]],"mmm")</f>
        <v>May</v>
      </c>
      <c r="L1891">
        <f ca="1">YEAR(Table1[[#This Row],[Order_Date]])</f>
        <v>2023</v>
      </c>
    </row>
    <row r="1892" spans="1:12" x14ac:dyDescent="0.3">
      <c r="A1892">
        <f t="shared" si="116"/>
        <v>1891</v>
      </c>
      <c r="B1892" s="1">
        <f t="shared" ca="1" si="117"/>
        <v>45170</v>
      </c>
      <c r="C1892" t="s">
        <v>9</v>
      </c>
      <c r="D1892" t="str">
        <f t="shared" ca="1" si="118"/>
        <v>Clothing</v>
      </c>
      <c r="E1892" t="s">
        <v>74</v>
      </c>
      <c r="F1892" s="11">
        <v>4687</v>
      </c>
      <c r="G1892">
        <f t="shared" ca="1" si="119"/>
        <v>5</v>
      </c>
      <c r="H1892" s="11">
        <f ca="1">IF(Table1[[#This Row],[Category]]="Electronics",Table1[[#This Row],[Sales]]*0.6,
IF(Table1[[#This Row],[Category]]="Furniture",Table1[[#This Row],[Sales]]*0.75,
IF(Table1[[#This Row],[Category]]="Clothing",Table1[[#This Row],[Sales]]*0.65,
Table1[[#This Row],[Sales]]*0.7)))</f>
        <v>3046.55</v>
      </c>
      <c r="I1892" s="11">
        <f ca="1">Table1[[#This Row],[Sales]]-H1892</f>
        <v>1640.4499999999998</v>
      </c>
      <c r="J1892" s="2">
        <f ca="1">Table1[[#This Row],[Profit]]/Table1[[#This Row],[Sales]]</f>
        <v>0.35</v>
      </c>
      <c r="K1892" t="str">
        <f ca="1">TEXT(Table1[[#This Row],[Order_Date]],"mmm")</f>
        <v>Sep</v>
      </c>
      <c r="L1892">
        <f ca="1">YEAR(Table1[[#This Row],[Order_Date]])</f>
        <v>2023</v>
      </c>
    </row>
    <row r="1893" spans="1:12" x14ac:dyDescent="0.3">
      <c r="A1893">
        <f t="shared" si="116"/>
        <v>1892</v>
      </c>
      <c r="B1893" s="1">
        <f t="shared" ca="1" si="117"/>
        <v>45151</v>
      </c>
      <c r="C1893" t="s">
        <v>10</v>
      </c>
      <c r="D1893" t="str">
        <f t="shared" ca="1" si="118"/>
        <v>Electronics</v>
      </c>
      <c r="E1893" t="s">
        <v>75</v>
      </c>
      <c r="F1893" s="11">
        <v>11425</v>
      </c>
      <c r="G1893">
        <f t="shared" ca="1" si="119"/>
        <v>8</v>
      </c>
      <c r="H1893" s="11">
        <f ca="1">IF(Table1[[#This Row],[Category]]="Electronics",Table1[[#This Row],[Sales]]*0.6,
IF(Table1[[#This Row],[Category]]="Furniture",Table1[[#This Row],[Sales]]*0.75,
IF(Table1[[#This Row],[Category]]="Clothing",Table1[[#This Row],[Sales]]*0.65,
Table1[[#This Row],[Sales]]*0.7)))</f>
        <v>6855</v>
      </c>
      <c r="I1893" s="11">
        <f ca="1">Table1[[#This Row],[Sales]]-H1893</f>
        <v>4570</v>
      </c>
      <c r="J1893" s="2">
        <f ca="1">Table1[[#This Row],[Profit]]/Table1[[#This Row],[Sales]]</f>
        <v>0.4</v>
      </c>
      <c r="K1893" t="str">
        <f ca="1">TEXT(Table1[[#This Row],[Order_Date]],"mmm")</f>
        <v>Aug</v>
      </c>
      <c r="L1893">
        <f ca="1">YEAR(Table1[[#This Row],[Order_Date]])</f>
        <v>2023</v>
      </c>
    </row>
    <row r="1894" spans="1:12" x14ac:dyDescent="0.3">
      <c r="A1894">
        <f t="shared" si="116"/>
        <v>1893</v>
      </c>
      <c r="B1894" s="1">
        <f t="shared" ca="1" si="117"/>
        <v>45251</v>
      </c>
      <c r="C1894" t="s">
        <v>7</v>
      </c>
      <c r="D1894" t="str">
        <f t="shared" ca="1" si="118"/>
        <v>Furniture</v>
      </c>
      <c r="E1894" t="s">
        <v>60</v>
      </c>
      <c r="F1894" s="11">
        <v>11575</v>
      </c>
      <c r="G1894">
        <f t="shared" ca="1" si="119"/>
        <v>8</v>
      </c>
      <c r="H1894" s="11">
        <f ca="1">IF(Table1[[#This Row],[Category]]="Electronics",Table1[[#This Row],[Sales]]*0.6,
IF(Table1[[#This Row],[Category]]="Furniture",Table1[[#This Row],[Sales]]*0.75,
IF(Table1[[#This Row],[Category]]="Clothing",Table1[[#This Row],[Sales]]*0.65,
Table1[[#This Row],[Sales]]*0.7)))</f>
        <v>8681.25</v>
      </c>
      <c r="I1894" s="11">
        <f ca="1">Table1[[#This Row],[Sales]]-H1894</f>
        <v>2893.75</v>
      </c>
      <c r="J1894" s="2">
        <f ca="1">Table1[[#This Row],[Profit]]/Table1[[#This Row],[Sales]]</f>
        <v>0.25</v>
      </c>
      <c r="K1894" t="str">
        <f ca="1">TEXT(Table1[[#This Row],[Order_Date]],"mmm")</f>
        <v>Nov</v>
      </c>
      <c r="L1894">
        <f ca="1">YEAR(Table1[[#This Row],[Order_Date]])</f>
        <v>2023</v>
      </c>
    </row>
    <row r="1895" spans="1:12" x14ac:dyDescent="0.3">
      <c r="A1895">
        <f t="shared" si="116"/>
        <v>1894</v>
      </c>
      <c r="B1895" s="1">
        <f t="shared" ca="1" si="117"/>
        <v>45060</v>
      </c>
      <c r="C1895" t="s">
        <v>8</v>
      </c>
      <c r="D1895" t="str">
        <f t="shared" ca="1" si="118"/>
        <v>Electronics</v>
      </c>
      <c r="E1895" t="s">
        <v>45</v>
      </c>
      <c r="F1895" s="11">
        <v>19447</v>
      </c>
      <c r="G1895">
        <f t="shared" ca="1" si="119"/>
        <v>2</v>
      </c>
      <c r="H1895" s="11">
        <f ca="1">IF(Table1[[#This Row],[Category]]="Electronics",Table1[[#This Row],[Sales]]*0.6,
IF(Table1[[#This Row],[Category]]="Furniture",Table1[[#This Row],[Sales]]*0.75,
IF(Table1[[#This Row],[Category]]="Clothing",Table1[[#This Row],[Sales]]*0.65,
Table1[[#This Row],[Sales]]*0.7)))</f>
        <v>11668.199999999999</v>
      </c>
      <c r="I1895" s="11">
        <f ca="1">Table1[[#This Row],[Sales]]-H1895</f>
        <v>7778.8000000000011</v>
      </c>
      <c r="J1895" s="2">
        <f ca="1">Table1[[#This Row],[Profit]]/Table1[[#This Row],[Sales]]</f>
        <v>0.40000000000000008</v>
      </c>
      <c r="K1895" t="str">
        <f ca="1">TEXT(Table1[[#This Row],[Order_Date]],"mmm")</f>
        <v>May</v>
      </c>
      <c r="L1895">
        <f ca="1">YEAR(Table1[[#This Row],[Order_Date]])</f>
        <v>2023</v>
      </c>
    </row>
    <row r="1896" spans="1:12" x14ac:dyDescent="0.3">
      <c r="A1896">
        <f t="shared" si="116"/>
        <v>1895</v>
      </c>
      <c r="B1896" s="1">
        <f t="shared" ca="1" si="117"/>
        <v>45207</v>
      </c>
      <c r="C1896" t="s">
        <v>9</v>
      </c>
      <c r="D1896" t="str">
        <f t="shared" ca="1" si="118"/>
        <v>Furniture</v>
      </c>
      <c r="E1896" t="s">
        <v>85</v>
      </c>
      <c r="F1896" s="11">
        <v>18535</v>
      </c>
      <c r="G1896">
        <f t="shared" ca="1" si="119"/>
        <v>5</v>
      </c>
      <c r="H1896" s="11">
        <f ca="1">IF(Table1[[#This Row],[Category]]="Electronics",Table1[[#This Row],[Sales]]*0.6,
IF(Table1[[#This Row],[Category]]="Furniture",Table1[[#This Row],[Sales]]*0.75,
IF(Table1[[#This Row],[Category]]="Clothing",Table1[[#This Row],[Sales]]*0.65,
Table1[[#This Row],[Sales]]*0.7)))</f>
        <v>13901.25</v>
      </c>
      <c r="I1896" s="11">
        <f ca="1">Table1[[#This Row],[Sales]]-H1896</f>
        <v>4633.75</v>
      </c>
      <c r="J1896" s="2">
        <f ca="1">Table1[[#This Row],[Profit]]/Table1[[#This Row],[Sales]]</f>
        <v>0.25</v>
      </c>
      <c r="K1896" t="str">
        <f ca="1">TEXT(Table1[[#This Row],[Order_Date]],"mmm")</f>
        <v>Oct</v>
      </c>
      <c r="L1896">
        <f ca="1">YEAR(Table1[[#This Row],[Order_Date]])</f>
        <v>2023</v>
      </c>
    </row>
    <row r="1897" spans="1:12" x14ac:dyDescent="0.3">
      <c r="A1897">
        <f t="shared" si="116"/>
        <v>1896</v>
      </c>
      <c r="B1897" s="1">
        <f t="shared" ca="1" si="117"/>
        <v>45121</v>
      </c>
      <c r="C1897" t="s">
        <v>10</v>
      </c>
      <c r="D1897" t="str">
        <f t="shared" ca="1" si="118"/>
        <v>Electronics</v>
      </c>
      <c r="E1897" t="s">
        <v>58</v>
      </c>
      <c r="F1897" s="11">
        <v>18039</v>
      </c>
      <c r="G1897">
        <f t="shared" ca="1" si="119"/>
        <v>10</v>
      </c>
      <c r="H1897" s="11">
        <f ca="1">IF(Table1[[#This Row],[Category]]="Electronics",Table1[[#This Row],[Sales]]*0.6,
IF(Table1[[#This Row],[Category]]="Furniture",Table1[[#This Row],[Sales]]*0.75,
IF(Table1[[#This Row],[Category]]="Clothing",Table1[[#This Row],[Sales]]*0.65,
Table1[[#This Row],[Sales]]*0.7)))</f>
        <v>10823.4</v>
      </c>
      <c r="I1897" s="11">
        <f ca="1">Table1[[#This Row],[Sales]]-H1897</f>
        <v>7215.6</v>
      </c>
      <c r="J1897" s="2">
        <f ca="1">Table1[[#This Row],[Profit]]/Table1[[#This Row],[Sales]]</f>
        <v>0.4</v>
      </c>
      <c r="K1897" t="str">
        <f ca="1">TEXT(Table1[[#This Row],[Order_Date]],"mmm")</f>
        <v>Jul</v>
      </c>
      <c r="L1897">
        <f ca="1">YEAR(Table1[[#This Row],[Order_Date]])</f>
        <v>2023</v>
      </c>
    </row>
    <row r="1898" spans="1:12" x14ac:dyDescent="0.3">
      <c r="A1898">
        <f t="shared" si="116"/>
        <v>1897</v>
      </c>
      <c r="B1898" s="1">
        <f t="shared" ca="1" si="117"/>
        <v>45166</v>
      </c>
      <c r="C1898" t="s">
        <v>7</v>
      </c>
      <c r="D1898" t="str">
        <f t="shared" ca="1" si="118"/>
        <v>Furniture</v>
      </c>
      <c r="E1898" t="s">
        <v>72</v>
      </c>
      <c r="F1898" s="11">
        <v>12063</v>
      </c>
      <c r="G1898">
        <f t="shared" ca="1" si="119"/>
        <v>1</v>
      </c>
      <c r="H1898" s="11">
        <f ca="1">IF(Table1[[#This Row],[Category]]="Electronics",Table1[[#This Row],[Sales]]*0.6,
IF(Table1[[#This Row],[Category]]="Furniture",Table1[[#This Row],[Sales]]*0.75,
IF(Table1[[#This Row],[Category]]="Clothing",Table1[[#This Row],[Sales]]*0.65,
Table1[[#This Row],[Sales]]*0.7)))</f>
        <v>9047.25</v>
      </c>
      <c r="I1898" s="11">
        <f ca="1">Table1[[#This Row],[Sales]]-H1898</f>
        <v>3015.75</v>
      </c>
      <c r="J1898" s="2">
        <f ca="1">Table1[[#This Row],[Profit]]/Table1[[#This Row],[Sales]]</f>
        <v>0.25</v>
      </c>
      <c r="K1898" t="str">
        <f ca="1">TEXT(Table1[[#This Row],[Order_Date]],"mmm")</f>
        <v>Aug</v>
      </c>
      <c r="L1898">
        <f ca="1">YEAR(Table1[[#This Row],[Order_Date]])</f>
        <v>2023</v>
      </c>
    </row>
    <row r="1899" spans="1:12" x14ac:dyDescent="0.3">
      <c r="A1899">
        <f t="shared" si="116"/>
        <v>1898</v>
      </c>
      <c r="B1899" s="1">
        <f t="shared" ca="1" si="117"/>
        <v>45041</v>
      </c>
      <c r="C1899" t="s">
        <v>8</v>
      </c>
      <c r="D1899" t="str">
        <f t="shared" ca="1" si="118"/>
        <v>Office Supplies</v>
      </c>
      <c r="E1899" t="s">
        <v>52</v>
      </c>
      <c r="F1899" s="11">
        <v>7864</v>
      </c>
      <c r="G1899">
        <f t="shared" ca="1" si="119"/>
        <v>1</v>
      </c>
      <c r="H1899" s="11">
        <f ca="1">IF(Table1[[#This Row],[Category]]="Electronics",Table1[[#This Row],[Sales]]*0.6,
IF(Table1[[#This Row],[Category]]="Furniture",Table1[[#This Row],[Sales]]*0.75,
IF(Table1[[#This Row],[Category]]="Clothing",Table1[[#This Row],[Sales]]*0.65,
Table1[[#This Row],[Sales]]*0.7)))</f>
        <v>5504.7999999999993</v>
      </c>
      <c r="I1899" s="11">
        <f ca="1">Table1[[#This Row],[Sales]]-H1899</f>
        <v>2359.2000000000007</v>
      </c>
      <c r="J1899" s="2">
        <f ca="1">Table1[[#This Row],[Profit]]/Table1[[#This Row],[Sales]]</f>
        <v>0.3000000000000001</v>
      </c>
      <c r="K1899" t="str">
        <f ca="1">TEXT(Table1[[#This Row],[Order_Date]],"mmm")</f>
        <v>Apr</v>
      </c>
      <c r="L1899">
        <f ca="1">YEAR(Table1[[#This Row],[Order_Date]])</f>
        <v>2023</v>
      </c>
    </row>
    <row r="1900" spans="1:12" x14ac:dyDescent="0.3">
      <c r="A1900">
        <f t="shared" si="116"/>
        <v>1899</v>
      </c>
      <c r="B1900" s="1">
        <f t="shared" ca="1" si="117"/>
        <v>45237</v>
      </c>
      <c r="C1900" t="s">
        <v>9</v>
      </c>
      <c r="D1900" t="str">
        <f t="shared" ca="1" si="118"/>
        <v>Electronics</v>
      </c>
      <c r="E1900" t="s">
        <v>39</v>
      </c>
      <c r="F1900" s="11">
        <v>14370</v>
      </c>
      <c r="G1900">
        <f t="shared" ca="1" si="119"/>
        <v>2</v>
      </c>
      <c r="H1900" s="11">
        <f ca="1">IF(Table1[[#This Row],[Category]]="Electronics",Table1[[#This Row],[Sales]]*0.6,
IF(Table1[[#This Row],[Category]]="Furniture",Table1[[#This Row],[Sales]]*0.75,
IF(Table1[[#This Row],[Category]]="Clothing",Table1[[#This Row],[Sales]]*0.65,
Table1[[#This Row],[Sales]]*0.7)))</f>
        <v>8622</v>
      </c>
      <c r="I1900" s="11">
        <f ca="1">Table1[[#This Row],[Sales]]-H1900</f>
        <v>5748</v>
      </c>
      <c r="J1900" s="2">
        <f ca="1">Table1[[#This Row],[Profit]]/Table1[[#This Row],[Sales]]</f>
        <v>0.4</v>
      </c>
      <c r="K1900" t="str">
        <f ca="1">TEXT(Table1[[#This Row],[Order_Date]],"mmm")</f>
        <v>Nov</v>
      </c>
      <c r="L1900">
        <f ca="1">YEAR(Table1[[#This Row],[Order_Date]])</f>
        <v>2023</v>
      </c>
    </row>
    <row r="1901" spans="1:12" x14ac:dyDescent="0.3">
      <c r="A1901">
        <f t="shared" si="116"/>
        <v>1900</v>
      </c>
      <c r="B1901" s="1">
        <f t="shared" ca="1" si="117"/>
        <v>44996</v>
      </c>
      <c r="C1901" t="s">
        <v>10</v>
      </c>
      <c r="D1901" t="str">
        <f t="shared" ca="1" si="118"/>
        <v>Electronics</v>
      </c>
      <c r="E1901" t="s">
        <v>72</v>
      </c>
      <c r="F1901" s="11">
        <v>18015</v>
      </c>
      <c r="G1901">
        <f t="shared" ca="1" si="119"/>
        <v>9</v>
      </c>
      <c r="H1901" s="11">
        <f ca="1">IF(Table1[[#This Row],[Category]]="Electronics",Table1[[#This Row],[Sales]]*0.6,
IF(Table1[[#This Row],[Category]]="Furniture",Table1[[#This Row],[Sales]]*0.75,
IF(Table1[[#This Row],[Category]]="Clothing",Table1[[#This Row],[Sales]]*0.65,
Table1[[#This Row],[Sales]]*0.7)))</f>
        <v>10809</v>
      </c>
      <c r="I1901" s="11">
        <f ca="1">Table1[[#This Row],[Sales]]-H1901</f>
        <v>7206</v>
      </c>
      <c r="J1901" s="2">
        <f ca="1">Table1[[#This Row],[Profit]]/Table1[[#This Row],[Sales]]</f>
        <v>0.4</v>
      </c>
      <c r="K1901" t="str">
        <f ca="1">TEXT(Table1[[#This Row],[Order_Date]],"mmm")</f>
        <v>Mar</v>
      </c>
      <c r="L1901">
        <f ca="1">YEAR(Table1[[#This Row],[Order_Date]])</f>
        <v>2023</v>
      </c>
    </row>
    <row r="1902" spans="1:12" x14ac:dyDescent="0.3">
      <c r="A1902">
        <f t="shared" si="116"/>
        <v>1901</v>
      </c>
      <c r="B1902" s="1">
        <f t="shared" ca="1" si="117"/>
        <v>44948</v>
      </c>
      <c r="C1902" t="s">
        <v>7</v>
      </c>
      <c r="D1902" t="str">
        <f t="shared" ca="1" si="118"/>
        <v>Furniture</v>
      </c>
      <c r="E1902" t="s">
        <v>82</v>
      </c>
      <c r="F1902" s="11">
        <v>3065</v>
      </c>
      <c r="G1902">
        <f t="shared" ca="1" si="119"/>
        <v>3</v>
      </c>
      <c r="H1902" s="11">
        <f ca="1">IF(Table1[[#This Row],[Category]]="Electronics",Table1[[#This Row],[Sales]]*0.6,
IF(Table1[[#This Row],[Category]]="Furniture",Table1[[#This Row],[Sales]]*0.75,
IF(Table1[[#This Row],[Category]]="Clothing",Table1[[#This Row],[Sales]]*0.65,
Table1[[#This Row],[Sales]]*0.7)))</f>
        <v>2298.75</v>
      </c>
      <c r="I1902" s="11">
        <f ca="1">Table1[[#This Row],[Sales]]-H1902</f>
        <v>766.25</v>
      </c>
      <c r="J1902" s="2">
        <f ca="1">Table1[[#This Row],[Profit]]/Table1[[#This Row],[Sales]]</f>
        <v>0.25</v>
      </c>
      <c r="K1902" t="str">
        <f ca="1">TEXT(Table1[[#This Row],[Order_Date]],"mmm")</f>
        <v>Jan</v>
      </c>
      <c r="L1902">
        <f ca="1">YEAR(Table1[[#This Row],[Order_Date]])</f>
        <v>2023</v>
      </c>
    </row>
    <row r="1903" spans="1:12" x14ac:dyDescent="0.3">
      <c r="A1903">
        <f t="shared" si="116"/>
        <v>1902</v>
      </c>
      <c r="B1903" s="1">
        <f t="shared" ca="1" si="117"/>
        <v>45009</v>
      </c>
      <c r="C1903" t="s">
        <v>8</v>
      </c>
      <c r="D1903" t="str">
        <f t="shared" ca="1" si="118"/>
        <v>Furniture</v>
      </c>
      <c r="E1903" t="s">
        <v>43</v>
      </c>
      <c r="F1903" s="11">
        <v>6704</v>
      </c>
      <c r="G1903">
        <f t="shared" ca="1" si="119"/>
        <v>6</v>
      </c>
      <c r="H1903" s="11">
        <f ca="1">IF(Table1[[#This Row],[Category]]="Electronics",Table1[[#This Row],[Sales]]*0.6,
IF(Table1[[#This Row],[Category]]="Furniture",Table1[[#This Row],[Sales]]*0.75,
IF(Table1[[#This Row],[Category]]="Clothing",Table1[[#This Row],[Sales]]*0.65,
Table1[[#This Row],[Sales]]*0.7)))</f>
        <v>5028</v>
      </c>
      <c r="I1903" s="11">
        <f ca="1">Table1[[#This Row],[Sales]]-H1903</f>
        <v>1676</v>
      </c>
      <c r="J1903" s="2">
        <f ca="1">Table1[[#This Row],[Profit]]/Table1[[#This Row],[Sales]]</f>
        <v>0.25</v>
      </c>
      <c r="K1903" t="str">
        <f ca="1">TEXT(Table1[[#This Row],[Order_Date]],"mmm")</f>
        <v>Mar</v>
      </c>
      <c r="L1903">
        <f ca="1">YEAR(Table1[[#This Row],[Order_Date]])</f>
        <v>2023</v>
      </c>
    </row>
    <row r="1904" spans="1:12" x14ac:dyDescent="0.3">
      <c r="A1904">
        <f t="shared" si="116"/>
        <v>1903</v>
      </c>
      <c r="B1904" s="1">
        <f t="shared" ca="1" si="117"/>
        <v>45142</v>
      </c>
      <c r="C1904" t="s">
        <v>9</v>
      </c>
      <c r="D1904" t="str">
        <f t="shared" ca="1" si="118"/>
        <v>Furniture</v>
      </c>
      <c r="E1904" t="s">
        <v>36</v>
      </c>
      <c r="F1904" s="11">
        <v>5183</v>
      </c>
      <c r="G1904">
        <f t="shared" ca="1" si="119"/>
        <v>5</v>
      </c>
      <c r="H1904" s="11">
        <f ca="1">IF(Table1[[#This Row],[Category]]="Electronics",Table1[[#This Row],[Sales]]*0.6,
IF(Table1[[#This Row],[Category]]="Furniture",Table1[[#This Row],[Sales]]*0.75,
IF(Table1[[#This Row],[Category]]="Clothing",Table1[[#This Row],[Sales]]*0.65,
Table1[[#This Row],[Sales]]*0.7)))</f>
        <v>3887.25</v>
      </c>
      <c r="I1904" s="11">
        <f ca="1">Table1[[#This Row],[Sales]]-H1904</f>
        <v>1295.75</v>
      </c>
      <c r="J1904" s="2">
        <f ca="1">Table1[[#This Row],[Profit]]/Table1[[#This Row],[Sales]]</f>
        <v>0.25</v>
      </c>
      <c r="K1904" t="str">
        <f ca="1">TEXT(Table1[[#This Row],[Order_Date]],"mmm")</f>
        <v>Aug</v>
      </c>
      <c r="L1904">
        <f ca="1">YEAR(Table1[[#This Row],[Order_Date]])</f>
        <v>2023</v>
      </c>
    </row>
    <row r="1905" spans="1:12" x14ac:dyDescent="0.3">
      <c r="A1905">
        <f t="shared" si="116"/>
        <v>1904</v>
      </c>
      <c r="B1905" s="1">
        <f t="shared" ca="1" si="117"/>
        <v>44937</v>
      </c>
      <c r="C1905" t="s">
        <v>10</v>
      </c>
      <c r="D1905" t="str">
        <f t="shared" ca="1" si="118"/>
        <v>Electronics</v>
      </c>
      <c r="E1905" t="s">
        <v>85</v>
      </c>
      <c r="F1905" s="11">
        <v>1328</v>
      </c>
      <c r="G1905">
        <f t="shared" ca="1" si="119"/>
        <v>2</v>
      </c>
      <c r="H1905" s="11">
        <f ca="1">IF(Table1[[#This Row],[Category]]="Electronics",Table1[[#This Row],[Sales]]*0.6,
IF(Table1[[#This Row],[Category]]="Furniture",Table1[[#This Row],[Sales]]*0.75,
IF(Table1[[#This Row],[Category]]="Clothing",Table1[[#This Row],[Sales]]*0.65,
Table1[[#This Row],[Sales]]*0.7)))</f>
        <v>796.8</v>
      </c>
      <c r="I1905" s="11">
        <f ca="1">Table1[[#This Row],[Sales]]-H1905</f>
        <v>531.20000000000005</v>
      </c>
      <c r="J1905" s="2">
        <f ca="1">Table1[[#This Row],[Profit]]/Table1[[#This Row],[Sales]]</f>
        <v>0.4</v>
      </c>
      <c r="K1905" t="str">
        <f ca="1">TEXT(Table1[[#This Row],[Order_Date]],"mmm")</f>
        <v>Jan</v>
      </c>
      <c r="L1905">
        <f ca="1">YEAR(Table1[[#This Row],[Order_Date]])</f>
        <v>2023</v>
      </c>
    </row>
    <row r="1906" spans="1:12" x14ac:dyDescent="0.3">
      <c r="A1906">
        <f t="shared" si="116"/>
        <v>1905</v>
      </c>
      <c r="B1906" s="1">
        <f t="shared" ca="1" si="117"/>
        <v>45135</v>
      </c>
      <c r="C1906" t="s">
        <v>7</v>
      </c>
      <c r="D1906" t="str">
        <f t="shared" ca="1" si="118"/>
        <v>Electronics</v>
      </c>
      <c r="E1906" t="s">
        <v>58</v>
      </c>
      <c r="F1906" s="11">
        <v>15383</v>
      </c>
      <c r="G1906">
        <f t="shared" ca="1" si="119"/>
        <v>3</v>
      </c>
      <c r="H1906" s="11">
        <f ca="1">IF(Table1[[#This Row],[Category]]="Electronics",Table1[[#This Row],[Sales]]*0.6,
IF(Table1[[#This Row],[Category]]="Furniture",Table1[[#This Row],[Sales]]*0.75,
IF(Table1[[#This Row],[Category]]="Clothing",Table1[[#This Row],[Sales]]*0.65,
Table1[[#This Row],[Sales]]*0.7)))</f>
        <v>9229.7999999999993</v>
      </c>
      <c r="I1906" s="11">
        <f ca="1">Table1[[#This Row],[Sales]]-H1906</f>
        <v>6153.2000000000007</v>
      </c>
      <c r="J1906" s="2">
        <f ca="1">Table1[[#This Row],[Profit]]/Table1[[#This Row],[Sales]]</f>
        <v>0.4</v>
      </c>
      <c r="K1906" t="str">
        <f ca="1">TEXT(Table1[[#This Row],[Order_Date]],"mmm")</f>
        <v>Jul</v>
      </c>
      <c r="L1906">
        <f ca="1">YEAR(Table1[[#This Row],[Order_Date]])</f>
        <v>2023</v>
      </c>
    </row>
    <row r="1907" spans="1:12" x14ac:dyDescent="0.3">
      <c r="A1907">
        <f t="shared" si="116"/>
        <v>1906</v>
      </c>
      <c r="B1907" s="1">
        <f t="shared" ca="1" si="117"/>
        <v>45037</v>
      </c>
      <c r="C1907" t="s">
        <v>8</v>
      </c>
      <c r="D1907" t="str">
        <f t="shared" ca="1" si="118"/>
        <v>Electronics</v>
      </c>
      <c r="E1907" t="s">
        <v>53</v>
      </c>
      <c r="F1907" s="11">
        <v>19407</v>
      </c>
      <c r="G1907">
        <f t="shared" ca="1" si="119"/>
        <v>10</v>
      </c>
      <c r="H1907" s="11">
        <f ca="1">IF(Table1[[#This Row],[Category]]="Electronics",Table1[[#This Row],[Sales]]*0.6,
IF(Table1[[#This Row],[Category]]="Furniture",Table1[[#This Row],[Sales]]*0.75,
IF(Table1[[#This Row],[Category]]="Clothing",Table1[[#This Row],[Sales]]*0.65,
Table1[[#This Row],[Sales]]*0.7)))</f>
        <v>11644.199999999999</v>
      </c>
      <c r="I1907" s="11">
        <f ca="1">Table1[[#This Row],[Sales]]-H1907</f>
        <v>7762.8000000000011</v>
      </c>
      <c r="J1907" s="2">
        <f ca="1">Table1[[#This Row],[Profit]]/Table1[[#This Row],[Sales]]</f>
        <v>0.40000000000000008</v>
      </c>
      <c r="K1907" t="str">
        <f ca="1">TEXT(Table1[[#This Row],[Order_Date]],"mmm")</f>
        <v>Apr</v>
      </c>
      <c r="L1907">
        <f ca="1">YEAR(Table1[[#This Row],[Order_Date]])</f>
        <v>2023</v>
      </c>
    </row>
    <row r="1908" spans="1:12" x14ac:dyDescent="0.3">
      <c r="A1908">
        <f t="shared" si="116"/>
        <v>1907</v>
      </c>
      <c r="B1908" s="1">
        <f t="shared" ca="1" si="117"/>
        <v>45248</v>
      </c>
      <c r="C1908" t="s">
        <v>9</v>
      </c>
      <c r="D1908" t="str">
        <f t="shared" ca="1" si="118"/>
        <v>Clothing</v>
      </c>
      <c r="E1908" t="s">
        <v>38</v>
      </c>
      <c r="F1908" s="11">
        <v>17825</v>
      </c>
      <c r="G1908">
        <f t="shared" ca="1" si="119"/>
        <v>4</v>
      </c>
      <c r="H1908" s="11">
        <f ca="1">IF(Table1[[#This Row],[Category]]="Electronics",Table1[[#This Row],[Sales]]*0.6,
IF(Table1[[#This Row],[Category]]="Furniture",Table1[[#This Row],[Sales]]*0.75,
IF(Table1[[#This Row],[Category]]="Clothing",Table1[[#This Row],[Sales]]*0.65,
Table1[[#This Row],[Sales]]*0.7)))</f>
        <v>11586.25</v>
      </c>
      <c r="I1908" s="11">
        <f ca="1">Table1[[#This Row],[Sales]]-H1908</f>
        <v>6238.75</v>
      </c>
      <c r="J1908" s="2">
        <f ca="1">Table1[[#This Row],[Profit]]/Table1[[#This Row],[Sales]]</f>
        <v>0.35</v>
      </c>
      <c r="K1908" t="str">
        <f ca="1">TEXT(Table1[[#This Row],[Order_Date]],"mmm")</f>
        <v>Nov</v>
      </c>
      <c r="L1908">
        <f ca="1">YEAR(Table1[[#This Row],[Order_Date]])</f>
        <v>2023</v>
      </c>
    </row>
    <row r="1909" spans="1:12" x14ac:dyDescent="0.3">
      <c r="A1909">
        <f t="shared" si="116"/>
        <v>1908</v>
      </c>
      <c r="B1909" s="1">
        <f t="shared" ca="1" si="117"/>
        <v>45080</v>
      </c>
      <c r="C1909" t="s">
        <v>10</v>
      </c>
      <c r="D1909" t="str">
        <f t="shared" ca="1" si="118"/>
        <v>Office Supplies</v>
      </c>
      <c r="E1909" t="s">
        <v>44</v>
      </c>
      <c r="F1909" s="11">
        <v>19779</v>
      </c>
      <c r="G1909">
        <f t="shared" ca="1" si="119"/>
        <v>8</v>
      </c>
      <c r="H1909" s="11">
        <f ca="1">IF(Table1[[#This Row],[Category]]="Electronics",Table1[[#This Row],[Sales]]*0.6,
IF(Table1[[#This Row],[Category]]="Furniture",Table1[[#This Row],[Sales]]*0.75,
IF(Table1[[#This Row],[Category]]="Clothing",Table1[[#This Row],[Sales]]*0.65,
Table1[[#This Row],[Sales]]*0.7)))</f>
        <v>13845.3</v>
      </c>
      <c r="I1909" s="11">
        <f ca="1">Table1[[#This Row],[Sales]]-H1909</f>
        <v>5933.7000000000007</v>
      </c>
      <c r="J1909" s="2">
        <f ca="1">Table1[[#This Row],[Profit]]/Table1[[#This Row],[Sales]]</f>
        <v>0.30000000000000004</v>
      </c>
      <c r="K1909" t="str">
        <f ca="1">TEXT(Table1[[#This Row],[Order_Date]],"mmm")</f>
        <v>Jun</v>
      </c>
      <c r="L1909">
        <f ca="1">YEAR(Table1[[#This Row],[Order_Date]])</f>
        <v>2023</v>
      </c>
    </row>
    <row r="1910" spans="1:12" x14ac:dyDescent="0.3">
      <c r="A1910">
        <f t="shared" si="116"/>
        <v>1909</v>
      </c>
      <c r="B1910" s="1">
        <f t="shared" ca="1" si="117"/>
        <v>45042</v>
      </c>
      <c r="C1910" t="s">
        <v>7</v>
      </c>
      <c r="D1910" t="str">
        <f t="shared" ca="1" si="118"/>
        <v>Clothing</v>
      </c>
      <c r="E1910" t="s">
        <v>52</v>
      </c>
      <c r="F1910" s="11">
        <v>13128</v>
      </c>
      <c r="G1910">
        <f t="shared" ca="1" si="119"/>
        <v>3</v>
      </c>
      <c r="H1910" s="11">
        <f ca="1">IF(Table1[[#This Row],[Category]]="Electronics",Table1[[#This Row],[Sales]]*0.6,
IF(Table1[[#This Row],[Category]]="Furniture",Table1[[#This Row],[Sales]]*0.75,
IF(Table1[[#This Row],[Category]]="Clothing",Table1[[#This Row],[Sales]]*0.65,
Table1[[#This Row],[Sales]]*0.7)))</f>
        <v>8533.2000000000007</v>
      </c>
      <c r="I1910" s="11">
        <f ca="1">Table1[[#This Row],[Sales]]-H1910</f>
        <v>4594.7999999999993</v>
      </c>
      <c r="J1910" s="2">
        <f ca="1">Table1[[#This Row],[Profit]]/Table1[[#This Row],[Sales]]</f>
        <v>0.34999999999999992</v>
      </c>
      <c r="K1910" t="str">
        <f ca="1">TEXT(Table1[[#This Row],[Order_Date]],"mmm")</f>
        <v>Apr</v>
      </c>
      <c r="L1910">
        <f ca="1">YEAR(Table1[[#This Row],[Order_Date]])</f>
        <v>2023</v>
      </c>
    </row>
    <row r="1911" spans="1:12" x14ac:dyDescent="0.3">
      <c r="A1911">
        <f t="shared" si="116"/>
        <v>1910</v>
      </c>
      <c r="B1911" s="1">
        <f t="shared" ca="1" si="117"/>
        <v>45120</v>
      </c>
      <c r="C1911" t="s">
        <v>8</v>
      </c>
      <c r="D1911" t="str">
        <f t="shared" ca="1" si="118"/>
        <v>Furniture</v>
      </c>
      <c r="E1911" t="s">
        <v>42</v>
      </c>
      <c r="F1911" s="11">
        <v>14823</v>
      </c>
      <c r="G1911">
        <f t="shared" ca="1" si="119"/>
        <v>4</v>
      </c>
      <c r="H1911" s="11">
        <f ca="1">IF(Table1[[#This Row],[Category]]="Electronics",Table1[[#This Row],[Sales]]*0.6,
IF(Table1[[#This Row],[Category]]="Furniture",Table1[[#This Row],[Sales]]*0.75,
IF(Table1[[#This Row],[Category]]="Clothing",Table1[[#This Row],[Sales]]*0.65,
Table1[[#This Row],[Sales]]*0.7)))</f>
        <v>11117.25</v>
      </c>
      <c r="I1911" s="11">
        <f ca="1">Table1[[#This Row],[Sales]]-H1911</f>
        <v>3705.75</v>
      </c>
      <c r="J1911" s="2">
        <f ca="1">Table1[[#This Row],[Profit]]/Table1[[#This Row],[Sales]]</f>
        <v>0.25</v>
      </c>
      <c r="K1911" t="str">
        <f ca="1">TEXT(Table1[[#This Row],[Order_Date]],"mmm")</f>
        <v>Jul</v>
      </c>
      <c r="L1911">
        <f ca="1">YEAR(Table1[[#This Row],[Order_Date]])</f>
        <v>2023</v>
      </c>
    </row>
    <row r="1912" spans="1:12" x14ac:dyDescent="0.3">
      <c r="A1912">
        <f t="shared" si="116"/>
        <v>1911</v>
      </c>
      <c r="B1912" s="1">
        <f t="shared" ca="1" si="117"/>
        <v>44976</v>
      </c>
      <c r="C1912" t="s">
        <v>9</v>
      </c>
      <c r="D1912" t="str">
        <f t="shared" ca="1" si="118"/>
        <v>Clothing</v>
      </c>
      <c r="E1912" t="s">
        <v>37</v>
      </c>
      <c r="F1912" s="11">
        <v>2748</v>
      </c>
      <c r="G1912">
        <f t="shared" ca="1" si="119"/>
        <v>8</v>
      </c>
      <c r="H1912" s="11">
        <f ca="1">IF(Table1[[#This Row],[Category]]="Electronics",Table1[[#This Row],[Sales]]*0.6,
IF(Table1[[#This Row],[Category]]="Furniture",Table1[[#This Row],[Sales]]*0.75,
IF(Table1[[#This Row],[Category]]="Clothing",Table1[[#This Row],[Sales]]*0.65,
Table1[[#This Row],[Sales]]*0.7)))</f>
        <v>1786.2</v>
      </c>
      <c r="I1912" s="11">
        <f ca="1">Table1[[#This Row],[Sales]]-H1912</f>
        <v>961.8</v>
      </c>
      <c r="J1912" s="2">
        <f ca="1">Table1[[#This Row],[Profit]]/Table1[[#This Row],[Sales]]</f>
        <v>0.35</v>
      </c>
      <c r="K1912" t="str">
        <f ca="1">TEXT(Table1[[#This Row],[Order_Date]],"mmm")</f>
        <v>Feb</v>
      </c>
      <c r="L1912">
        <f ca="1">YEAR(Table1[[#This Row],[Order_Date]])</f>
        <v>2023</v>
      </c>
    </row>
    <row r="1913" spans="1:12" x14ac:dyDescent="0.3">
      <c r="A1913">
        <f t="shared" si="116"/>
        <v>1912</v>
      </c>
      <c r="B1913" s="1">
        <f t="shared" ca="1" si="117"/>
        <v>44937</v>
      </c>
      <c r="C1913" t="s">
        <v>10</v>
      </c>
      <c r="D1913" t="str">
        <f t="shared" ca="1" si="118"/>
        <v>Clothing</v>
      </c>
      <c r="E1913" t="s">
        <v>45</v>
      </c>
      <c r="F1913" s="11">
        <v>17420</v>
      </c>
      <c r="G1913">
        <f t="shared" ca="1" si="119"/>
        <v>9</v>
      </c>
      <c r="H1913" s="11">
        <f ca="1">IF(Table1[[#This Row],[Category]]="Electronics",Table1[[#This Row],[Sales]]*0.6,
IF(Table1[[#This Row],[Category]]="Furniture",Table1[[#This Row],[Sales]]*0.75,
IF(Table1[[#This Row],[Category]]="Clothing",Table1[[#This Row],[Sales]]*0.65,
Table1[[#This Row],[Sales]]*0.7)))</f>
        <v>11323</v>
      </c>
      <c r="I1913" s="11">
        <f ca="1">Table1[[#This Row],[Sales]]-H1913</f>
        <v>6097</v>
      </c>
      <c r="J1913" s="2">
        <f ca="1">Table1[[#This Row],[Profit]]/Table1[[#This Row],[Sales]]</f>
        <v>0.35</v>
      </c>
      <c r="K1913" t="str">
        <f ca="1">TEXT(Table1[[#This Row],[Order_Date]],"mmm")</f>
        <v>Jan</v>
      </c>
      <c r="L1913">
        <f ca="1">YEAR(Table1[[#This Row],[Order_Date]])</f>
        <v>2023</v>
      </c>
    </row>
    <row r="1914" spans="1:12" x14ac:dyDescent="0.3">
      <c r="A1914">
        <f t="shared" si="116"/>
        <v>1913</v>
      </c>
      <c r="B1914" s="1">
        <f t="shared" ca="1" si="117"/>
        <v>45211</v>
      </c>
      <c r="C1914" t="s">
        <v>7</v>
      </c>
      <c r="D1914" t="str">
        <f t="shared" ca="1" si="118"/>
        <v>Clothing</v>
      </c>
      <c r="E1914" t="s">
        <v>74</v>
      </c>
      <c r="F1914" s="11">
        <v>2356</v>
      </c>
      <c r="G1914">
        <f t="shared" ca="1" si="119"/>
        <v>9</v>
      </c>
      <c r="H1914" s="11">
        <f ca="1">IF(Table1[[#This Row],[Category]]="Electronics",Table1[[#This Row],[Sales]]*0.6,
IF(Table1[[#This Row],[Category]]="Furniture",Table1[[#This Row],[Sales]]*0.75,
IF(Table1[[#This Row],[Category]]="Clothing",Table1[[#This Row],[Sales]]*0.65,
Table1[[#This Row],[Sales]]*0.7)))</f>
        <v>1531.4</v>
      </c>
      <c r="I1914" s="11">
        <f ca="1">Table1[[#This Row],[Sales]]-H1914</f>
        <v>824.59999999999991</v>
      </c>
      <c r="J1914" s="2">
        <f ca="1">Table1[[#This Row],[Profit]]/Table1[[#This Row],[Sales]]</f>
        <v>0.35</v>
      </c>
      <c r="K1914" t="str">
        <f ca="1">TEXT(Table1[[#This Row],[Order_Date]],"mmm")</f>
        <v>Oct</v>
      </c>
      <c r="L1914">
        <f ca="1">YEAR(Table1[[#This Row],[Order_Date]])</f>
        <v>2023</v>
      </c>
    </row>
    <row r="1915" spans="1:12" x14ac:dyDescent="0.3">
      <c r="A1915">
        <f t="shared" si="116"/>
        <v>1914</v>
      </c>
      <c r="B1915" s="1">
        <f t="shared" ca="1" si="117"/>
        <v>45197</v>
      </c>
      <c r="C1915" t="s">
        <v>8</v>
      </c>
      <c r="D1915" t="str">
        <f t="shared" ca="1" si="118"/>
        <v>Office Supplies</v>
      </c>
      <c r="E1915" t="s">
        <v>64</v>
      </c>
      <c r="F1915" s="11">
        <v>17673</v>
      </c>
      <c r="G1915">
        <f t="shared" ca="1" si="119"/>
        <v>8</v>
      </c>
      <c r="H1915" s="11">
        <f ca="1">IF(Table1[[#This Row],[Category]]="Electronics",Table1[[#This Row],[Sales]]*0.6,
IF(Table1[[#This Row],[Category]]="Furniture",Table1[[#This Row],[Sales]]*0.75,
IF(Table1[[#This Row],[Category]]="Clothing",Table1[[#This Row],[Sales]]*0.65,
Table1[[#This Row],[Sales]]*0.7)))</f>
        <v>12371.099999999999</v>
      </c>
      <c r="I1915" s="11">
        <f ca="1">Table1[[#This Row],[Sales]]-H1915</f>
        <v>5301.9000000000015</v>
      </c>
      <c r="J1915" s="2">
        <f ca="1">Table1[[#This Row],[Profit]]/Table1[[#This Row],[Sales]]</f>
        <v>0.3000000000000001</v>
      </c>
      <c r="K1915" t="str">
        <f ca="1">TEXT(Table1[[#This Row],[Order_Date]],"mmm")</f>
        <v>Sep</v>
      </c>
      <c r="L1915">
        <f ca="1">YEAR(Table1[[#This Row],[Order_Date]])</f>
        <v>2023</v>
      </c>
    </row>
    <row r="1916" spans="1:12" x14ac:dyDescent="0.3">
      <c r="A1916">
        <f t="shared" si="116"/>
        <v>1915</v>
      </c>
      <c r="B1916" s="1">
        <f t="shared" ca="1" si="117"/>
        <v>45214</v>
      </c>
      <c r="C1916" t="s">
        <v>9</v>
      </c>
      <c r="D1916" t="str">
        <f t="shared" ca="1" si="118"/>
        <v>Electronics</v>
      </c>
      <c r="E1916" t="s">
        <v>65</v>
      </c>
      <c r="F1916" s="11">
        <v>19766</v>
      </c>
      <c r="G1916">
        <f t="shared" ca="1" si="119"/>
        <v>7</v>
      </c>
      <c r="H1916" s="11">
        <f ca="1">IF(Table1[[#This Row],[Category]]="Electronics",Table1[[#This Row],[Sales]]*0.6,
IF(Table1[[#This Row],[Category]]="Furniture",Table1[[#This Row],[Sales]]*0.75,
IF(Table1[[#This Row],[Category]]="Clothing",Table1[[#This Row],[Sales]]*0.65,
Table1[[#This Row],[Sales]]*0.7)))</f>
        <v>11859.6</v>
      </c>
      <c r="I1916" s="11">
        <f ca="1">Table1[[#This Row],[Sales]]-H1916</f>
        <v>7906.4</v>
      </c>
      <c r="J1916" s="2">
        <f ca="1">Table1[[#This Row],[Profit]]/Table1[[#This Row],[Sales]]</f>
        <v>0.39999999999999997</v>
      </c>
      <c r="K1916" t="str">
        <f ca="1">TEXT(Table1[[#This Row],[Order_Date]],"mmm")</f>
        <v>Oct</v>
      </c>
      <c r="L1916">
        <f ca="1">YEAR(Table1[[#This Row],[Order_Date]])</f>
        <v>2023</v>
      </c>
    </row>
    <row r="1917" spans="1:12" x14ac:dyDescent="0.3">
      <c r="A1917">
        <f t="shared" si="116"/>
        <v>1916</v>
      </c>
      <c r="B1917" s="1">
        <f t="shared" ca="1" si="117"/>
        <v>45277</v>
      </c>
      <c r="C1917" t="s">
        <v>10</v>
      </c>
      <c r="D1917" t="str">
        <f t="shared" ca="1" si="118"/>
        <v>Electronics</v>
      </c>
      <c r="E1917" t="s">
        <v>64</v>
      </c>
      <c r="F1917" s="11">
        <v>7203</v>
      </c>
      <c r="G1917">
        <f t="shared" ca="1" si="119"/>
        <v>7</v>
      </c>
      <c r="H1917" s="11">
        <f ca="1">IF(Table1[[#This Row],[Category]]="Electronics",Table1[[#This Row],[Sales]]*0.6,
IF(Table1[[#This Row],[Category]]="Furniture",Table1[[#This Row],[Sales]]*0.75,
IF(Table1[[#This Row],[Category]]="Clothing",Table1[[#This Row],[Sales]]*0.65,
Table1[[#This Row],[Sales]]*0.7)))</f>
        <v>4321.8</v>
      </c>
      <c r="I1917" s="11">
        <f ca="1">Table1[[#This Row],[Sales]]-H1917</f>
        <v>2881.2</v>
      </c>
      <c r="J1917" s="2">
        <f ca="1">Table1[[#This Row],[Profit]]/Table1[[#This Row],[Sales]]</f>
        <v>0.39999999999999997</v>
      </c>
      <c r="K1917" t="str">
        <f ca="1">TEXT(Table1[[#This Row],[Order_Date]],"mmm")</f>
        <v>Dec</v>
      </c>
      <c r="L1917">
        <f ca="1">YEAR(Table1[[#This Row],[Order_Date]])</f>
        <v>2023</v>
      </c>
    </row>
    <row r="1918" spans="1:12" x14ac:dyDescent="0.3">
      <c r="A1918">
        <f t="shared" si="116"/>
        <v>1917</v>
      </c>
      <c r="B1918" s="1">
        <f t="shared" ca="1" si="117"/>
        <v>44961</v>
      </c>
      <c r="C1918" t="s">
        <v>7</v>
      </c>
      <c r="D1918" t="str">
        <f t="shared" ca="1" si="118"/>
        <v>Furniture</v>
      </c>
      <c r="E1918" t="s">
        <v>42</v>
      </c>
      <c r="F1918" s="11">
        <v>17066</v>
      </c>
      <c r="G1918">
        <f t="shared" ca="1" si="119"/>
        <v>8</v>
      </c>
      <c r="H1918" s="11">
        <f ca="1">IF(Table1[[#This Row],[Category]]="Electronics",Table1[[#This Row],[Sales]]*0.6,
IF(Table1[[#This Row],[Category]]="Furniture",Table1[[#This Row],[Sales]]*0.75,
IF(Table1[[#This Row],[Category]]="Clothing",Table1[[#This Row],[Sales]]*0.65,
Table1[[#This Row],[Sales]]*0.7)))</f>
        <v>12799.5</v>
      </c>
      <c r="I1918" s="11">
        <f ca="1">Table1[[#This Row],[Sales]]-H1918</f>
        <v>4266.5</v>
      </c>
      <c r="J1918" s="2">
        <f ca="1">Table1[[#This Row],[Profit]]/Table1[[#This Row],[Sales]]</f>
        <v>0.25</v>
      </c>
      <c r="K1918" t="str">
        <f ca="1">TEXT(Table1[[#This Row],[Order_Date]],"mmm")</f>
        <v>Feb</v>
      </c>
      <c r="L1918">
        <f ca="1">YEAR(Table1[[#This Row],[Order_Date]])</f>
        <v>2023</v>
      </c>
    </row>
    <row r="1919" spans="1:12" x14ac:dyDescent="0.3">
      <c r="A1919">
        <f t="shared" si="116"/>
        <v>1918</v>
      </c>
      <c r="B1919" s="1">
        <f t="shared" ca="1" si="117"/>
        <v>44939</v>
      </c>
      <c r="C1919" t="s">
        <v>8</v>
      </c>
      <c r="D1919" t="str">
        <f t="shared" ca="1" si="118"/>
        <v>Office Supplies</v>
      </c>
      <c r="E1919" t="s">
        <v>60</v>
      </c>
      <c r="F1919" s="11">
        <v>16921</v>
      </c>
      <c r="G1919">
        <f t="shared" ca="1" si="119"/>
        <v>6</v>
      </c>
      <c r="H1919" s="11">
        <f ca="1">IF(Table1[[#This Row],[Category]]="Electronics",Table1[[#This Row],[Sales]]*0.6,
IF(Table1[[#This Row],[Category]]="Furniture",Table1[[#This Row],[Sales]]*0.75,
IF(Table1[[#This Row],[Category]]="Clothing",Table1[[#This Row],[Sales]]*0.65,
Table1[[#This Row],[Sales]]*0.7)))</f>
        <v>11844.699999999999</v>
      </c>
      <c r="I1919" s="11">
        <f ca="1">Table1[[#This Row],[Sales]]-H1919</f>
        <v>5076.3000000000011</v>
      </c>
      <c r="J1919" s="2">
        <f ca="1">Table1[[#This Row],[Profit]]/Table1[[#This Row],[Sales]]</f>
        <v>0.30000000000000004</v>
      </c>
      <c r="K1919" t="str">
        <f ca="1">TEXT(Table1[[#This Row],[Order_Date]],"mmm")</f>
        <v>Jan</v>
      </c>
      <c r="L1919">
        <f ca="1">YEAR(Table1[[#This Row],[Order_Date]])</f>
        <v>2023</v>
      </c>
    </row>
    <row r="1920" spans="1:12" x14ac:dyDescent="0.3">
      <c r="A1920">
        <f t="shared" si="116"/>
        <v>1919</v>
      </c>
      <c r="B1920" s="1">
        <f t="shared" ca="1" si="117"/>
        <v>44998</v>
      </c>
      <c r="C1920" t="s">
        <v>9</v>
      </c>
      <c r="D1920" t="str">
        <f t="shared" ca="1" si="118"/>
        <v>Office Supplies</v>
      </c>
      <c r="E1920" t="s">
        <v>41</v>
      </c>
      <c r="F1920" s="11">
        <v>1445</v>
      </c>
      <c r="G1920">
        <f t="shared" ca="1" si="119"/>
        <v>3</v>
      </c>
      <c r="H1920" s="11">
        <f ca="1">IF(Table1[[#This Row],[Category]]="Electronics",Table1[[#This Row],[Sales]]*0.6,
IF(Table1[[#This Row],[Category]]="Furniture",Table1[[#This Row],[Sales]]*0.75,
IF(Table1[[#This Row],[Category]]="Clothing",Table1[[#This Row],[Sales]]*0.65,
Table1[[#This Row],[Sales]]*0.7)))</f>
        <v>1011.4999999999999</v>
      </c>
      <c r="I1920" s="11">
        <f ca="1">Table1[[#This Row],[Sales]]-H1920</f>
        <v>433.50000000000011</v>
      </c>
      <c r="J1920" s="2">
        <f ca="1">Table1[[#This Row],[Profit]]/Table1[[#This Row],[Sales]]</f>
        <v>0.3000000000000001</v>
      </c>
      <c r="K1920" t="str">
        <f ca="1">TEXT(Table1[[#This Row],[Order_Date]],"mmm")</f>
        <v>Mar</v>
      </c>
      <c r="L1920">
        <f ca="1">YEAR(Table1[[#This Row],[Order_Date]])</f>
        <v>2023</v>
      </c>
    </row>
    <row r="1921" spans="1:12" x14ac:dyDescent="0.3">
      <c r="A1921">
        <f t="shared" si="116"/>
        <v>1920</v>
      </c>
      <c r="B1921" s="1">
        <f t="shared" ca="1" si="117"/>
        <v>45155</v>
      </c>
      <c r="C1921" t="s">
        <v>10</v>
      </c>
      <c r="D1921" t="str">
        <f t="shared" ca="1" si="118"/>
        <v>Furniture</v>
      </c>
      <c r="E1921" t="s">
        <v>41</v>
      </c>
      <c r="F1921" s="11">
        <v>19758</v>
      </c>
      <c r="G1921">
        <f t="shared" ca="1" si="119"/>
        <v>6</v>
      </c>
      <c r="H1921" s="11">
        <f ca="1">IF(Table1[[#This Row],[Category]]="Electronics",Table1[[#This Row],[Sales]]*0.6,
IF(Table1[[#This Row],[Category]]="Furniture",Table1[[#This Row],[Sales]]*0.75,
IF(Table1[[#This Row],[Category]]="Clothing",Table1[[#This Row],[Sales]]*0.65,
Table1[[#This Row],[Sales]]*0.7)))</f>
        <v>14818.5</v>
      </c>
      <c r="I1921" s="11">
        <f ca="1">Table1[[#This Row],[Sales]]-H1921</f>
        <v>4939.5</v>
      </c>
      <c r="J1921" s="2">
        <f ca="1">Table1[[#This Row],[Profit]]/Table1[[#This Row],[Sales]]</f>
        <v>0.25</v>
      </c>
      <c r="K1921" t="str">
        <f ca="1">TEXT(Table1[[#This Row],[Order_Date]],"mmm")</f>
        <v>Aug</v>
      </c>
      <c r="L1921">
        <f ca="1">YEAR(Table1[[#This Row],[Order_Date]])</f>
        <v>2023</v>
      </c>
    </row>
    <row r="1922" spans="1:12" x14ac:dyDescent="0.3">
      <c r="A1922">
        <f t="shared" si="116"/>
        <v>1921</v>
      </c>
      <c r="B1922" s="1">
        <f t="shared" ca="1" si="117"/>
        <v>45008</v>
      </c>
      <c r="C1922" t="s">
        <v>7</v>
      </c>
      <c r="D1922" t="str">
        <f t="shared" ca="1" si="118"/>
        <v>Electronics</v>
      </c>
      <c r="E1922" t="s">
        <v>41</v>
      </c>
      <c r="F1922" s="11">
        <v>14526</v>
      </c>
      <c r="G1922">
        <f t="shared" ca="1" si="119"/>
        <v>7</v>
      </c>
      <c r="H1922" s="11">
        <f ca="1">IF(Table1[[#This Row],[Category]]="Electronics",Table1[[#This Row],[Sales]]*0.6,
IF(Table1[[#This Row],[Category]]="Furniture",Table1[[#This Row],[Sales]]*0.75,
IF(Table1[[#This Row],[Category]]="Clothing",Table1[[#This Row],[Sales]]*0.65,
Table1[[#This Row],[Sales]]*0.7)))</f>
        <v>8715.6</v>
      </c>
      <c r="I1922" s="11">
        <f ca="1">Table1[[#This Row],[Sales]]-H1922</f>
        <v>5810.4</v>
      </c>
      <c r="J1922" s="2">
        <f ca="1">Table1[[#This Row],[Profit]]/Table1[[#This Row],[Sales]]</f>
        <v>0.39999999999999997</v>
      </c>
      <c r="K1922" t="str">
        <f ca="1">TEXT(Table1[[#This Row],[Order_Date]],"mmm")</f>
        <v>Mar</v>
      </c>
      <c r="L1922">
        <f ca="1">YEAR(Table1[[#This Row],[Order_Date]])</f>
        <v>2023</v>
      </c>
    </row>
    <row r="1923" spans="1:12" x14ac:dyDescent="0.3">
      <c r="A1923">
        <f t="shared" ref="A1923:A1986" si="120">ROW()-1</f>
        <v>1922</v>
      </c>
      <c r="B1923" s="1">
        <f t="shared" ref="B1923:B1986" ca="1" si="121">DATE(2023, RANDBETWEEN(1,12), RANDBETWEEN(1,28))</f>
        <v>44978</v>
      </c>
      <c r="C1923" t="s">
        <v>8</v>
      </c>
      <c r="D1923" t="str">
        <f t="shared" ref="D1923:D1986" ca="1" si="122">CHOOSE(RANDBETWEEN(1,4),"Electronics","Furniture","Clothing","Office Supplies")</f>
        <v>Furniture</v>
      </c>
      <c r="E1923" t="s">
        <v>69</v>
      </c>
      <c r="F1923" s="11">
        <v>529</v>
      </c>
      <c r="G1923">
        <f t="shared" ref="G1923:G1986" ca="1" si="123">RANDBETWEEN(1,10)</f>
        <v>3</v>
      </c>
      <c r="H1923" s="11">
        <f ca="1">IF(Table1[[#This Row],[Category]]="Electronics",Table1[[#This Row],[Sales]]*0.6,
IF(Table1[[#This Row],[Category]]="Furniture",Table1[[#This Row],[Sales]]*0.75,
IF(Table1[[#This Row],[Category]]="Clothing",Table1[[#This Row],[Sales]]*0.65,
Table1[[#This Row],[Sales]]*0.7)))</f>
        <v>396.75</v>
      </c>
      <c r="I1923" s="11">
        <f ca="1">Table1[[#This Row],[Sales]]-H1923</f>
        <v>132.25</v>
      </c>
      <c r="J1923" s="2">
        <f ca="1">Table1[[#This Row],[Profit]]/Table1[[#This Row],[Sales]]</f>
        <v>0.25</v>
      </c>
      <c r="K1923" t="str">
        <f ca="1">TEXT(Table1[[#This Row],[Order_Date]],"mmm")</f>
        <v>Feb</v>
      </c>
      <c r="L1923">
        <f ca="1">YEAR(Table1[[#This Row],[Order_Date]])</f>
        <v>2023</v>
      </c>
    </row>
    <row r="1924" spans="1:12" x14ac:dyDescent="0.3">
      <c r="A1924">
        <f t="shared" si="120"/>
        <v>1923</v>
      </c>
      <c r="B1924" s="1">
        <f t="shared" ca="1" si="121"/>
        <v>45147</v>
      </c>
      <c r="C1924" t="s">
        <v>9</v>
      </c>
      <c r="D1924" t="str">
        <f t="shared" ca="1" si="122"/>
        <v>Clothing</v>
      </c>
      <c r="E1924" t="s">
        <v>42</v>
      </c>
      <c r="F1924" s="11">
        <v>6149</v>
      </c>
      <c r="G1924">
        <f t="shared" ca="1" si="123"/>
        <v>9</v>
      </c>
      <c r="H1924" s="11">
        <f ca="1">IF(Table1[[#This Row],[Category]]="Electronics",Table1[[#This Row],[Sales]]*0.6,
IF(Table1[[#This Row],[Category]]="Furniture",Table1[[#This Row],[Sales]]*0.75,
IF(Table1[[#This Row],[Category]]="Clothing",Table1[[#This Row],[Sales]]*0.65,
Table1[[#This Row],[Sales]]*0.7)))</f>
        <v>3996.8500000000004</v>
      </c>
      <c r="I1924" s="11">
        <f ca="1">Table1[[#This Row],[Sales]]-H1924</f>
        <v>2152.1499999999996</v>
      </c>
      <c r="J1924" s="2">
        <f ca="1">Table1[[#This Row],[Profit]]/Table1[[#This Row],[Sales]]</f>
        <v>0.34999999999999992</v>
      </c>
      <c r="K1924" t="str">
        <f ca="1">TEXT(Table1[[#This Row],[Order_Date]],"mmm")</f>
        <v>Aug</v>
      </c>
      <c r="L1924">
        <f ca="1">YEAR(Table1[[#This Row],[Order_Date]])</f>
        <v>2023</v>
      </c>
    </row>
    <row r="1925" spans="1:12" x14ac:dyDescent="0.3">
      <c r="A1925">
        <f t="shared" si="120"/>
        <v>1924</v>
      </c>
      <c r="B1925" s="1">
        <f t="shared" ca="1" si="121"/>
        <v>45109</v>
      </c>
      <c r="C1925" t="s">
        <v>10</v>
      </c>
      <c r="D1925" t="str">
        <f t="shared" ca="1" si="122"/>
        <v>Furniture</v>
      </c>
      <c r="E1925" t="s">
        <v>71</v>
      </c>
      <c r="F1925" s="11">
        <v>15056</v>
      </c>
      <c r="G1925">
        <f t="shared" ca="1" si="123"/>
        <v>3</v>
      </c>
      <c r="H1925" s="11">
        <f ca="1">IF(Table1[[#This Row],[Category]]="Electronics",Table1[[#This Row],[Sales]]*0.6,
IF(Table1[[#This Row],[Category]]="Furniture",Table1[[#This Row],[Sales]]*0.75,
IF(Table1[[#This Row],[Category]]="Clothing",Table1[[#This Row],[Sales]]*0.65,
Table1[[#This Row],[Sales]]*0.7)))</f>
        <v>11292</v>
      </c>
      <c r="I1925" s="11">
        <f ca="1">Table1[[#This Row],[Sales]]-H1925</f>
        <v>3764</v>
      </c>
      <c r="J1925" s="2">
        <f ca="1">Table1[[#This Row],[Profit]]/Table1[[#This Row],[Sales]]</f>
        <v>0.25</v>
      </c>
      <c r="K1925" t="str">
        <f ca="1">TEXT(Table1[[#This Row],[Order_Date]],"mmm")</f>
        <v>Jul</v>
      </c>
      <c r="L1925">
        <f ca="1">YEAR(Table1[[#This Row],[Order_Date]])</f>
        <v>2023</v>
      </c>
    </row>
    <row r="1926" spans="1:12" x14ac:dyDescent="0.3">
      <c r="A1926">
        <f t="shared" si="120"/>
        <v>1925</v>
      </c>
      <c r="B1926" s="1">
        <f t="shared" ca="1" si="121"/>
        <v>45192</v>
      </c>
      <c r="C1926" t="s">
        <v>7</v>
      </c>
      <c r="D1926" t="str">
        <f t="shared" ca="1" si="122"/>
        <v>Electronics</v>
      </c>
      <c r="E1926" t="s">
        <v>84</v>
      </c>
      <c r="F1926" s="11">
        <v>12142</v>
      </c>
      <c r="G1926">
        <f t="shared" ca="1" si="123"/>
        <v>10</v>
      </c>
      <c r="H1926" s="11">
        <f ca="1">IF(Table1[[#This Row],[Category]]="Electronics",Table1[[#This Row],[Sales]]*0.6,
IF(Table1[[#This Row],[Category]]="Furniture",Table1[[#This Row],[Sales]]*0.75,
IF(Table1[[#This Row],[Category]]="Clothing",Table1[[#This Row],[Sales]]*0.65,
Table1[[#This Row],[Sales]]*0.7)))</f>
        <v>7285.2</v>
      </c>
      <c r="I1926" s="11">
        <f ca="1">Table1[[#This Row],[Sales]]-H1926</f>
        <v>4856.8</v>
      </c>
      <c r="J1926" s="2">
        <f ca="1">Table1[[#This Row],[Profit]]/Table1[[#This Row],[Sales]]</f>
        <v>0.4</v>
      </c>
      <c r="K1926" t="str">
        <f ca="1">TEXT(Table1[[#This Row],[Order_Date]],"mmm")</f>
        <v>Sep</v>
      </c>
      <c r="L1926">
        <f ca="1">YEAR(Table1[[#This Row],[Order_Date]])</f>
        <v>2023</v>
      </c>
    </row>
    <row r="1927" spans="1:12" x14ac:dyDescent="0.3">
      <c r="A1927">
        <f t="shared" si="120"/>
        <v>1926</v>
      </c>
      <c r="B1927" s="1">
        <f t="shared" ca="1" si="121"/>
        <v>45205</v>
      </c>
      <c r="C1927" t="s">
        <v>8</v>
      </c>
      <c r="D1927" t="str">
        <f t="shared" ca="1" si="122"/>
        <v>Clothing</v>
      </c>
      <c r="E1927" t="s">
        <v>79</v>
      </c>
      <c r="F1927" s="11">
        <v>13817</v>
      </c>
      <c r="G1927">
        <f t="shared" ca="1" si="123"/>
        <v>9</v>
      </c>
      <c r="H1927" s="11">
        <f ca="1">IF(Table1[[#This Row],[Category]]="Electronics",Table1[[#This Row],[Sales]]*0.6,
IF(Table1[[#This Row],[Category]]="Furniture",Table1[[#This Row],[Sales]]*0.75,
IF(Table1[[#This Row],[Category]]="Clothing",Table1[[#This Row],[Sales]]*0.65,
Table1[[#This Row],[Sales]]*0.7)))</f>
        <v>8981.0500000000011</v>
      </c>
      <c r="I1927" s="11">
        <f ca="1">Table1[[#This Row],[Sales]]-H1927</f>
        <v>4835.9499999999989</v>
      </c>
      <c r="J1927" s="2">
        <f ca="1">Table1[[#This Row],[Profit]]/Table1[[#This Row],[Sales]]</f>
        <v>0.34999999999999992</v>
      </c>
      <c r="K1927" t="str">
        <f ca="1">TEXT(Table1[[#This Row],[Order_Date]],"mmm")</f>
        <v>Oct</v>
      </c>
      <c r="L1927">
        <f ca="1">YEAR(Table1[[#This Row],[Order_Date]])</f>
        <v>2023</v>
      </c>
    </row>
    <row r="1928" spans="1:12" x14ac:dyDescent="0.3">
      <c r="A1928">
        <f t="shared" si="120"/>
        <v>1927</v>
      </c>
      <c r="B1928" s="1">
        <f t="shared" ca="1" si="121"/>
        <v>45269</v>
      </c>
      <c r="C1928" t="s">
        <v>9</v>
      </c>
      <c r="D1928" t="str">
        <f t="shared" ca="1" si="122"/>
        <v>Furniture</v>
      </c>
      <c r="E1928" t="s">
        <v>53</v>
      </c>
      <c r="F1928" s="11">
        <v>18221</v>
      </c>
      <c r="G1928">
        <f t="shared" ca="1" si="123"/>
        <v>8</v>
      </c>
      <c r="H1928" s="11">
        <f ca="1">IF(Table1[[#This Row],[Category]]="Electronics",Table1[[#This Row],[Sales]]*0.6,
IF(Table1[[#This Row],[Category]]="Furniture",Table1[[#This Row],[Sales]]*0.75,
IF(Table1[[#This Row],[Category]]="Clothing",Table1[[#This Row],[Sales]]*0.65,
Table1[[#This Row],[Sales]]*0.7)))</f>
        <v>13665.75</v>
      </c>
      <c r="I1928" s="11">
        <f ca="1">Table1[[#This Row],[Sales]]-H1928</f>
        <v>4555.25</v>
      </c>
      <c r="J1928" s="2">
        <f ca="1">Table1[[#This Row],[Profit]]/Table1[[#This Row],[Sales]]</f>
        <v>0.25</v>
      </c>
      <c r="K1928" t="str">
        <f ca="1">TEXT(Table1[[#This Row],[Order_Date]],"mmm")</f>
        <v>Dec</v>
      </c>
      <c r="L1928">
        <f ca="1">YEAR(Table1[[#This Row],[Order_Date]])</f>
        <v>2023</v>
      </c>
    </row>
    <row r="1929" spans="1:12" x14ac:dyDescent="0.3">
      <c r="A1929">
        <f t="shared" si="120"/>
        <v>1928</v>
      </c>
      <c r="B1929" s="1">
        <f t="shared" ca="1" si="121"/>
        <v>45175</v>
      </c>
      <c r="C1929" t="s">
        <v>10</v>
      </c>
      <c r="D1929" t="str">
        <f t="shared" ca="1" si="122"/>
        <v>Electronics</v>
      </c>
      <c r="E1929" t="s">
        <v>71</v>
      </c>
      <c r="F1929" s="11">
        <v>2740</v>
      </c>
      <c r="G1929">
        <f t="shared" ca="1" si="123"/>
        <v>2</v>
      </c>
      <c r="H1929" s="11">
        <f ca="1">IF(Table1[[#This Row],[Category]]="Electronics",Table1[[#This Row],[Sales]]*0.6,
IF(Table1[[#This Row],[Category]]="Furniture",Table1[[#This Row],[Sales]]*0.75,
IF(Table1[[#This Row],[Category]]="Clothing",Table1[[#This Row],[Sales]]*0.65,
Table1[[#This Row],[Sales]]*0.7)))</f>
        <v>1644</v>
      </c>
      <c r="I1929" s="11">
        <f ca="1">Table1[[#This Row],[Sales]]-H1929</f>
        <v>1096</v>
      </c>
      <c r="J1929" s="2">
        <f ca="1">Table1[[#This Row],[Profit]]/Table1[[#This Row],[Sales]]</f>
        <v>0.4</v>
      </c>
      <c r="K1929" t="str">
        <f ca="1">TEXT(Table1[[#This Row],[Order_Date]],"mmm")</f>
        <v>Sep</v>
      </c>
      <c r="L1929">
        <f ca="1">YEAR(Table1[[#This Row],[Order_Date]])</f>
        <v>2023</v>
      </c>
    </row>
    <row r="1930" spans="1:12" x14ac:dyDescent="0.3">
      <c r="A1930">
        <f t="shared" si="120"/>
        <v>1929</v>
      </c>
      <c r="B1930" s="1">
        <f t="shared" ca="1" si="121"/>
        <v>45005</v>
      </c>
      <c r="C1930" t="s">
        <v>7</v>
      </c>
      <c r="D1930" t="str">
        <f t="shared" ca="1" si="122"/>
        <v>Clothing</v>
      </c>
      <c r="E1930" t="s">
        <v>74</v>
      </c>
      <c r="F1930" s="11">
        <v>15846</v>
      </c>
      <c r="G1930">
        <f t="shared" ca="1" si="123"/>
        <v>4</v>
      </c>
      <c r="H1930" s="11">
        <f ca="1">IF(Table1[[#This Row],[Category]]="Electronics",Table1[[#This Row],[Sales]]*0.6,
IF(Table1[[#This Row],[Category]]="Furniture",Table1[[#This Row],[Sales]]*0.75,
IF(Table1[[#This Row],[Category]]="Clothing",Table1[[#This Row],[Sales]]*0.65,
Table1[[#This Row],[Sales]]*0.7)))</f>
        <v>10299.9</v>
      </c>
      <c r="I1930" s="11">
        <f ca="1">Table1[[#This Row],[Sales]]-H1930</f>
        <v>5546.1</v>
      </c>
      <c r="J1930" s="2">
        <f ca="1">Table1[[#This Row],[Profit]]/Table1[[#This Row],[Sales]]</f>
        <v>0.35000000000000003</v>
      </c>
      <c r="K1930" t="str">
        <f ca="1">TEXT(Table1[[#This Row],[Order_Date]],"mmm")</f>
        <v>Mar</v>
      </c>
      <c r="L1930">
        <f ca="1">YEAR(Table1[[#This Row],[Order_Date]])</f>
        <v>2023</v>
      </c>
    </row>
    <row r="1931" spans="1:12" x14ac:dyDescent="0.3">
      <c r="A1931">
        <f t="shared" si="120"/>
        <v>1930</v>
      </c>
      <c r="B1931" s="1">
        <f t="shared" ca="1" si="121"/>
        <v>45266</v>
      </c>
      <c r="C1931" t="s">
        <v>8</v>
      </c>
      <c r="D1931" t="str">
        <f t="shared" ca="1" si="122"/>
        <v>Furniture</v>
      </c>
      <c r="E1931" t="s">
        <v>40</v>
      </c>
      <c r="F1931" s="11">
        <v>14121</v>
      </c>
      <c r="G1931">
        <f t="shared" ca="1" si="123"/>
        <v>10</v>
      </c>
      <c r="H1931" s="11">
        <f ca="1">IF(Table1[[#This Row],[Category]]="Electronics",Table1[[#This Row],[Sales]]*0.6,
IF(Table1[[#This Row],[Category]]="Furniture",Table1[[#This Row],[Sales]]*0.75,
IF(Table1[[#This Row],[Category]]="Clothing",Table1[[#This Row],[Sales]]*0.65,
Table1[[#This Row],[Sales]]*0.7)))</f>
        <v>10590.75</v>
      </c>
      <c r="I1931" s="11">
        <f ca="1">Table1[[#This Row],[Sales]]-H1931</f>
        <v>3530.25</v>
      </c>
      <c r="J1931" s="2">
        <f ca="1">Table1[[#This Row],[Profit]]/Table1[[#This Row],[Sales]]</f>
        <v>0.25</v>
      </c>
      <c r="K1931" t="str">
        <f ca="1">TEXT(Table1[[#This Row],[Order_Date]],"mmm")</f>
        <v>Dec</v>
      </c>
      <c r="L1931">
        <f ca="1">YEAR(Table1[[#This Row],[Order_Date]])</f>
        <v>2023</v>
      </c>
    </row>
    <row r="1932" spans="1:12" x14ac:dyDescent="0.3">
      <c r="A1932">
        <f t="shared" si="120"/>
        <v>1931</v>
      </c>
      <c r="B1932" s="1">
        <f t="shared" ca="1" si="121"/>
        <v>45005</v>
      </c>
      <c r="C1932" t="s">
        <v>9</v>
      </c>
      <c r="D1932" t="str">
        <f t="shared" ca="1" si="122"/>
        <v>Office Supplies</v>
      </c>
      <c r="E1932" t="s">
        <v>73</v>
      </c>
      <c r="F1932" s="11">
        <v>17109</v>
      </c>
      <c r="G1932">
        <f t="shared" ca="1" si="123"/>
        <v>5</v>
      </c>
      <c r="H1932" s="11">
        <f ca="1">IF(Table1[[#This Row],[Category]]="Electronics",Table1[[#This Row],[Sales]]*0.6,
IF(Table1[[#This Row],[Category]]="Furniture",Table1[[#This Row],[Sales]]*0.75,
IF(Table1[[#This Row],[Category]]="Clothing",Table1[[#This Row],[Sales]]*0.65,
Table1[[#This Row],[Sales]]*0.7)))</f>
        <v>11976.3</v>
      </c>
      <c r="I1932" s="11">
        <f ca="1">Table1[[#This Row],[Sales]]-H1932</f>
        <v>5132.7000000000007</v>
      </c>
      <c r="J1932" s="2">
        <f ca="1">Table1[[#This Row],[Profit]]/Table1[[#This Row],[Sales]]</f>
        <v>0.30000000000000004</v>
      </c>
      <c r="K1932" t="str">
        <f ca="1">TEXT(Table1[[#This Row],[Order_Date]],"mmm")</f>
        <v>Mar</v>
      </c>
      <c r="L1932">
        <f ca="1">YEAR(Table1[[#This Row],[Order_Date]])</f>
        <v>2023</v>
      </c>
    </row>
    <row r="1933" spans="1:12" x14ac:dyDescent="0.3">
      <c r="A1933">
        <f t="shared" si="120"/>
        <v>1932</v>
      </c>
      <c r="B1933" s="1">
        <f t="shared" ca="1" si="121"/>
        <v>45156</v>
      </c>
      <c r="C1933" t="s">
        <v>10</v>
      </c>
      <c r="D1933" t="str">
        <f t="shared" ca="1" si="122"/>
        <v>Electronics</v>
      </c>
      <c r="E1933" t="s">
        <v>56</v>
      </c>
      <c r="F1933" s="11">
        <v>13096</v>
      </c>
      <c r="G1933">
        <f t="shared" ca="1" si="123"/>
        <v>1</v>
      </c>
      <c r="H1933" s="11">
        <f ca="1">IF(Table1[[#This Row],[Category]]="Electronics",Table1[[#This Row],[Sales]]*0.6,
IF(Table1[[#This Row],[Category]]="Furniture",Table1[[#This Row],[Sales]]*0.75,
IF(Table1[[#This Row],[Category]]="Clothing",Table1[[#This Row],[Sales]]*0.65,
Table1[[#This Row],[Sales]]*0.7)))</f>
        <v>7857.5999999999995</v>
      </c>
      <c r="I1933" s="11">
        <f ca="1">Table1[[#This Row],[Sales]]-H1933</f>
        <v>5238.4000000000005</v>
      </c>
      <c r="J1933" s="2">
        <f ca="1">Table1[[#This Row],[Profit]]/Table1[[#This Row],[Sales]]</f>
        <v>0.4</v>
      </c>
      <c r="K1933" t="str">
        <f ca="1">TEXT(Table1[[#This Row],[Order_Date]],"mmm")</f>
        <v>Aug</v>
      </c>
      <c r="L1933">
        <f ca="1">YEAR(Table1[[#This Row],[Order_Date]])</f>
        <v>2023</v>
      </c>
    </row>
    <row r="1934" spans="1:12" x14ac:dyDescent="0.3">
      <c r="A1934">
        <f t="shared" si="120"/>
        <v>1933</v>
      </c>
      <c r="B1934" s="1">
        <f t="shared" ca="1" si="121"/>
        <v>44986</v>
      </c>
      <c r="C1934" t="s">
        <v>7</v>
      </c>
      <c r="D1934" t="str">
        <f t="shared" ca="1" si="122"/>
        <v>Electronics</v>
      </c>
      <c r="E1934" t="s">
        <v>54</v>
      </c>
      <c r="F1934" s="11">
        <v>16059</v>
      </c>
      <c r="G1934">
        <f t="shared" ca="1" si="123"/>
        <v>1</v>
      </c>
      <c r="H1934" s="11">
        <f ca="1">IF(Table1[[#This Row],[Category]]="Electronics",Table1[[#This Row],[Sales]]*0.6,
IF(Table1[[#This Row],[Category]]="Furniture",Table1[[#This Row],[Sales]]*0.75,
IF(Table1[[#This Row],[Category]]="Clothing",Table1[[#This Row],[Sales]]*0.65,
Table1[[#This Row],[Sales]]*0.7)))</f>
        <v>9635.4</v>
      </c>
      <c r="I1934" s="11">
        <f ca="1">Table1[[#This Row],[Sales]]-H1934</f>
        <v>6423.6</v>
      </c>
      <c r="J1934" s="2">
        <f ca="1">Table1[[#This Row],[Profit]]/Table1[[#This Row],[Sales]]</f>
        <v>0.4</v>
      </c>
      <c r="K1934" t="str">
        <f ca="1">TEXT(Table1[[#This Row],[Order_Date]],"mmm")</f>
        <v>Mar</v>
      </c>
      <c r="L1934">
        <f ca="1">YEAR(Table1[[#This Row],[Order_Date]])</f>
        <v>2023</v>
      </c>
    </row>
    <row r="1935" spans="1:12" x14ac:dyDescent="0.3">
      <c r="A1935">
        <f t="shared" si="120"/>
        <v>1934</v>
      </c>
      <c r="B1935" s="1">
        <f t="shared" ca="1" si="121"/>
        <v>45178</v>
      </c>
      <c r="C1935" t="s">
        <v>8</v>
      </c>
      <c r="D1935" t="str">
        <f t="shared" ca="1" si="122"/>
        <v>Office Supplies</v>
      </c>
      <c r="E1935" t="s">
        <v>39</v>
      </c>
      <c r="F1935" s="11">
        <v>771</v>
      </c>
      <c r="G1935">
        <f t="shared" ca="1" si="123"/>
        <v>2</v>
      </c>
      <c r="H1935" s="11">
        <f ca="1">IF(Table1[[#This Row],[Category]]="Electronics",Table1[[#This Row],[Sales]]*0.6,
IF(Table1[[#This Row],[Category]]="Furniture",Table1[[#This Row],[Sales]]*0.75,
IF(Table1[[#This Row],[Category]]="Clothing",Table1[[#This Row],[Sales]]*0.65,
Table1[[#This Row],[Sales]]*0.7)))</f>
        <v>539.69999999999993</v>
      </c>
      <c r="I1935" s="11">
        <f ca="1">Table1[[#This Row],[Sales]]-H1935</f>
        <v>231.30000000000007</v>
      </c>
      <c r="J1935" s="2">
        <f ca="1">Table1[[#This Row],[Profit]]/Table1[[#This Row],[Sales]]</f>
        <v>0.3000000000000001</v>
      </c>
      <c r="K1935" t="str">
        <f ca="1">TEXT(Table1[[#This Row],[Order_Date]],"mmm")</f>
        <v>Sep</v>
      </c>
      <c r="L1935">
        <f ca="1">YEAR(Table1[[#This Row],[Order_Date]])</f>
        <v>2023</v>
      </c>
    </row>
    <row r="1936" spans="1:12" x14ac:dyDescent="0.3">
      <c r="A1936">
        <f t="shared" si="120"/>
        <v>1935</v>
      </c>
      <c r="B1936" s="1">
        <f t="shared" ca="1" si="121"/>
        <v>45093</v>
      </c>
      <c r="C1936" t="s">
        <v>9</v>
      </c>
      <c r="D1936" t="str">
        <f t="shared" ca="1" si="122"/>
        <v>Furniture</v>
      </c>
      <c r="E1936" t="s">
        <v>63</v>
      </c>
      <c r="F1936" s="11">
        <v>14801</v>
      </c>
      <c r="G1936">
        <f t="shared" ca="1" si="123"/>
        <v>10</v>
      </c>
      <c r="H1936" s="11">
        <f ca="1">IF(Table1[[#This Row],[Category]]="Electronics",Table1[[#This Row],[Sales]]*0.6,
IF(Table1[[#This Row],[Category]]="Furniture",Table1[[#This Row],[Sales]]*0.75,
IF(Table1[[#This Row],[Category]]="Clothing",Table1[[#This Row],[Sales]]*0.65,
Table1[[#This Row],[Sales]]*0.7)))</f>
        <v>11100.75</v>
      </c>
      <c r="I1936" s="11">
        <f ca="1">Table1[[#This Row],[Sales]]-H1936</f>
        <v>3700.25</v>
      </c>
      <c r="J1936" s="2">
        <f ca="1">Table1[[#This Row],[Profit]]/Table1[[#This Row],[Sales]]</f>
        <v>0.25</v>
      </c>
      <c r="K1936" t="str">
        <f ca="1">TEXT(Table1[[#This Row],[Order_Date]],"mmm")</f>
        <v>Jun</v>
      </c>
      <c r="L1936">
        <f ca="1">YEAR(Table1[[#This Row],[Order_Date]])</f>
        <v>2023</v>
      </c>
    </row>
    <row r="1937" spans="1:12" x14ac:dyDescent="0.3">
      <c r="A1937">
        <f t="shared" si="120"/>
        <v>1936</v>
      </c>
      <c r="B1937" s="1">
        <f t="shared" ca="1" si="121"/>
        <v>45090</v>
      </c>
      <c r="C1937" t="s">
        <v>10</v>
      </c>
      <c r="D1937" t="str">
        <f t="shared" ca="1" si="122"/>
        <v>Furniture</v>
      </c>
      <c r="E1937" t="s">
        <v>84</v>
      </c>
      <c r="F1937" s="11">
        <v>18372</v>
      </c>
      <c r="G1937">
        <f t="shared" ca="1" si="123"/>
        <v>2</v>
      </c>
      <c r="H1937" s="11">
        <f ca="1">IF(Table1[[#This Row],[Category]]="Electronics",Table1[[#This Row],[Sales]]*0.6,
IF(Table1[[#This Row],[Category]]="Furniture",Table1[[#This Row],[Sales]]*0.75,
IF(Table1[[#This Row],[Category]]="Clothing",Table1[[#This Row],[Sales]]*0.65,
Table1[[#This Row],[Sales]]*0.7)))</f>
        <v>13779</v>
      </c>
      <c r="I1937" s="11">
        <f ca="1">Table1[[#This Row],[Sales]]-H1937</f>
        <v>4593</v>
      </c>
      <c r="J1937" s="2">
        <f ca="1">Table1[[#This Row],[Profit]]/Table1[[#This Row],[Sales]]</f>
        <v>0.25</v>
      </c>
      <c r="K1937" t="str">
        <f ca="1">TEXT(Table1[[#This Row],[Order_Date]],"mmm")</f>
        <v>Jun</v>
      </c>
      <c r="L1937">
        <f ca="1">YEAR(Table1[[#This Row],[Order_Date]])</f>
        <v>2023</v>
      </c>
    </row>
    <row r="1938" spans="1:12" x14ac:dyDescent="0.3">
      <c r="A1938">
        <f t="shared" si="120"/>
        <v>1937</v>
      </c>
      <c r="B1938" s="1">
        <f t="shared" ca="1" si="121"/>
        <v>45161</v>
      </c>
      <c r="C1938" t="s">
        <v>7</v>
      </c>
      <c r="D1938" t="str">
        <f t="shared" ca="1" si="122"/>
        <v>Office Supplies</v>
      </c>
      <c r="E1938" t="s">
        <v>66</v>
      </c>
      <c r="F1938" s="11">
        <v>4554</v>
      </c>
      <c r="G1938">
        <f t="shared" ca="1" si="123"/>
        <v>9</v>
      </c>
      <c r="H1938" s="11">
        <f ca="1">IF(Table1[[#This Row],[Category]]="Electronics",Table1[[#This Row],[Sales]]*0.6,
IF(Table1[[#This Row],[Category]]="Furniture",Table1[[#This Row],[Sales]]*0.75,
IF(Table1[[#This Row],[Category]]="Clothing",Table1[[#This Row],[Sales]]*0.65,
Table1[[#This Row],[Sales]]*0.7)))</f>
        <v>3187.7999999999997</v>
      </c>
      <c r="I1938" s="11">
        <f ca="1">Table1[[#This Row],[Sales]]-H1938</f>
        <v>1366.2000000000003</v>
      </c>
      <c r="J1938" s="2">
        <f ca="1">Table1[[#This Row],[Profit]]/Table1[[#This Row],[Sales]]</f>
        <v>0.30000000000000004</v>
      </c>
      <c r="K1938" t="str">
        <f ca="1">TEXT(Table1[[#This Row],[Order_Date]],"mmm")</f>
        <v>Aug</v>
      </c>
      <c r="L1938">
        <f ca="1">YEAR(Table1[[#This Row],[Order_Date]])</f>
        <v>2023</v>
      </c>
    </row>
    <row r="1939" spans="1:12" x14ac:dyDescent="0.3">
      <c r="A1939">
        <f t="shared" si="120"/>
        <v>1938</v>
      </c>
      <c r="B1939" s="1">
        <f t="shared" ca="1" si="121"/>
        <v>45030</v>
      </c>
      <c r="C1939" t="s">
        <v>8</v>
      </c>
      <c r="D1939" t="str">
        <f t="shared" ca="1" si="122"/>
        <v>Clothing</v>
      </c>
      <c r="E1939" t="s">
        <v>47</v>
      </c>
      <c r="F1939" s="11">
        <v>1358</v>
      </c>
      <c r="G1939">
        <f t="shared" ca="1" si="123"/>
        <v>8</v>
      </c>
      <c r="H1939" s="11">
        <f ca="1">IF(Table1[[#This Row],[Category]]="Electronics",Table1[[#This Row],[Sales]]*0.6,
IF(Table1[[#This Row],[Category]]="Furniture",Table1[[#This Row],[Sales]]*0.75,
IF(Table1[[#This Row],[Category]]="Clothing",Table1[[#This Row],[Sales]]*0.65,
Table1[[#This Row],[Sales]]*0.7)))</f>
        <v>882.7</v>
      </c>
      <c r="I1939" s="11">
        <f ca="1">Table1[[#This Row],[Sales]]-H1939</f>
        <v>475.29999999999995</v>
      </c>
      <c r="J1939" s="2">
        <f ca="1">Table1[[#This Row],[Profit]]/Table1[[#This Row],[Sales]]</f>
        <v>0.35</v>
      </c>
      <c r="K1939" t="str">
        <f ca="1">TEXT(Table1[[#This Row],[Order_Date]],"mmm")</f>
        <v>Apr</v>
      </c>
      <c r="L1939">
        <f ca="1">YEAR(Table1[[#This Row],[Order_Date]])</f>
        <v>2023</v>
      </c>
    </row>
    <row r="1940" spans="1:12" x14ac:dyDescent="0.3">
      <c r="A1940">
        <f t="shared" si="120"/>
        <v>1939</v>
      </c>
      <c r="B1940" s="1">
        <f t="shared" ca="1" si="121"/>
        <v>44962</v>
      </c>
      <c r="C1940" t="s">
        <v>9</v>
      </c>
      <c r="D1940" t="str">
        <f t="shared" ca="1" si="122"/>
        <v>Furniture</v>
      </c>
      <c r="E1940" t="s">
        <v>70</v>
      </c>
      <c r="F1940" s="11">
        <v>15088</v>
      </c>
      <c r="G1940">
        <f t="shared" ca="1" si="123"/>
        <v>10</v>
      </c>
      <c r="H1940" s="11">
        <f ca="1">IF(Table1[[#This Row],[Category]]="Electronics",Table1[[#This Row],[Sales]]*0.6,
IF(Table1[[#This Row],[Category]]="Furniture",Table1[[#This Row],[Sales]]*0.75,
IF(Table1[[#This Row],[Category]]="Clothing",Table1[[#This Row],[Sales]]*0.65,
Table1[[#This Row],[Sales]]*0.7)))</f>
        <v>11316</v>
      </c>
      <c r="I1940" s="11">
        <f ca="1">Table1[[#This Row],[Sales]]-H1940</f>
        <v>3772</v>
      </c>
      <c r="J1940" s="2">
        <f ca="1">Table1[[#This Row],[Profit]]/Table1[[#This Row],[Sales]]</f>
        <v>0.25</v>
      </c>
      <c r="K1940" t="str">
        <f ca="1">TEXT(Table1[[#This Row],[Order_Date]],"mmm")</f>
        <v>Feb</v>
      </c>
      <c r="L1940">
        <f ca="1">YEAR(Table1[[#This Row],[Order_Date]])</f>
        <v>2023</v>
      </c>
    </row>
    <row r="1941" spans="1:12" x14ac:dyDescent="0.3">
      <c r="A1941">
        <f t="shared" si="120"/>
        <v>1940</v>
      </c>
      <c r="B1941" s="1">
        <f t="shared" ca="1" si="121"/>
        <v>44934</v>
      </c>
      <c r="C1941" t="s">
        <v>10</v>
      </c>
      <c r="D1941" t="str">
        <f t="shared" ca="1" si="122"/>
        <v>Electronics</v>
      </c>
      <c r="E1941" t="s">
        <v>51</v>
      </c>
      <c r="F1941" s="11">
        <v>13759</v>
      </c>
      <c r="G1941">
        <f t="shared" ca="1" si="123"/>
        <v>10</v>
      </c>
      <c r="H1941" s="11">
        <f ca="1">IF(Table1[[#This Row],[Category]]="Electronics",Table1[[#This Row],[Sales]]*0.6,
IF(Table1[[#This Row],[Category]]="Furniture",Table1[[#This Row],[Sales]]*0.75,
IF(Table1[[#This Row],[Category]]="Clothing",Table1[[#This Row],[Sales]]*0.65,
Table1[[#This Row],[Sales]]*0.7)))</f>
        <v>8255.4</v>
      </c>
      <c r="I1941" s="11">
        <f ca="1">Table1[[#This Row],[Sales]]-H1941</f>
        <v>5503.6</v>
      </c>
      <c r="J1941" s="2">
        <f ca="1">Table1[[#This Row],[Profit]]/Table1[[#This Row],[Sales]]</f>
        <v>0.4</v>
      </c>
      <c r="K1941" t="str">
        <f ca="1">TEXT(Table1[[#This Row],[Order_Date]],"mmm")</f>
        <v>Jan</v>
      </c>
      <c r="L1941">
        <f ca="1">YEAR(Table1[[#This Row],[Order_Date]])</f>
        <v>2023</v>
      </c>
    </row>
    <row r="1942" spans="1:12" x14ac:dyDescent="0.3">
      <c r="A1942">
        <f t="shared" si="120"/>
        <v>1941</v>
      </c>
      <c r="B1942" s="1">
        <f t="shared" ca="1" si="121"/>
        <v>45069</v>
      </c>
      <c r="C1942" t="s">
        <v>7</v>
      </c>
      <c r="D1942" t="str">
        <f t="shared" ca="1" si="122"/>
        <v>Electronics</v>
      </c>
      <c r="E1942" t="s">
        <v>38</v>
      </c>
      <c r="F1942" s="11">
        <v>8456</v>
      </c>
      <c r="G1942">
        <f t="shared" ca="1" si="123"/>
        <v>3</v>
      </c>
      <c r="H1942" s="11">
        <f ca="1">IF(Table1[[#This Row],[Category]]="Electronics",Table1[[#This Row],[Sales]]*0.6,
IF(Table1[[#This Row],[Category]]="Furniture",Table1[[#This Row],[Sales]]*0.75,
IF(Table1[[#This Row],[Category]]="Clothing",Table1[[#This Row],[Sales]]*0.65,
Table1[[#This Row],[Sales]]*0.7)))</f>
        <v>5073.5999999999995</v>
      </c>
      <c r="I1942" s="11">
        <f ca="1">Table1[[#This Row],[Sales]]-H1942</f>
        <v>3382.4000000000005</v>
      </c>
      <c r="J1942" s="2">
        <f ca="1">Table1[[#This Row],[Profit]]/Table1[[#This Row],[Sales]]</f>
        <v>0.40000000000000008</v>
      </c>
      <c r="K1942" t="str">
        <f ca="1">TEXT(Table1[[#This Row],[Order_Date]],"mmm")</f>
        <v>May</v>
      </c>
      <c r="L1942">
        <f ca="1">YEAR(Table1[[#This Row],[Order_Date]])</f>
        <v>2023</v>
      </c>
    </row>
    <row r="1943" spans="1:12" x14ac:dyDescent="0.3">
      <c r="A1943">
        <f t="shared" si="120"/>
        <v>1942</v>
      </c>
      <c r="B1943" s="1">
        <f t="shared" ca="1" si="121"/>
        <v>44960</v>
      </c>
      <c r="C1943" t="s">
        <v>8</v>
      </c>
      <c r="D1943" t="str">
        <f t="shared" ca="1" si="122"/>
        <v>Clothing</v>
      </c>
      <c r="E1943" t="s">
        <v>41</v>
      </c>
      <c r="F1943" s="11">
        <v>18719</v>
      </c>
      <c r="G1943">
        <f t="shared" ca="1" si="123"/>
        <v>8</v>
      </c>
      <c r="H1943" s="11">
        <f ca="1">IF(Table1[[#This Row],[Category]]="Electronics",Table1[[#This Row],[Sales]]*0.6,
IF(Table1[[#This Row],[Category]]="Furniture",Table1[[#This Row],[Sales]]*0.75,
IF(Table1[[#This Row],[Category]]="Clothing",Table1[[#This Row],[Sales]]*0.65,
Table1[[#This Row],[Sales]]*0.7)))</f>
        <v>12167.35</v>
      </c>
      <c r="I1943" s="11">
        <f ca="1">Table1[[#This Row],[Sales]]-H1943</f>
        <v>6551.65</v>
      </c>
      <c r="J1943" s="2">
        <f ca="1">Table1[[#This Row],[Profit]]/Table1[[#This Row],[Sales]]</f>
        <v>0.35</v>
      </c>
      <c r="K1943" t="str">
        <f ca="1">TEXT(Table1[[#This Row],[Order_Date]],"mmm")</f>
        <v>Feb</v>
      </c>
      <c r="L1943">
        <f ca="1">YEAR(Table1[[#This Row],[Order_Date]])</f>
        <v>2023</v>
      </c>
    </row>
    <row r="1944" spans="1:12" x14ac:dyDescent="0.3">
      <c r="A1944">
        <f t="shared" si="120"/>
        <v>1943</v>
      </c>
      <c r="B1944" s="1">
        <f t="shared" ca="1" si="121"/>
        <v>45254</v>
      </c>
      <c r="C1944" t="s">
        <v>9</v>
      </c>
      <c r="D1944" t="str">
        <f t="shared" ca="1" si="122"/>
        <v>Furniture</v>
      </c>
      <c r="E1944" t="s">
        <v>47</v>
      </c>
      <c r="F1944" s="11">
        <v>6317</v>
      </c>
      <c r="G1944">
        <f t="shared" ca="1" si="123"/>
        <v>5</v>
      </c>
      <c r="H1944" s="11">
        <f ca="1">IF(Table1[[#This Row],[Category]]="Electronics",Table1[[#This Row],[Sales]]*0.6,
IF(Table1[[#This Row],[Category]]="Furniture",Table1[[#This Row],[Sales]]*0.75,
IF(Table1[[#This Row],[Category]]="Clothing",Table1[[#This Row],[Sales]]*0.65,
Table1[[#This Row],[Sales]]*0.7)))</f>
        <v>4737.75</v>
      </c>
      <c r="I1944" s="11">
        <f ca="1">Table1[[#This Row],[Sales]]-H1944</f>
        <v>1579.25</v>
      </c>
      <c r="J1944" s="2">
        <f ca="1">Table1[[#This Row],[Profit]]/Table1[[#This Row],[Sales]]</f>
        <v>0.25</v>
      </c>
      <c r="K1944" t="str">
        <f ca="1">TEXT(Table1[[#This Row],[Order_Date]],"mmm")</f>
        <v>Nov</v>
      </c>
      <c r="L1944">
        <f ca="1">YEAR(Table1[[#This Row],[Order_Date]])</f>
        <v>2023</v>
      </c>
    </row>
    <row r="1945" spans="1:12" x14ac:dyDescent="0.3">
      <c r="A1945">
        <f t="shared" si="120"/>
        <v>1944</v>
      </c>
      <c r="B1945" s="1">
        <f t="shared" ca="1" si="121"/>
        <v>45146</v>
      </c>
      <c r="C1945" t="s">
        <v>10</v>
      </c>
      <c r="D1945" t="str">
        <f t="shared" ca="1" si="122"/>
        <v>Clothing</v>
      </c>
      <c r="E1945" t="s">
        <v>51</v>
      </c>
      <c r="F1945" s="11">
        <v>4009</v>
      </c>
      <c r="G1945">
        <f t="shared" ca="1" si="123"/>
        <v>10</v>
      </c>
      <c r="H1945" s="11">
        <f ca="1">IF(Table1[[#This Row],[Category]]="Electronics",Table1[[#This Row],[Sales]]*0.6,
IF(Table1[[#This Row],[Category]]="Furniture",Table1[[#This Row],[Sales]]*0.75,
IF(Table1[[#This Row],[Category]]="Clothing",Table1[[#This Row],[Sales]]*0.65,
Table1[[#This Row],[Sales]]*0.7)))</f>
        <v>2605.85</v>
      </c>
      <c r="I1945" s="11">
        <f ca="1">Table1[[#This Row],[Sales]]-H1945</f>
        <v>1403.15</v>
      </c>
      <c r="J1945" s="2">
        <f ca="1">Table1[[#This Row],[Profit]]/Table1[[#This Row],[Sales]]</f>
        <v>0.35000000000000003</v>
      </c>
      <c r="K1945" t="str">
        <f ca="1">TEXT(Table1[[#This Row],[Order_Date]],"mmm")</f>
        <v>Aug</v>
      </c>
      <c r="L1945">
        <f ca="1">YEAR(Table1[[#This Row],[Order_Date]])</f>
        <v>2023</v>
      </c>
    </row>
    <row r="1946" spans="1:12" x14ac:dyDescent="0.3">
      <c r="A1946">
        <f t="shared" si="120"/>
        <v>1945</v>
      </c>
      <c r="B1946" s="1">
        <f t="shared" ca="1" si="121"/>
        <v>45058</v>
      </c>
      <c r="C1946" t="s">
        <v>7</v>
      </c>
      <c r="D1946" t="str">
        <f t="shared" ca="1" si="122"/>
        <v>Clothing</v>
      </c>
      <c r="E1946" t="s">
        <v>69</v>
      </c>
      <c r="F1946" s="11">
        <v>15703</v>
      </c>
      <c r="G1946">
        <f t="shared" ca="1" si="123"/>
        <v>5</v>
      </c>
      <c r="H1946" s="11">
        <f ca="1">IF(Table1[[#This Row],[Category]]="Electronics",Table1[[#This Row],[Sales]]*0.6,
IF(Table1[[#This Row],[Category]]="Furniture",Table1[[#This Row],[Sales]]*0.75,
IF(Table1[[#This Row],[Category]]="Clothing",Table1[[#This Row],[Sales]]*0.65,
Table1[[#This Row],[Sales]]*0.7)))</f>
        <v>10206.950000000001</v>
      </c>
      <c r="I1946" s="11">
        <f ca="1">Table1[[#This Row],[Sales]]-H1946</f>
        <v>5496.0499999999993</v>
      </c>
      <c r="J1946" s="2">
        <f ca="1">Table1[[#This Row],[Profit]]/Table1[[#This Row],[Sales]]</f>
        <v>0.35</v>
      </c>
      <c r="K1946" t="str">
        <f ca="1">TEXT(Table1[[#This Row],[Order_Date]],"mmm")</f>
        <v>May</v>
      </c>
      <c r="L1946">
        <f ca="1">YEAR(Table1[[#This Row],[Order_Date]])</f>
        <v>2023</v>
      </c>
    </row>
    <row r="1947" spans="1:12" x14ac:dyDescent="0.3">
      <c r="A1947">
        <f t="shared" si="120"/>
        <v>1946</v>
      </c>
      <c r="B1947" s="1">
        <f t="shared" ca="1" si="121"/>
        <v>44946</v>
      </c>
      <c r="C1947" t="s">
        <v>8</v>
      </c>
      <c r="D1947" t="str">
        <f t="shared" ca="1" si="122"/>
        <v>Furniture</v>
      </c>
      <c r="E1947" t="s">
        <v>50</v>
      </c>
      <c r="F1947" s="11">
        <v>10762</v>
      </c>
      <c r="G1947">
        <f t="shared" ca="1" si="123"/>
        <v>4</v>
      </c>
      <c r="H1947" s="11">
        <f ca="1">IF(Table1[[#This Row],[Category]]="Electronics",Table1[[#This Row],[Sales]]*0.6,
IF(Table1[[#This Row],[Category]]="Furniture",Table1[[#This Row],[Sales]]*0.75,
IF(Table1[[#This Row],[Category]]="Clothing",Table1[[#This Row],[Sales]]*0.65,
Table1[[#This Row],[Sales]]*0.7)))</f>
        <v>8071.5</v>
      </c>
      <c r="I1947" s="11">
        <f ca="1">Table1[[#This Row],[Sales]]-H1947</f>
        <v>2690.5</v>
      </c>
      <c r="J1947" s="2">
        <f ca="1">Table1[[#This Row],[Profit]]/Table1[[#This Row],[Sales]]</f>
        <v>0.25</v>
      </c>
      <c r="K1947" t="str">
        <f ca="1">TEXT(Table1[[#This Row],[Order_Date]],"mmm")</f>
        <v>Jan</v>
      </c>
      <c r="L1947">
        <f ca="1">YEAR(Table1[[#This Row],[Order_Date]])</f>
        <v>2023</v>
      </c>
    </row>
    <row r="1948" spans="1:12" x14ac:dyDescent="0.3">
      <c r="A1948">
        <f t="shared" si="120"/>
        <v>1947</v>
      </c>
      <c r="B1948" s="1">
        <f t="shared" ca="1" si="121"/>
        <v>45092</v>
      </c>
      <c r="C1948" t="s">
        <v>9</v>
      </c>
      <c r="D1948" t="str">
        <f t="shared" ca="1" si="122"/>
        <v>Office Supplies</v>
      </c>
      <c r="E1948" t="s">
        <v>58</v>
      </c>
      <c r="F1948" s="11">
        <v>10150</v>
      </c>
      <c r="G1948">
        <f t="shared" ca="1" si="123"/>
        <v>8</v>
      </c>
      <c r="H1948" s="11">
        <f ca="1">IF(Table1[[#This Row],[Category]]="Electronics",Table1[[#This Row],[Sales]]*0.6,
IF(Table1[[#This Row],[Category]]="Furniture",Table1[[#This Row],[Sales]]*0.75,
IF(Table1[[#This Row],[Category]]="Clothing",Table1[[#This Row],[Sales]]*0.65,
Table1[[#This Row],[Sales]]*0.7)))</f>
        <v>7105</v>
      </c>
      <c r="I1948" s="11">
        <f ca="1">Table1[[#This Row],[Sales]]-H1948</f>
        <v>3045</v>
      </c>
      <c r="J1948" s="2">
        <f ca="1">Table1[[#This Row],[Profit]]/Table1[[#This Row],[Sales]]</f>
        <v>0.3</v>
      </c>
      <c r="K1948" t="str">
        <f ca="1">TEXT(Table1[[#This Row],[Order_Date]],"mmm")</f>
        <v>Jun</v>
      </c>
      <c r="L1948">
        <f ca="1">YEAR(Table1[[#This Row],[Order_Date]])</f>
        <v>2023</v>
      </c>
    </row>
    <row r="1949" spans="1:12" x14ac:dyDescent="0.3">
      <c r="A1949">
        <f t="shared" si="120"/>
        <v>1948</v>
      </c>
      <c r="B1949" s="1">
        <f t="shared" ca="1" si="121"/>
        <v>45263</v>
      </c>
      <c r="C1949" t="s">
        <v>10</v>
      </c>
      <c r="D1949" t="str">
        <f t="shared" ca="1" si="122"/>
        <v>Office Supplies</v>
      </c>
      <c r="E1949" t="s">
        <v>57</v>
      </c>
      <c r="F1949" s="11">
        <v>503</v>
      </c>
      <c r="G1949">
        <f t="shared" ca="1" si="123"/>
        <v>7</v>
      </c>
      <c r="H1949" s="11">
        <f ca="1">IF(Table1[[#This Row],[Category]]="Electronics",Table1[[#This Row],[Sales]]*0.6,
IF(Table1[[#This Row],[Category]]="Furniture",Table1[[#This Row],[Sales]]*0.75,
IF(Table1[[#This Row],[Category]]="Clothing",Table1[[#This Row],[Sales]]*0.65,
Table1[[#This Row],[Sales]]*0.7)))</f>
        <v>352.09999999999997</v>
      </c>
      <c r="I1949" s="11">
        <f ca="1">Table1[[#This Row],[Sales]]-H1949</f>
        <v>150.90000000000003</v>
      </c>
      <c r="J1949" s="2">
        <f ca="1">Table1[[#This Row],[Profit]]/Table1[[#This Row],[Sales]]</f>
        <v>0.30000000000000004</v>
      </c>
      <c r="K1949" t="str">
        <f ca="1">TEXT(Table1[[#This Row],[Order_Date]],"mmm")</f>
        <v>Dec</v>
      </c>
      <c r="L1949">
        <f ca="1">YEAR(Table1[[#This Row],[Order_Date]])</f>
        <v>2023</v>
      </c>
    </row>
    <row r="1950" spans="1:12" x14ac:dyDescent="0.3">
      <c r="A1950">
        <f t="shared" si="120"/>
        <v>1949</v>
      </c>
      <c r="B1950" s="1">
        <f t="shared" ca="1" si="121"/>
        <v>45231</v>
      </c>
      <c r="C1950" t="s">
        <v>7</v>
      </c>
      <c r="D1950" t="str">
        <f t="shared" ca="1" si="122"/>
        <v>Electronics</v>
      </c>
      <c r="E1950" t="s">
        <v>84</v>
      </c>
      <c r="F1950" s="11">
        <v>19189</v>
      </c>
      <c r="G1950">
        <f t="shared" ca="1" si="123"/>
        <v>2</v>
      </c>
      <c r="H1950" s="11">
        <f ca="1">IF(Table1[[#This Row],[Category]]="Electronics",Table1[[#This Row],[Sales]]*0.6,
IF(Table1[[#This Row],[Category]]="Furniture",Table1[[#This Row],[Sales]]*0.75,
IF(Table1[[#This Row],[Category]]="Clothing",Table1[[#This Row],[Sales]]*0.65,
Table1[[#This Row],[Sales]]*0.7)))</f>
        <v>11513.4</v>
      </c>
      <c r="I1950" s="11">
        <f ca="1">Table1[[#This Row],[Sales]]-H1950</f>
        <v>7675.6</v>
      </c>
      <c r="J1950" s="2">
        <f ca="1">Table1[[#This Row],[Profit]]/Table1[[#This Row],[Sales]]</f>
        <v>0.4</v>
      </c>
      <c r="K1950" t="str">
        <f ca="1">TEXT(Table1[[#This Row],[Order_Date]],"mmm")</f>
        <v>Nov</v>
      </c>
      <c r="L1950">
        <f ca="1">YEAR(Table1[[#This Row],[Order_Date]])</f>
        <v>2023</v>
      </c>
    </row>
    <row r="1951" spans="1:12" x14ac:dyDescent="0.3">
      <c r="A1951">
        <f t="shared" si="120"/>
        <v>1950</v>
      </c>
      <c r="B1951" s="1">
        <f t="shared" ca="1" si="121"/>
        <v>45104</v>
      </c>
      <c r="C1951" t="s">
        <v>8</v>
      </c>
      <c r="D1951" t="str">
        <f t="shared" ca="1" si="122"/>
        <v>Electronics</v>
      </c>
      <c r="E1951" t="s">
        <v>75</v>
      </c>
      <c r="F1951" s="11">
        <v>15780</v>
      </c>
      <c r="G1951">
        <f t="shared" ca="1" si="123"/>
        <v>10</v>
      </c>
      <c r="H1951" s="11">
        <f ca="1">IF(Table1[[#This Row],[Category]]="Electronics",Table1[[#This Row],[Sales]]*0.6,
IF(Table1[[#This Row],[Category]]="Furniture",Table1[[#This Row],[Sales]]*0.75,
IF(Table1[[#This Row],[Category]]="Clothing",Table1[[#This Row],[Sales]]*0.65,
Table1[[#This Row],[Sales]]*0.7)))</f>
        <v>9468</v>
      </c>
      <c r="I1951" s="11">
        <f ca="1">Table1[[#This Row],[Sales]]-H1951</f>
        <v>6312</v>
      </c>
      <c r="J1951" s="2">
        <f ca="1">Table1[[#This Row],[Profit]]/Table1[[#This Row],[Sales]]</f>
        <v>0.4</v>
      </c>
      <c r="K1951" t="str">
        <f ca="1">TEXT(Table1[[#This Row],[Order_Date]],"mmm")</f>
        <v>Jun</v>
      </c>
      <c r="L1951">
        <f ca="1">YEAR(Table1[[#This Row],[Order_Date]])</f>
        <v>2023</v>
      </c>
    </row>
    <row r="1952" spans="1:12" x14ac:dyDescent="0.3">
      <c r="A1952">
        <f t="shared" si="120"/>
        <v>1951</v>
      </c>
      <c r="B1952" s="1">
        <f t="shared" ca="1" si="121"/>
        <v>45221</v>
      </c>
      <c r="C1952" t="s">
        <v>9</v>
      </c>
      <c r="D1952" t="str">
        <f t="shared" ca="1" si="122"/>
        <v>Clothing</v>
      </c>
      <c r="E1952" t="s">
        <v>73</v>
      </c>
      <c r="F1952" s="11">
        <v>7722</v>
      </c>
      <c r="G1952">
        <f t="shared" ca="1" si="123"/>
        <v>10</v>
      </c>
      <c r="H1952" s="11">
        <f ca="1">IF(Table1[[#This Row],[Category]]="Electronics",Table1[[#This Row],[Sales]]*0.6,
IF(Table1[[#This Row],[Category]]="Furniture",Table1[[#This Row],[Sales]]*0.75,
IF(Table1[[#This Row],[Category]]="Clothing",Table1[[#This Row],[Sales]]*0.65,
Table1[[#This Row],[Sales]]*0.7)))</f>
        <v>5019.3</v>
      </c>
      <c r="I1952" s="11">
        <f ca="1">Table1[[#This Row],[Sales]]-H1952</f>
        <v>2702.7</v>
      </c>
      <c r="J1952" s="2">
        <f ca="1">Table1[[#This Row],[Profit]]/Table1[[#This Row],[Sales]]</f>
        <v>0.35</v>
      </c>
      <c r="K1952" t="str">
        <f ca="1">TEXT(Table1[[#This Row],[Order_Date]],"mmm")</f>
        <v>Oct</v>
      </c>
      <c r="L1952">
        <f ca="1">YEAR(Table1[[#This Row],[Order_Date]])</f>
        <v>2023</v>
      </c>
    </row>
    <row r="1953" spans="1:12" x14ac:dyDescent="0.3">
      <c r="A1953">
        <f t="shared" si="120"/>
        <v>1952</v>
      </c>
      <c r="B1953" s="1">
        <f t="shared" ca="1" si="121"/>
        <v>45035</v>
      </c>
      <c r="C1953" t="s">
        <v>10</v>
      </c>
      <c r="D1953" t="str">
        <f t="shared" ca="1" si="122"/>
        <v>Office Supplies</v>
      </c>
      <c r="E1953" t="s">
        <v>77</v>
      </c>
      <c r="F1953" s="11">
        <v>7129</v>
      </c>
      <c r="G1953">
        <f t="shared" ca="1" si="123"/>
        <v>2</v>
      </c>
      <c r="H1953" s="11">
        <f ca="1">IF(Table1[[#This Row],[Category]]="Electronics",Table1[[#This Row],[Sales]]*0.6,
IF(Table1[[#This Row],[Category]]="Furniture",Table1[[#This Row],[Sales]]*0.75,
IF(Table1[[#This Row],[Category]]="Clothing",Table1[[#This Row],[Sales]]*0.65,
Table1[[#This Row],[Sales]]*0.7)))</f>
        <v>4990.2999999999993</v>
      </c>
      <c r="I1953" s="11">
        <f ca="1">Table1[[#This Row],[Sales]]-H1953</f>
        <v>2138.7000000000007</v>
      </c>
      <c r="J1953" s="2">
        <f ca="1">Table1[[#This Row],[Profit]]/Table1[[#This Row],[Sales]]</f>
        <v>0.3000000000000001</v>
      </c>
      <c r="K1953" t="str">
        <f ca="1">TEXT(Table1[[#This Row],[Order_Date]],"mmm")</f>
        <v>Apr</v>
      </c>
      <c r="L1953">
        <f ca="1">YEAR(Table1[[#This Row],[Order_Date]])</f>
        <v>2023</v>
      </c>
    </row>
    <row r="1954" spans="1:12" x14ac:dyDescent="0.3">
      <c r="A1954">
        <f t="shared" si="120"/>
        <v>1953</v>
      </c>
      <c r="B1954" s="1">
        <f t="shared" ca="1" si="121"/>
        <v>45008</v>
      </c>
      <c r="C1954" t="s">
        <v>7</v>
      </c>
      <c r="D1954" t="str">
        <f t="shared" ca="1" si="122"/>
        <v>Office Supplies</v>
      </c>
      <c r="E1954" t="s">
        <v>38</v>
      </c>
      <c r="F1954" s="11">
        <v>18279</v>
      </c>
      <c r="G1954">
        <f t="shared" ca="1" si="123"/>
        <v>6</v>
      </c>
      <c r="H1954" s="11">
        <f ca="1">IF(Table1[[#This Row],[Category]]="Electronics",Table1[[#This Row],[Sales]]*0.6,
IF(Table1[[#This Row],[Category]]="Furniture",Table1[[#This Row],[Sales]]*0.75,
IF(Table1[[#This Row],[Category]]="Clothing",Table1[[#This Row],[Sales]]*0.65,
Table1[[#This Row],[Sales]]*0.7)))</f>
        <v>12795.3</v>
      </c>
      <c r="I1954" s="11">
        <f ca="1">Table1[[#This Row],[Sales]]-H1954</f>
        <v>5483.7000000000007</v>
      </c>
      <c r="J1954" s="2">
        <f ca="1">Table1[[#This Row],[Profit]]/Table1[[#This Row],[Sales]]</f>
        <v>0.30000000000000004</v>
      </c>
      <c r="K1954" t="str">
        <f ca="1">TEXT(Table1[[#This Row],[Order_Date]],"mmm")</f>
        <v>Mar</v>
      </c>
      <c r="L1954">
        <f ca="1">YEAR(Table1[[#This Row],[Order_Date]])</f>
        <v>2023</v>
      </c>
    </row>
    <row r="1955" spans="1:12" x14ac:dyDescent="0.3">
      <c r="A1955">
        <f t="shared" si="120"/>
        <v>1954</v>
      </c>
      <c r="B1955" s="1">
        <f t="shared" ca="1" si="121"/>
        <v>45269</v>
      </c>
      <c r="C1955" t="s">
        <v>8</v>
      </c>
      <c r="D1955" t="str">
        <f t="shared" ca="1" si="122"/>
        <v>Furniture</v>
      </c>
      <c r="E1955" t="s">
        <v>84</v>
      </c>
      <c r="F1955" s="11">
        <v>15559</v>
      </c>
      <c r="G1955">
        <f t="shared" ca="1" si="123"/>
        <v>7</v>
      </c>
      <c r="H1955" s="11">
        <f ca="1">IF(Table1[[#This Row],[Category]]="Electronics",Table1[[#This Row],[Sales]]*0.6,
IF(Table1[[#This Row],[Category]]="Furniture",Table1[[#This Row],[Sales]]*0.75,
IF(Table1[[#This Row],[Category]]="Clothing",Table1[[#This Row],[Sales]]*0.65,
Table1[[#This Row],[Sales]]*0.7)))</f>
        <v>11669.25</v>
      </c>
      <c r="I1955" s="11">
        <f ca="1">Table1[[#This Row],[Sales]]-H1955</f>
        <v>3889.75</v>
      </c>
      <c r="J1955" s="2">
        <f ca="1">Table1[[#This Row],[Profit]]/Table1[[#This Row],[Sales]]</f>
        <v>0.25</v>
      </c>
      <c r="K1955" t="str">
        <f ca="1">TEXT(Table1[[#This Row],[Order_Date]],"mmm")</f>
        <v>Dec</v>
      </c>
      <c r="L1955">
        <f ca="1">YEAR(Table1[[#This Row],[Order_Date]])</f>
        <v>2023</v>
      </c>
    </row>
    <row r="1956" spans="1:12" x14ac:dyDescent="0.3">
      <c r="A1956">
        <f t="shared" si="120"/>
        <v>1955</v>
      </c>
      <c r="B1956" s="1">
        <f t="shared" ca="1" si="121"/>
        <v>44991</v>
      </c>
      <c r="C1956" t="s">
        <v>9</v>
      </c>
      <c r="D1956" t="str">
        <f t="shared" ca="1" si="122"/>
        <v>Furniture</v>
      </c>
      <c r="E1956" t="s">
        <v>45</v>
      </c>
      <c r="F1956" s="11">
        <v>9411</v>
      </c>
      <c r="G1956">
        <f t="shared" ca="1" si="123"/>
        <v>5</v>
      </c>
      <c r="H1956" s="11">
        <f ca="1">IF(Table1[[#This Row],[Category]]="Electronics",Table1[[#This Row],[Sales]]*0.6,
IF(Table1[[#This Row],[Category]]="Furniture",Table1[[#This Row],[Sales]]*0.75,
IF(Table1[[#This Row],[Category]]="Clothing",Table1[[#This Row],[Sales]]*0.65,
Table1[[#This Row],[Sales]]*0.7)))</f>
        <v>7058.25</v>
      </c>
      <c r="I1956" s="11">
        <f ca="1">Table1[[#This Row],[Sales]]-H1956</f>
        <v>2352.75</v>
      </c>
      <c r="J1956" s="2">
        <f ca="1">Table1[[#This Row],[Profit]]/Table1[[#This Row],[Sales]]</f>
        <v>0.25</v>
      </c>
      <c r="K1956" t="str">
        <f ca="1">TEXT(Table1[[#This Row],[Order_Date]],"mmm")</f>
        <v>Mar</v>
      </c>
      <c r="L1956">
        <f ca="1">YEAR(Table1[[#This Row],[Order_Date]])</f>
        <v>2023</v>
      </c>
    </row>
    <row r="1957" spans="1:12" x14ac:dyDescent="0.3">
      <c r="A1957">
        <f t="shared" si="120"/>
        <v>1956</v>
      </c>
      <c r="B1957" s="1">
        <f t="shared" ca="1" si="121"/>
        <v>44943</v>
      </c>
      <c r="C1957" t="s">
        <v>10</v>
      </c>
      <c r="D1957" t="str">
        <f t="shared" ca="1" si="122"/>
        <v>Furniture</v>
      </c>
      <c r="E1957" t="s">
        <v>62</v>
      </c>
      <c r="F1957" s="11">
        <v>4055</v>
      </c>
      <c r="G1957">
        <f t="shared" ca="1" si="123"/>
        <v>6</v>
      </c>
      <c r="H1957" s="11">
        <f ca="1">IF(Table1[[#This Row],[Category]]="Electronics",Table1[[#This Row],[Sales]]*0.6,
IF(Table1[[#This Row],[Category]]="Furniture",Table1[[#This Row],[Sales]]*0.75,
IF(Table1[[#This Row],[Category]]="Clothing",Table1[[#This Row],[Sales]]*0.65,
Table1[[#This Row],[Sales]]*0.7)))</f>
        <v>3041.25</v>
      </c>
      <c r="I1957" s="11">
        <f ca="1">Table1[[#This Row],[Sales]]-H1957</f>
        <v>1013.75</v>
      </c>
      <c r="J1957" s="2">
        <f ca="1">Table1[[#This Row],[Profit]]/Table1[[#This Row],[Sales]]</f>
        <v>0.25</v>
      </c>
      <c r="K1957" t="str">
        <f ca="1">TEXT(Table1[[#This Row],[Order_Date]],"mmm")</f>
        <v>Jan</v>
      </c>
      <c r="L1957">
        <f ca="1">YEAR(Table1[[#This Row],[Order_Date]])</f>
        <v>2023</v>
      </c>
    </row>
    <row r="1958" spans="1:12" x14ac:dyDescent="0.3">
      <c r="A1958">
        <f t="shared" si="120"/>
        <v>1957</v>
      </c>
      <c r="B1958" s="1">
        <f t="shared" ca="1" si="121"/>
        <v>44953</v>
      </c>
      <c r="C1958" t="s">
        <v>7</v>
      </c>
      <c r="D1958" t="str">
        <f t="shared" ca="1" si="122"/>
        <v>Office Supplies</v>
      </c>
      <c r="E1958" t="s">
        <v>56</v>
      </c>
      <c r="F1958" s="11">
        <v>9192</v>
      </c>
      <c r="G1958">
        <f t="shared" ca="1" si="123"/>
        <v>4</v>
      </c>
      <c r="H1958" s="11">
        <f ca="1">IF(Table1[[#This Row],[Category]]="Electronics",Table1[[#This Row],[Sales]]*0.6,
IF(Table1[[#This Row],[Category]]="Furniture",Table1[[#This Row],[Sales]]*0.75,
IF(Table1[[#This Row],[Category]]="Clothing",Table1[[#This Row],[Sales]]*0.65,
Table1[[#This Row],[Sales]]*0.7)))</f>
        <v>6434.4</v>
      </c>
      <c r="I1958" s="11">
        <f ca="1">Table1[[#This Row],[Sales]]-H1958</f>
        <v>2757.6000000000004</v>
      </c>
      <c r="J1958" s="2">
        <f ca="1">Table1[[#This Row],[Profit]]/Table1[[#This Row],[Sales]]</f>
        <v>0.30000000000000004</v>
      </c>
      <c r="K1958" t="str">
        <f ca="1">TEXT(Table1[[#This Row],[Order_Date]],"mmm")</f>
        <v>Jan</v>
      </c>
      <c r="L1958">
        <f ca="1">YEAR(Table1[[#This Row],[Order_Date]])</f>
        <v>2023</v>
      </c>
    </row>
    <row r="1959" spans="1:12" x14ac:dyDescent="0.3">
      <c r="A1959">
        <f t="shared" si="120"/>
        <v>1958</v>
      </c>
      <c r="B1959" s="1">
        <f t="shared" ca="1" si="121"/>
        <v>45194</v>
      </c>
      <c r="C1959" t="s">
        <v>8</v>
      </c>
      <c r="D1959" t="str">
        <f t="shared" ca="1" si="122"/>
        <v>Electronics</v>
      </c>
      <c r="E1959" t="s">
        <v>57</v>
      </c>
      <c r="F1959" s="11">
        <v>18180</v>
      </c>
      <c r="G1959">
        <f t="shared" ca="1" si="123"/>
        <v>2</v>
      </c>
      <c r="H1959" s="11">
        <f ca="1">IF(Table1[[#This Row],[Category]]="Electronics",Table1[[#This Row],[Sales]]*0.6,
IF(Table1[[#This Row],[Category]]="Furniture",Table1[[#This Row],[Sales]]*0.75,
IF(Table1[[#This Row],[Category]]="Clothing",Table1[[#This Row],[Sales]]*0.65,
Table1[[#This Row],[Sales]]*0.7)))</f>
        <v>10908</v>
      </c>
      <c r="I1959" s="11">
        <f ca="1">Table1[[#This Row],[Sales]]-H1959</f>
        <v>7272</v>
      </c>
      <c r="J1959" s="2">
        <f ca="1">Table1[[#This Row],[Profit]]/Table1[[#This Row],[Sales]]</f>
        <v>0.4</v>
      </c>
      <c r="K1959" t="str">
        <f ca="1">TEXT(Table1[[#This Row],[Order_Date]],"mmm")</f>
        <v>Sep</v>
      </c>
      <c r="L1959">
        <f ca="1">YEAR(Table1[[#This Row],[Order_Date]])</f>
        <v>2023</v>
      </c>
    </row>
    <row r="1960" spans="1:12" x14ac:dyDescent="0.3">
      <c r="A1960">
        <f t="shared" si="120"/>
        <v>1959</v>
      </c>
      <c r="B1960" s="1">
        <f t="shared" ca="1" si="121"/>
        <v>45082</v>
      </c>
      <c r="C1960" t="s">
        <v>9</v>
      </c>
      <c r="D1960" t="str">
        <f t="shared" ca="1" si="122"/>
        <v>Clothing</v>
      </c>
      <c r="E1960" t="s">
        <v>41</v>
      </c>
      <c r="F1960" s="11">
        <v>7837</v>
      </c>
      <c r="G1960">
        <f t="shared" ca="1" si="123"/>
        <v>10</v>
      </c>
      <c r="H1960" s="11">
        <f ca="1">IF(Table1[[#This Row],[Category]]="Electronics",Table1[[#This Row],[Sales]]*0.6,
IF(Table1[[#This Row],[Category]]="Furniture",Table1[[#This Row],[Sales]]*0.75,
IF(Table1[[#This Row],[Category]]="Clothing",Table1[[#This Row],[Sales]]*0.65,
Table1[[#This Row],[Sales]]*0.7)))</f>
        <v>5094.05</v>
      </c>
      <c r="I1960" s="11">
        <f ca="1">Table1[[#This Row],[Sales]]-H1960</f>
        <v>2742.95</v>
      </c>
      <c r="J1960" s="2">
        <f ca="1">Table1[[#This Row],[Profit]]/Table1[[#This Row],[Sales]]</f>
        <v>0.35</v>
      </c>
      <c r="K1960" t="str">
        <f ca="1">TEXT(Table1[[#This Row],[Order_Date]],"mmm")</f>
        <v>Jun</v>
      </c>
      <c r="L1960">
        <f ca="1">YEAR(Table1[[#This Row],[Order_Date]])</f>
        <v>2023</v>
      </c>
    </row>
    <row r="1961" spans="1:12" x14ac:dyDescent="0.3">
      <c r="A1961">
        <f t="shared" si="120"/>
        <v>1960</v>
      </c>
      <c r="B1961" s="1">
        <f t="shared" ca="1" si="121"/>
        <v>45031</v>
      </c>
      <c r="C1961" t="s">
        <v>10</v>
      </c>
      <c r="D1961" t="str">
        <f t="shared" ca="1" si="122"/>
        <v>Clothing</v>
      </c>
      <c r="E1961" t="s">
        <v>80</v>
      </c>
      <c r="F1961" s="11">
        <v>3946</v>
      </c>
      <c r="G1961">
        <f t="shared" ca="1" si="123"/>
        <v>5</v>
      </c>
      <c r="H1961" s="11">
        <f ca="1">IF(Table1[[#This Row],[Category]]="Electronics",Table1[[#This Row],[Sales]]*0.6,
IF(Table1[[#This Row],[Category]]="Furniture",Table1[[#This Row],[Sales]]*0.75,
IF(Table1[[#This Row],[Category]]="Clothing",Table1[[#This Row],[Sales]]*0.65,
Table1[[#This Row],[Sales]]*0.7)))</f>
        <v>2564.9</v>
      </c>
      <c r="I1961" s="11">
        <f ca="1">Table1[[#This Row],[Sales]]-H1961</f>
        <v>1381.1</v>
      </c>
      <c r="J1961" s="2">
        <f ca="1">Table1[[#This Row],[Profit]]/Table1[[#This Row],[Sales]]</f>
        <v>0.35</v>
      </c>
      <c r="K1961" t="str">
        <f ca="1">TEXT(Table1[[#This Row],[Order_Date]],"mmm")</f>
        <v>Apr</v>
      </c>
      <c r="L1961">
        <f ca="1">YEAR(Table1[[#This Row],[Order_Date]])</f>
        <v>2023</v>
      </c>
    </row>
    <row r="1962" spans="1:12" x14ac:dyDescent="0.3">
      <c r="A1962">
        <f t="shared" si="120"/>
        <v>1961</v>
      </c>
      <c r="B1962" s="1">
        <f t="shared" ca="1" si="121"/>
        <v>45053</v>
      </c>
      <c r="C1962" t="s">
        <v>7</v>
      </c>
      <c r="D1962" t="str">
        <f t="shared" ca="1" si="122"/>
        <v>Furniture</v>
      </c>
      <c r="E1962" t="s">
        <v>85</v>
      </c>
      <c r="F1962" s="11">
        <v>5784</v>
      </c>
      <c r="G1962">
        <f t="shared" ca="1" si="123"/>
        <v>4</v>
      </c>
      <c r="H1962" s="11">
        <f ca="1">IF(Table1[[#This Row],[Category]]="Electronics",Table1[[#This Row],[Sales]]*0.6,
IF(Table1[[#This Row],[Category]]="Furniture",Table1[[#This Row],[Sales]]*0.75,
IF(Table1[[#This Row],[Category]]="Clothing",Table1[[#This Row],[Sales]]*0.65,
Table1[[#This Row],[Sales]]*0.7)))</f>
        <v>4338</v>
      </c>
      <c r="I1962" s="11">
        <f ca="1">Table1[[#This Row],[Sales]]-H1962</f>
        <v>1446</v>
      </c>
      <c r="J1962" s="2">
        <f ca="1">Table1[[#This Row],[Profit]]/Table1[[#This Row],[Sales]]</f>
        <v>0.25</v>
      </c>
      <c r="K1962" t="str">
        <f ca="1">TEXT(Table1[[#This Row],[Order_Date]],"mmm")</f>
        <v>May</v>
      </c>
      <c r="L1962">
        <f ca="1">YEAR(Table1[[#This Row],[Order_Date]])</f>
        <v>2023</v>
      </c>
    </row>
    <row r="1963" spans="1:12" x14ac:dyDescent="0.3">
      <c r="A1963">
        <f t="shared" si="120"/>
        <v>1962</v>
      </c>
      <c r="B1963" s="1">
        <f t="shared" ca="1" si="121"/>
        <v>45258</v>
      </c>
      <c r="C1963" t="s">
        <v>8</v>
      </c>
      <c r="D1963" t="str">
        <f t="shared" ca="1" si="122"/>
        <v>Furniture</v>
      </c>
      <c r="E1963" t="s">
        <v>72</v>
      </c>
      <c r="F1963" s="11">
        <v>12984</v>
      </c>
      <c r="G1963">
        <f t="shared" ca="1" si="123"/>
        <v>7</v>
      </c>
      <c r="H1963" s="11">
        <f ca="1">IF(Table1[[#This Row],[Category]]="Electronics",Table1[[#This Row],[Sales]]*0.6,
IF(Table1[[#This Row],[Category]]="Furniture",Table1[[#This Row],[Sales]]*0.75,
IF(Table1[[#This Row],[Category]]="Clothing",Table1[[#This Row],[Sales]]*0.65,
Table1[[#This Row],[Sales]]*0.7)))</f>
        <v>9738</v>
      </c>
      <c r="I1963" s="11">
        <f ca="1">Table1[[#This Row],[Sales]]-H1963</f>
        <v>3246</v>
      </c>
      <c r="J1963" s="2">
        <f ca="1">Table1[[#This Row],[Profit]]/Table1[[#This Row],[Sales]]</f>
        <v>0.25</v>
      </c>
      <c r="K1963" t="str">
        <f ca="1">TEXT(Table1[[#This Row],[Order_Date]],"mmm")</f>
        <v>Nov</v>
      </c>
      <c r="L1963">
        <f ca="1">YEAR(Table1[[#This Row],[Order_Date]])</f>
        <v>2023</v>
      </c>
    </row>
    <row r="1964" spans="1:12" x14ac:dyDescent="0.3">
      <c r="A1964">
        <f t="shared" si="120"/>
        <v>1963</v>
      </c>
      <c r="B1964" s="1">
        <f t="shared" ca="1" si="121"/>
        <v>45244</v>
      </c>
      <c r="C1964" t="s">
        <v>9</v>
      </c>
      <c r="D1964" t="str">
        <f t="shared" ca="1" si="122"/>
        <v>Furniture</v>
      </c>
      <c r="E1964" t="s">
        <v>47</v>
      </c>
      <c r="F1964" s="11">
        <v>2337</v>
      </c>
      <c r="G1964">
        <f t="shared" ca="1" si="123"/>
        <v>9</v>
      </c>
      <c r="H1964" s="11">
        <f ca="1">IF(Table1[[#This Row],[Category]]="Electronics",Table1[[#This Row],[Sales]]*0.6,
IF(Table1[[#This Row],[Category]]="Furniture",Table1[[#This Row],[Sales]]*0.75,
IF(Table1[[#This Row],[Category]]="Clothing",Table1[[#This Row],[Sales]]*0.65,
Table1[[#This Row],[Sales]]*0.7)))</f>
        <v>1752.75</v>
      </c>
      <c r="I1964" s="11">
        <f ca="1">Table1[[#This Row],[Sales]]-H1964</f>
        <v>584.25</v>
      </c>
      <c r="J1964" s="2">
        <f ca="1">Table1[[#This Row],[Profit]]/Table1[[#This Row],[Sales]]</f>
        <v>0.25</v>
      </c>
      <c r="K1964" t="str">
        <f ca="1">TEXT(Table1[[#This Row],[Order_Date]],"mmm")</f>
        <v>Nov</v>
      </c>
      <c r="L1964">
        <f ca="1">YEAR(Table1[[#This Row],[Order_Date]])</f>
        <v>2023</v>
      </c>
    </row>
    <row r="1965" spans="1:12" x14ac:dyDescent="0.3">
      <c r="A1965">
        <f t="shared" si="120"/>
        <v>1964</v>
      </c>
      <c r="B1965" s="1">
        <f t="shared" ca="1" si="121"/>
        <v>45008</v>
      </c>
      <c r="C1965" t="s">
        <v>10</v>
      </c>
      <c r="D1965" t="str">
        <f t="shared" ca="1" si="122"/>
        <v>Clothing</v>
      </c>
      <c r="E1965" t="s">
        <v>80</v>
      </c>
      <c r="F1965" s="11">
        <v>542</v>
      </c>
      <c r="G1965">
        <f t="shared" ca="1" si="123"/>
        <v>6</v>
      </c>
      <c r="H1965" s="11">
        <f ca="1">IF(Table1[[#This Row],[Category]]="Electronics",Table1[[#This Row],[Sales]]*0.6,
IF(Table1[[#This Row],[Category]]="Furniture",Table1[[#This Row],[Sales]]*0.75,
IF(Table1[[#This Row],[Category]]="Clothing",Table1[[#This Row],[Sales]]*0.65,
Table1[[#This Row],[Sales]]*0.7)))</f>
        <v>352.3</v>
      </c>
      <c r="I1965" s="11">
        <f ca="1">Table1[[#This Row],[Sales]]-H1965</f>
        <v>189.7</v>
      </c>
      <c r="J1965" s="2">
        <f ca="1">Table1[[#This Row],[Profit]]/Table1[[#This Row],[Sales]]</f>
        <v>0.35</v>
      </c>
      <c r="K1965" t="str">
        <f ca="1">TEXT(Table1[[#This Row],[Order_Date]],"mmm")</f>
        <v>Mar</v>
      </c>
      <c r="L1965">
        <f ca="1">YEAR(Table1[[#This Row],[Order_Date]])</f>
        <v>2023</v>
      </c>
    </row>
    <row r="1966" spans="1:12" x14ac:dyDescent="0.3">
      <c r="A1966">
        <f t="shared" si="120"/>
        <v>1965</v>
      </c>
      <c r="B1966" s="1">
        <f t="shared" ca="1" si="121"/>
        <v>45196</v>
      </c>
      <c r="C1966" t="s">
        <v>7</v>
      </c>
      <c r="D1966" t="str">
        <f t="shared" ca="1" si="122"/>
        <v>Electronics</v>
      </c>
      <c r="E1966" t="s">
        <v>59</v>
      </c>
      <c r="F1966" s="11">
        <v>2946</v>
      </c>
      <c r="G1966">
        <f t="shared" ca="1" si="123"/>
        <v>4</v>
      </c>
      <c r="H1966" s="11">
        <f ca="1">IF(Table1[[#This Row],[Category]]="Electronics",Table1[[#This Row],[Sales]]*0.6,
IF(Table1[[#This Row],[Category]]="Furniture",Table1[[#This Row],[Sales]]*0.75,
IF(Table1[[#This Row],[Category]]="Clothing",Table1[[#This Row],[Sales]]*0.65,
Table1[[#This Row],[Sales]]*0.7)))</f>
        <v>1767.6</v>
      </c>
      <c r="I1966" s="11">
        <f ca="1">Table1[[#This Row],[Sales]]-H1966</f>
        <v>1178.4000000000001</v>
      </c>
      <c r="J1966" s="2">
        <f ca="1">Table1[[#This Row],[Profit]]/Table1[[#This Row],[Sales]]</f>
        <v>0.4</v>
      </c>
      <c r="K1966" t="str">
        <f ca="1">TEXT(Table1[[#This Row],[Order_Date]],"mmm")</f>
        <v>Sep</v>
      </c>
      <c r="L1966">
        <f ca="1">YEAR(Table1[[#This Row],[Order_Date]])</f>
        <v>2023</v>
      </c>
    </row>
    <row r="1967" spans="1:12" x14ac:dyDescent="0.3">
      <c r="A1967">
        <f t="shared" si="120"/>
        <v>1966</v>
      </c>
      <c r="B1967" s="1">
        <f t="shared" ca="1" si="121"/>
        <v>45249</v>
      </c>
      <c r="C1967" t="s">
        <v>8</v>
      </c>
      <c r="D1967" t="str">
        <f t="shared" ca="1" si="122"/>
        <v>Clothing</v>
      </c>
      <c r="E1967" t="s">
        <v>76</v>
      </c>
      <c r="F1967" s="11">
        <v>3317</v>
      </c>
      <c r="G1967">
        <f t="shared" ca="1" si="123"/>
        <v>1</v>
      </c>
      <c r="H1967" s="11">
        <f ca="1">IF(Table1[[#This Row],[Category]]="Electronics",Table1[[#This Row],[Sales]]*0.6,
IF(Table1[[#This Row],[Category]]="Furniture",Table1[[#This Row],[Sales]]*0.75,
IF(Table1[[#This Row],[Category]]="Clothing",Table1[[#This Row],[Sales]]*0.65,
Table1[[#This Row],[Sales]]*0.7)))</f>
        <v>2156.0500000000002</v>
      </c>
      <c r="I1967" s="11">
        <f ca="1">Table1[[#This Row],[Sales]]-H1967</f>
        <v>1160.9499999999998</v>
      </c>
      <c r="J1967" s="2">
        <f ca="1">Table1[[#This Row],[Profit]]/Table1[[#This Row],[Sales]]</f>
        <v>0.34999999999999992</v>
      </c>
      <c r="K1967" t="str">
        <f ca="1">TEXT(Table1[[#This Row],[Order_Date]],"mmm")</f>
        <v>Nov</v>
      </c>
      <c r="L1967">
        <f ca="1">YEAR(Table1[[#This Row],[Order_Date]])</f>
        <v>2023</v>
      </c>
    </row>
    <row r="1968" spans="1:12" x14ac:dyDescent="0.3">
      <c r="A1968">
        <f t="shared" si="120"/>
        <v>1967</v>
      </c>
      <c r="B1968" s="1">
        <f t="shared" ca="1" si="121"/>
        <v>45262</v>
      </c>
      <c r="C1968" t="s">
        <v>9</v>
      </c>
      <c r="D1968" t="str">
        <f t="shared" ca="1" si="122"/>
        <v>Office Supplies</v>
      </c>
      <c r="E1968" t="s">
        <v>51</v>
      </c>
      <c r="F1968" s="11">
        <v>8299</v>
      </c>
      <c r="G1968">
        <f t="shared" ca="1" si="123"/>
        <v>1</v>
      </c>
      <c r="H1968" s="11">
        <f ca="1">IF(Table1[[#This Row],[Category]]="Electronics",Table1[[#This Row],[Sales]]*0.6,
IF(Table1[[#This Row],[Category]]="Furniture",Table1[[#This Row],[Sales]]*0.75,
IF(Table1[[#This Row],[Category]]="Clothing",Table1[[#This Row],[Sales]]*0.65,
Table1[[#This Row],[Sales]]*0.7)))</f>
        <v>5809.2999999999993</v>
      </c>
      <c r="I1968" s="11">
        <f ca="1">Table1[[#This Row],[Sales]]-H1968</f>
        <v>2489.7000000000007</v>
      </c>
      <c r="J1968" s="2">
        <f ca="1">Table1[[#This Row],[Profit]]/Table1[[#This Row],[Sales]]</f>
        <v>0.3000000000000001</v>
      </c>
      <c r="K1968" t="str">
        <f ca="1">TEXT(Table1[[#This Row],[Order_Date]],"mmm")</f>
        <v>Dec</v>
      </c>
      <c r="L1968">
        <f ca="1">YEAR(Table1[[#This Row],[Order_Date]])</f>
        <v>2023</v>
      </c>
    </row>
    <row r="1969" spans="1:12" x14ac:dyDescent="0.3">
      <c r="A1969">
        <f t="shared" si="120"/>
        <v>1968</v>
      </c>
      <c r="B1969" s="1">
        <f t="shared" ca="1" si="121"/>
        <v>45058</v>
      </c>
      <c r="C1969" t="s">
        <v>10</v>
      </c>
      <c r="D1969" t="str">
        <f t="shared" ca="1" si="122"/>
        <v>Furniture</v>
      </c>
      <c r="E1969" t="s">
        <v>83</v>
      </c>
      <c r="F1969" s="11">
        <v>13697</v>
      </c>
      <c r="G1969">
        <f t="shared" ca="1" si="123"/>
        <v>3</v>
      </c>
      <c r="H1969" s="11">
        <f ca="1">IF(Table1[[#This Row],[Category]]="Electronics",Table1[[#This Row],[Sales]]*0.6,
IF(Table1[[#This Row],[Category]]="Furniture",Table1[[#This Row],[Sales]]*0.75,
IF(Table1[[#This Row],[Category]]="Clothing",Table1[[#This Row],[Sales]]*0.65,
Table1[[#This Row],[Sales]]*0.7)))</f>
        <v>10272.75</v>
      </c>
      <c r="I1969" s="11">
        <f ca="1">Table1[[#This Row],[Sales]]-H1969</f>
        <v>3424.25</v>
      </c>
      <c r="J1969" s="2">
        <f ca="1">Table1[[#This Row],[Profit]]/Table1[[#This Row],[Sales]]</f>
        <v>0.25</v>
      </c>
      <c r="K1969" t="str">
        <f ca="1">TEXT(Table1[[#This Row],[Order_Date]],"mmm")</f>
        <v>May</v>
      </c>
      <c r="L1969">
        <f ca="1">YEAR(Table1[[#This Row],[Order_Date]])</f>
        <v>2023</v>
      </c>
    </row>
    <row r="1970" spans="1:12" x14ac:dyDescent="0.3">
      <c r="A1970">
        <f t="shared" si="120"/>
        <v>1969</v>
      </c>
      <c r="B1970" s="1">
        <f t="shared" ca="1" si="121"/>
        <v>45222</v>
      </c>
      <c r="C1970" t="s">
        <v>7</v>
      </c>
      <c r="D1970" t="str">
        <f t="shared" ca="1" si="122"/>
        <v>Clothing</v>
      </c>
      <c r="E1970" t="s">
        <v>72</v>
      </c>
      <c r="F1970" s="11">
        <v>1174</v>
      </c>
      <c r="G1970">
        <f t="shared" ca="1" si="123"/>
        <v>2</v>
      </c>
      <c r="H1970" s="11">
        <f ca="1">IF(Table1[[#This Row],[Category]]="Electronics",Table1[[#This Row],[Sales]]*0.6,
IF(Table1[[#This Row],[Category]]="Furniture",Table1[[#This Row],[Sales]]*0.75,
IF(Table1[[#This Row],[Category]]="Clothing",Table1[[#This Row],[Sales]]*0.65,
Table1[[#This Row],[Sales]]*0.7)))</f>
        <v>763.1</v>
      </c>
      <c r="I1970" s="11">
        <f ca="1">Table1[[#This Row],[Sales]]-H1970</f>
        <v>410.9</v>
      </c>
      <c r="J1970" s="2">
        <f ca="1">Table1[[#This Row],[Profit]]/Table1[[#This Row],[Sales]]</f>
        <v>0.35</v>
      </c>
      <c r="K1970" t="str">
        <f ca="1">TEXT(Table1[[#This Row],[Order_Date]],"mmm")</f>
        <v>Oct</v>
      </c>
      <c r="L1970">
        <f ca="1">YEAR(Table1[[#This Row],[Order_Date]])</f>
        <v>2023</v>
      </c>
    </row>
    <row r="1971" spans="1:12" x14ac:dyDescent="0.3">
      <c r="A1971">
        <f t="shared" si="120"/>
        <v>1970</v>
      </c>
      <c r="B1971" s="1">
        <f t="shared" ca="1" si="121"/>
        <v>45270</v>
      </c>
      <c r="C1971" t="s">
        <v>8</v>
      </c>
      <c r="D1971" t="str">
        <f t="shared" ca="1" si="122"/>
        <v>Furniture</v>
      </c>
      <c r="E1971" t="s">
        <v>50</v>
      </c>
      <c r="F1971" s="11">
        <v>4711</v>
      </c>
      <c r="G1971">
        <f t="shared" ca="1" si="123"/>
        <v>5</v>
      </c>
      <c r="H1971" s="11">
        <f ca="1">IF(Table1[[#This Row],[Category]]="Electronics",Table1[[#This Row],[Sales]]*0.6,
IF(Table1[[#This Row],[Category]]="Furniture",Table1[[#This Row],[Sales]]*0.75,
IF(Table1[[#This Row],[Category]]="Clothing",Table1[[#This Row],[Sales]]*0.65,
Table1[[#This Row],[Sales]]*0.7)))</f>
        <v>3533.25</v>
      </c>
      <c r="I1971" s="11">
        <f ca="1">Table1[[#This Row],[Sales]]-H1971</f>
        <v>1177.75</v>
      </c>
      <c r="J1971" s="2">
        <f ca="1">Table1[[#This Row],[Profit]]/Table1[[#This Row],[Sales]]</f>
        <v>0.25</v>
      </c>
      <c r="K1971" t="str">
        <f ca="1">TEXT(Table1[[#This Row],[Order_Date]],"mmm")</f>
        <v>Dec</v>
      </c>
      <c r="L1971">
        <f ca="1">YEAR(Table1[[#This Row],[Order_Date]])</f>
        <v>2023</v>
      </c>
    </row>
    <row r="1972" spans="1:12" x14ac:dyDescent="0.3">
      <c r="A1972">
        <f t="shared" si="120"/>
        <v>1971</v>
      </c>
      <c r="B1972" s="1">
        <f t="shared" ca="1" si="121"/>
        <v>44937</v>
      </c>
      <c r="C1972" t="s">
        <v>9</v>
      </c>
      <c r="D1972" t="str">
        <f t="shared" ca="1" si="122"/>
        <v>Electronics</v>
      </c>
      <c r="E1972" t="s">
        <v>56</v>
      </c>
      <c r="F1972" s="11">
        <v>14144</v>
      </c>
      <c r="G1972">
        <f t="shared" ca="1" si="123"/>
        <v>2</v>
      </c>
      <c r="H1972" s="11">
        <f ca="1">IF(Table1[[#This Row],[Category]]="Electronics",Table1[[#This Row],[Sales]]*0.6,
IF(Table1[[#This Row],[Category]]="Furniture",Table1[[#This Row],[Sales]]*0.75,
IF(Table1[[#This Row],[Category]]="Clothing",Table1[[#This Row],[Sales]]*0.65,
Table1[[#This Row],[Sales]]*0.7)))</f>
        <v>8486.4</v>
      </c>
      <c r="I1972" s="11">
        <f ca="1">Table1[[#This Row],[Sales]]-H1972</f>
        <v>5657.6</v>
      </c>
      <c r="J1972" s="2">
        <f ca="1">Table1[[#This Row],[Profit]]/Table1[[#This Row],[Sales]]</f>
        <v>0.4</v>
      </c>
      <c r="K1972" t="str">
        <f ca="1">TEXT(Table1[[#This Row],[Order_Date]],"mmm")</f>
        <v>Jan</v>
      </c>
      <c r="L1972">
        <f ca="1">YEAR(Table1[[#This Row],[Order_Date]])</f>
        <v>2023</v>
      </c>
    </row>
    <row r="1973" spans="1:12" x14ac:dyDescent="0.3">
      <c r="A1973">
        <f t="shared" si="120"/>
        <v>1972</v>
      </c>
      <c r="B1973" s="1">
        <f t="shared" ca="1" si="121"/>
        <v>45053</v>
      </c>
      <c r="C1973" t="s">
        <v>10</v>
      </c>
      <c r="D1973" t="str">
        <f t="shared" ca="1" si="122"/>
        <v>Office Supplies</v>
      </c>
      <c r="E1973" t="s">
        <v>44</v>
      </c>
      <c r="F1973" s="11">
        <v>15975</v>
      </c>
      <c r="G1973">
        <f t="shared" ca="1" si="123"/>
        <v>3</v>
      </c>
      <c r="H1973" s="11">
        <f ca="1">IF(Table1[[#This Row],[Category]]="Electronics",Table1[[#This Row],[Sales]]*0.6,
IF(Table1[[#This Row],[Category]]="Furniture",Table1[[#This Row],[Sales]]*0.75,
IF(Table1[[#This Row],[Category]]="Clothing",Table1[[#This Row],[Sales]]*0.65,
Table1[[#This Row],[Sales]]*0.7)))</f>
        <v>11182.5</v>
      </c>
      <c r="I1973" s="11">
        <f ca="1">Table1[[#This Row],[Sales]]-H1973</f>
        <v>4792.5</v>
      </c>
      <c r="J1973" s="2">
        <f ca="1">Table1[[#This Row],[Profit]]/Table1[[#This Row],[Sales]]</f>
        <v>0.3</v>
      </c>
      <c r="K1973" t="str">
        <f ca="1">TEXT(Table1[[#This Row],[Order_Date]],"mmm")</f>
        <v>May</v>
      </c>
      <c r="L1973">
        <f ca="1">YEAR(Table1[[#This Row],[Order_Date]])</f>
        <v>2023</v>
      </c>
    </row>
    <row r="1974" spans="1:12" x14ac:dyDescent="0.3">
      <c r="A1974">
        <f t="shared" si="120"/>
        <v>1973</v>
      </c>
      <c r="B1974" s="1">
        <f t="shared" ca="1" si="121"/>
        <v>45204</v>
      </c>
      <c r="C1974" t="s">
        <v>7</v>
      </c>
      <c r="D1974" t="str">
        <f t="shared" ca="1" si="122"/>
        <v>Furniture</v>
      </c>
      <c r="E1974" t="s">
        <v>39</v>
      </c>
      <c r="F1974" s="11">
        <v>5765</v>
      </c>
      <c r="G1974">
        <f t="shared" ca="1" si="123"/>
        <v>7</v>
      </c>
      <c r="H1974" s="11">
        <f ca="1">IF(Table1[[#This Row],[Category]]="Electronics",Table1[[#This Row],[Sales]]*0.6,
IF(Table1[[#This Row],[Category]]="Furniture",Table1[[#This Row],[Sales]]*0.75,
IF(Table1[[#This Row],[Category]]="Clothing",Table1[[#This Row],[Sales]]*0.65,
Table1[[#This Row],[Sales]]*0.7)))</f>
        <v>4323.75</v>
      </c>
      <c r="I1974" s="11">
        <f ca="1">Table1[[#This Row],[Sales]]-H1974</f>
        <v>1441.25</v>
      </c>
      <c r="J1974" s="2">
        <f ca="1">Table1[[#This Row],[Profit]]/Table1[[#This Row],[Sales]]</f>
        <v>0.25</v>
      </c>
      <c r="K1974" t="str">
        <f ca="1">TEXT(Table1[[#This Row],[Order_Date]],"mmm")</f>
        <v>Oct</v>
      </c>
      <c r="L1974">
        <f ca="1">YEAR(Table1[[#This Row],[Order_Date]])</f>
        <v>2023</v>
      </c>
    </row>
    <row r="1975" spans="1:12" x14ac:dyDescent="0.3">
      <c r="A1975">
        <f t="shared" si="120"/>
        <v>1974</v>
      </c>
      <c r="B1975" s="1">
        <f t="shared" ca="1" si="121"/>
        <v>45099</v>
      </c>
      <c r="C1975" t="s">
        <v>8</v>
      </c>
      <c r="D1975" t="str">
        <f t="shared" ca="1" si="122"/>
        <v>Electronics</v>
      </c>
      <c r="E1975" t="s">
        <v>48</v>
      </c>
      <c r="F1975" s="11">
        <v>7806</v>
      </c>
      <c r="G1975">
        <f t="shared" ca="1" si="123"/>
        <v>9</v>
      </c>
      <c r="H1975" s="11">
        <f ca="1">IF(Table1[[#This Row],[Category]]="Electronics",Table1[[#This Row],[Sales]]*0.6,
IF(Table1[[#This Row],[Category]]="Furniture",Table1[[#This Row],[Sales]]*0.75,
IF(Table1[[#This Row],[Category]]="Clothing",Table1[[#This Row],[Sales]]*0.65,
Table1[[#This Row],[Sales]]*0.7)))</f>
        <v>4683.5999999999995</v>
      </c>
      <c r="I1975" s="11">
        <f ca="1">Table1[[#This Row],[Sales]]-H1975</f>
        <v>3122.4000000000005</v>
      </c>
      <c r="J1975" s="2">
        <f ca="1">Table1[[#This Row],[Profit]]/Table1[[#This Row],[Sales]]</f>
        <v>0.40000000000000008</v>
      </c>
      <c r="K1975" t="str">
        <f ca="1">TEXT(Table1[[#This Row],[Order_Date]],"mmm")</f>
        <v>Jun</v>
      </c>
      <c r="L1975">
        <f ca="1">YEAR(Table1[[#This Row],[Order_Date]])</f>
        <v>2023</v>
      </c>
    </row>
    <row r="1976" spans="1:12" x14ac:dyDescent="0.3">
      <c r="A1976">
        <f t="shared" si="120"/>
        <v>1975</v>
      </c>
      <c r="B1976" s="1">
        <f t="shared" ca="1" si="121"/>
        <v>44984</v>
      </c>
      <c r="C1976" t="s">
        <v>9</v>
      </c>
      <c r="D1976" t="str">
        <f t="shared" ca="1" si="122"/>
        <v>Electronics</v>
      </c>
      <c r="E1976" t="s">
        <v>80</v>
      </c>
      <c r="F1976" s="11">
        <v>13305</v>
      </c>
      <c r="G1976">
        <f t="shared" ca="1" si="123"/>
        <v>2</v>
      </c>
      <c r="H1976" s="11">
        <f ca="1">IF(Table1[[#This Row],[Category]]="Electronics",Table1[[#This Row],[Sales]]*0.6,
IF(Table1[[#This Row],[Category]]="Furniture",Table1[[#This Row],[Sales]]*0.75,
IF(Table1[[#This Row],[Category]]="Clothing",Table1[[#This Row],[Sales]]*0.65,
Table1[[#This Row],[Sales]]*0.7)))</f>
        <v>7983</v>
      </c>
      <c r="I1976" s="11">
        <f ca="1">Table1[[#This Row],[Sales]]-H1976</f>
        <v>5322</v>
      </c>
      <c r="J1976" s="2">
        <f ca="1">Table1[[#This Row],[Profit]]/Table1[[#This Row],[Sales]]</f>
        <v>0.4</v>
      </c>
      <c r="K1976" t="str">
        <f ca="1">TEXT(Table1[[#This Row],[Order_Date]],"mmm")</f>
        <v>Feb</v>
      </c>
      <c r="L1976">
        <f ca="1">YEAR(Table1[[#This Row],[Order_Date]])</f>
        <v>2023</v>
      </c>
    </row>
    <row r="1977" spans="1:12" x14ac:dyDescent="0.3">
      <c r="A1977">
        <f t="shared" si="120"/>
        <v>1976</v>
      </c>
      <c r="B1977" s="1">
        <f t="shared" ca="1" si="121"/>
        <v>44974</v>
      </c>
      <c r="C1977" t="s">
        <v>10</v>
      </c>
      <c r="D1977" t="str">
        <f t="shared" ca="1" si="122"/>
        <v>Electronics</v>
      </c>
      <c r="E1977" t="s">
        <v>68</v>
      </c>
      <c r="F1977" s="11">
        <v>12310</v>
      </c>
      <c r="G1977">
        <f t="shared" ca="1" si="123"/>
        <v>10</v>
      </c>
      <c r="H1977" s="11">
        <f ca="1">IF(Table1[[#This Row],[Category]]="Electronics",Table1[[#This Row],[Sales]]*0.6,
IF(Table1[[#This Row],[Category]]="Furniture",Table1[[#This Row],[Sales]]*0.75,
IF(Table1[[#This Row],[Category]]="Clothing",Table1[[#This Row],[Sales]]*0.65,
Table1[[#This Row],[Sales]]*0.7)))</f>
        <v>7386</v>
      </c>
      <c r="I1977" s="11">
        <f ca="1">Table1[[#This Row],[Sales]]-H1977</f>
        <v>4924</v>
      </c>
      <c r="J1977" s="2">
        <f ca="1">Table1[[#This Row],[Profit]]/Table1[[#This Row],[Sales]]</f>
        <v>0.4</v>
      </c>
      <c r="K1977" t="str">
        <f ca="1">TEXT(Table1[[#This Row],[Order_Date]],"mmm")</f>
        <v>Feb</v>
      </c>
      <c r="L1977">
        <f ca="1">YEAR(Table1[[#This Row],[Order_Date]])</f>
        <v>2023</v>
      </c>
    </row>
    <row r="1978" spans="1:12" x14ac:dyDescent="0.3">
      <c r="A1978">
        <f t="shared" si="120"/>
        <v>1977</v>
      </c>
      <c r="B1978" s="1">
        <f t="shared" ca="1" si="121"/>
        <v>45210</v>
      </c>
      <c r="C1978" t="s">
        <v>7</v>
      </c>
      <c r="D1978" t="str">
        <f t="shared" ca="1" si="122"/>
        <v>Furniture</v>
      </c>
      <c r="E1978" t="s">
        <v>63</v>
      </c>
      <c r="F1978" s="11">
        <v>9878</v>
      </c>
      <c r="G1978">
        <f t="shared" ca="1" si="123"/>
        <v>4</v>
      </c>
      <c r="H1978" s="11">
        <f ca="1">IF(Table1[[#This Row],[Category]]="Electronics",Table1[[#This Row],[Sales]]*0.6,
IF(Table1[[#This Row],[Category]]="Furniture",Table1[[#This Row],[Sales]]*0.75,
IF(Table1[[#This Row],[Category]]="Clothing",Table1[[#This Row],[Sales]]*0.65,
Table1[[#This Row],[Sales]]*0.7)))</f>
        <v>7408.5</v>
      </c>
      <c r="I1978" s="11">
        <f ca="1">Table1[[#This Row],[Sales]]-H1978</f>
        <v>2469.5</v>
      </c>
      <c r="J1978" s="2">
        <f ca="1">Table1[[#This Row],[Profit]]/Table1[[#This Row],[Sales]]</f>
        <v>0.25</v>
      </c>
      <c r="K1978" t="str">
        <f ca="1">TEXT(Table1[[#This Row],[Order_Date]],"mmm")</f>
        <v>Oct</v>
      </c>
      <c r="L1978">
        <f ca="1">YEAR(Table1[[#This Row],[Order_Date]])</f>
        <v>2023</v>
      </c>
    </row>
    <row r="1979" spans="1:12" x14ac:dyDescent="0.3">
      <c r="A1979">
        <f t="shared" si="120"/>
        <v>1978</v>
      </c>
      <c r="B1979" s="1">
        <f t="shared" ca="1" si="121"/>
        <v>45060</v>
      </c>
      <c r="C1979" t="s">
        <v>8</v>
      </c>
      <c r="D1979" t="str">
        <f t="shared" ca="1" si="122"/>
        <v>Office Supplies</v>
      </c>
      <c r="E1979" t="s">
        <v>75</v>
      </c>
      <c r="F1979" s="11">
        <v>14678</v>
      </c>
      <c r="G1979">
        <f t="shared" ca="1" si="123"/>
        <v>5</v>
      </c>
      <c r="H1979" s="11">
        <f ca="1">IF(Table1[[#This Row],[Category]]="Electronics",Table1[[#This Row],[Sales]]*0.6,
IF(Table1[[#This Row],[Category]]="Furniture",Table1[[#This Row],[Sales]]*0.75,
IF(Table1[[#This Row],[Category]]="Clothing",Table1[[#This Row],[Sales]]*0.65,
Table1[[#This Row],[Sales]]*0.7)))</f>
        <v>10274.599999999999</v>
      </c>
      <c r="I1979" s="11">
        <f ca="1">Table1[[#This Row],[Sales]]-H1979</f>
        <v>4403.4000000000015</v>
      </c>
      <c r="J1979" s="2">
        <f ca="1">Table1[[#This Row],[Profit]]/Table1[[#This Row],[Sales]]</f>
        <v>0.3000000000000001</v>
      </c>
      <c r="K1979" t="str">
        <f ca="1">TEXT(Table1[[#This Row],[Order_Date]],"mmm")</f>
        <v>May</v>
      </c>
      <c r="L1979">
        <f ca="1">YEAR(Table1[[#This Row],[Order_Date]])</f>
        <v>2023</v>
      </c>
    </row>
    <row r="1980" spans="1:12" x14ac:dyDescent="0.3">
      <c r="A1980">
        <f t="shared" si="120"/>
        <v>1979</v>
      </c>
      <c r="B1980" s="1">
        <f t="shared" ca="1" si="121"/>
        <v>44945</v>
      </c>
      <c r="C1980" t="s">
        <v>9</v>
      </c>
      <c r="D1980" t="str">
        <f t="shared" ca="1" si="122"/>
        <v>Electronics</v>
      </c>
      <c r="E1980" t="s">
        <v>51</v>
      </c>
      <c r="F1980" s="11">
        <v>15178</v>
      </c>
      <c r="G1980">
        <f t="shared" ca="1" si="123"/>
        <v>7</v>
      </c>
      <c r="H1980" s="11">
        <f ca="1">IF(Table1[[#This Row],[Category]]="Electronics",Table1[[#This Row],[Sales]]*0.6,
IF(Table1[[#This Row],[Category]]="Furniture",Table1[[#This Row],[Sales]]*0.75,
IF(Table1[[#This Row],[Category]]="Clothing",Table1[[#This Row],[Sales]]*0.65,
Table1[[#This Row],[Sales]]*0.7)))</f>
        <v>9106.7999999999993</v>
      </c>
      <c r="I1980" s="11">
        <f ca="1">Table1[[#This Row],[Sales]]-H1980</f>
        <v>6071.2000000000007</v>
      </c>
      <c r="J1980" s="2">
        <f ca="1">Table1[[#This Row],[Profit]]/Table1[[#This Row],[Sales]]</f>
        <v>0.4</v>
      </c>
      <c r="K1980" t="str">
        <f ca="1">TEXT(Table1[[#This Row],[Order_Date]],"mmm")</f>
        <v>Jan</v>
      </c>
      <c r="L1980">
        <f ca="1">YEAR(Table1[[#This Row],[Order_Date]])</f>
        <v>2023</v>
      </c>
    </row>
    <row r="1981" spans="1:12" x14ac:dyDescent="0.3">
      <c r="A1981">
        <f t="shared" si="120"/>
        <v>1980</v>
      </c>
      <c r="B1981" s="1">
        <f t="shared" ca="1" si="121"/>
        <v>44965</v>
      </c>
      <c r="C1981" t="s">
        <v>10</v>
      </c>
      <c r="D1981" t="str">
        <f t="shared" ca="1" si="122"/>
        <v>Office Supplies</v>
      </c>
      <c r="E1981" t="s">
        <v>40</v>
      </c>
      <c r="F1981" s="11">
        <v>3049</v>
      </c>
      <c r="G1981">
        <f t="shared" ca="1" si="123"/>
        <v>8</v>
      </c>
      <c r="H1981" s="11">
        <f ca="1">IF(Table1[[#This Row],[Category]]="Electronics",Table1[[#This Row],[Sales]]*0.6,
IF(Table1[[#This Row],[Category]]="Furniture",Table1[[#This Row],[Sales]]*0.75,
IF(Table1[[#This Row],[Category]]="Clothing",Table1[[#This Row],[Sales]]*0.65,
Table1[[#This Row],[Sales]]*0.7)))</f>
        <v>2134.2999999999997</v>
      </c>
      <c r="I1981" s="11">
        <f ca="1">Table1[[#This Row],[Sales]]-H1981</f>
        <v>914.70000000000027</v>
      </c>
      <c r="J1981" s="2">
        <f ca="1">Table1[[#This Row],[Profit]]/Table1[[#This Row],[Sales]]</f>
        <v>0.3000000000000001</v>
      </c>
      <c r="K1981" t="str">
        <f ca="1">TEXT(Table1[[#This Row],[Order_Date]],"mmm")</f>
        <v>Feb</v>
      </c>
      <c r="L1981">
        <f ca="1">YEAR(Table1[[#This Row],[Order_Date]])</f>
        <v>2023</v>
      </c>
    </row>
    <row r="1982" spans="1:12" x14ac:dyDescent="0.3">
      <c r="A1982">
        <f t="shared" si="120"/>
        <v>1981</v>
      </c>
      <c r="B1982" s="1">
        <f t="shared" ca="1" si="121"/>
        <v>45153</v>
      </c>
      <c r="C1982" t="s">
        <v>7</v>
      </c>
      <c r="D1982" t="str">
        <f t="shared" ca="1" si="122"/>
        <v>Office Supplies</v>
      </c>
      <c r="E1982" t="s">
        <v>70</v>
      </c>
      <c r="F1982" s="11">
        <v>19085</v>
      </c>
      <c r="G1982">
        <f t="shared" ca="1" si="123"/>
        <v>9</v>
      </c>
      <c r="H1982" s="11">
        <f ca="1">IF(Table1[[#This Row],[Category]]="Electronics",Table1[[#This Row],[Sales]]*0.6,
IF(Table1[[#This Row],[Category]]="Furniture",Table1[[#This Row],[Sales]]*0.75,
IF(Table1[[#This Row],[Category]]="Clothing",Table1[[#This Row],[Sales]]*0.65,
Table1[[#This Row],[Sales]]*0.7)))</f>
        <v>13359.5</v>
      </c>
      <c r="I1982" s="11">
        <f ca="1">Table1[[#This Row],[Sales]]-H1982</f>
        <v>5725.5</v>
      </c>
      <c r="J1982" s="2">
        <f ca="1">Table1[[#This Row],[Profit]]/Table1[[#This Row],[Sales]]</f>
        <v>0.3</v>
      </c>
      <c r="K1982" t="str">
        <f ca="1">TEXT(Table1[[#This Row],[Order_Date]],"mmm")</f>
        <v>Aug</v>
      </c>
      <c r="L1982">
        <f ca="1">YEAR(Table1[[#This Row],[Order_Date]])</f>
        <v>2023</v>
      </c>
    </row>
    <row r="1983" spans="1:12" x14ac:dyDescent="0.3">
      <c r="A1983">
        <f t="shared" si="120"/>
        <v>1982</v>
      </c>
      <c r="B1983" s="1">
        <f t="shared" ca="1" si="121"/>
        <v>44944</v>
      </c>
      <c r="C1983" t="s">
        <v>8</v>
      </c>
      <c r="D1983" t="str">
        <f t="shared" ca="1" si="122"/>
        <v>Furniture</v>
      </c>
      <c r="E1983" t="s">
        <v>48</v>
      </c>
      <c r="F1983" s="11">
        <v>2477</v>
      </c>
      <c r="G1983">
        <f t="shared" ca="1" si="123"/>
        <v>4</v>
      </c>
      <c r="H1983" s="11">
        <f ca="1">IF(Table1[[#This Row],[Category]]="Electronics",Table1[[#This Row],[Sales]]*0.6,
IF(Table1[[#This Row],[Category]]="Furniture",Table1[[#This Row],[Sales]]*0.75,
IF(Table1[[#This Row],[Category]]="Clothing",Table1[[#This Row],[Sales]]*0.65,
Table1[[#This Row],[Sales]]*0.7)))</f>
        <v>1857.75</v>
      </c>
      <c r="I1983" s="11">
        <f ca="1">Table1[[#This Row],[Sales]]-H1983</f>
        <v>619.25</v>
      </c>
      <c r="J1983" s="2">
        <f ca="1">Table1[[#This Row],[Profit]]/Table1[[#This Row],[Sales]]</f>
        <v>0.25</v>
      </c>
      <c r="K1983" t="str">
        <f ca="1">TEXT(Table1[[#This Row],[Order_Date]],"mmm")</f>
        <v>Jan</v>
      </c>
      <c r="L1983">
        <f ca="1">YEAR(Table1[[#This Row],[Order_Date]])</f>
        <v>2023</v>
      </c>
    </row>
    <row r="1984" spans="1:12" x14ac:dyDescent="0.3">
      <c r="A1984">
        <f t="shared" si="120"/>
        <v>1983</v>
      </c>
      <c r="B1984" s="1">
        <f t="shared" ca="1" si="121"/>
        <v>45039</v>
      </c>
      <c r="C1984" t="s">
        <v>9</v>
      </c>
      <c r="D1984" t="str">
        <f t="shared" ca="1" si="122"/>
        <v>Furniture</v>
      </c>
      <c r="E1984" t="s">
        <v>71</v>
      </c>
      <c r="F1984" s="11">
        <v>16510</v>
      </c>
      <c r="G1984">
        <f t="shared" ca="1" si="123"/>
        <v>9</v>
      </c>
      <c r="H1984" s="11">
        <f ca="1">IF(Table1[[#This Row],[Category]]="Electronics",Table1[[#This Row],[Sales]]*0.6,
IF(Table1[[#This Row],[Category]]="Furniture",Table1[[#This Row],[Sales]]*0.75,
IF(Table1[[#This Row],[Category]]="Clothing",Table1[[#This Row],[Sales]]*0.65,
Table1[[#This Row],[Sales]]*0.7)))</f>
        <v>12382.5</v>
      </c>
      <c r="I1984" s="11">
        <f ca="1">Table1[[#This Row],[Sales]]-H1984</f>
        <v>4127.5</v>
      </c>
      <c r="J1984" s="2">
        <f ca="1">Table1[[#This Row],[Profit]]/Table1[[#This Row],[Sales]]</f>
        <v>0.25</v>
      </c>
      <c r="K1984" t="str">
        <f ca="1">TEXT(Table1[[#This Row],[Order_Date]],"mmm")</f>
        <v>Apr</v>
      </c>
      <c r="L1984">
        <f ca="1">YEAR(Table1[[#This Row],[Order_Date]])</f>
        <v>2023</v>
      </c>
    </row>
    <row r="1985" spans="1:12" x14ac:dyDescent="0.3">
      <c r="A1985">
        <f t="shared" si="120"/>
        <v>1984</v>
      </c>
      <c r="B1985" s="1">
        <f t="shared" ca="1" si="121"/>
        <v>45170</v>
      </c>
      <c r="C1985" t="s">
        <v>10</v>
      </c>
      <c r="D1985" t="str">
        <f t="shared" ca="1" si="122"/>
        <v>Electronics</v>
      </c>
      <c r="E1985" t="s">
        <v>78</v>
      </c>
      <c r="F1985" s="11">
        <v>10955</v>
      </c>
      <c r="G1985">
        <f t="shared" ca="1" si="123"/>
        <v>8</v>
      </c>
      <c r="H1985" s="11">
        <f ca="1">IF(Table1[[#This Row],[Category]]="Electronics",Table1[[#This Row],[Sales]]*0.6,
IF(Table1[[#This Row],[Category]]="Furniture",Table1[[#This Row],[Sales]]*0.75,
IF(Table1[[#This Row],[Category]]="Clothing",Table1[[#This Row],[Sales]]*0.65,
Table1[[#This Row],[Sales]]*0.7)))</f>
        <v>6573</v>
      </c>
      <c r="I1985" s="11">
        <f ca="1">Table1[[#This Row],[Sales]]-H1985</f>
        <v>4382</v>
      </c>
      <c r="J1985" s="2">
        <f ca="1">Table1[[#This Row],[Profit]]/Table1[[#This Row],[Sales]]</f>
        <v>0.4</v>
      </c>
      <c r="K1985" t="str">
        <f ca="1">TEXT(Table1[[#This Row],[Order_Date]],"mmm")</f>
        <v>Sep</v>
      </c>
      <c r="L1985">
        <f ca="1">YEAR(Table1[[#This Row],[Order_Date]])</f>
        <v>2023</v>
      </c>
    </row>
    <row r="1986" spans="1:12" x14ac:dyDescent="0.3">
      <c r="A1986">
        <f t="shared" si="120"/>
        <v>1985</v>
      </c>
      <c r="B1986" s="1">
        <f t="shared" ca="1" si="121"/>
        <v>44962</v>
      </c>
      <c r="C1986" t="s">
        <v>7</v>
      </c>
      <c r="D1986" t="str">
        <f t="shared" ca="1" si="122"/>
        <v>Clothing</v>
      </c>
      <c r="E1986" t="s">
        <v>72</v>
      </c>
      <c r="F1986" s="11">
        <v>18563</v>
      </c>
      <c r="G1986">
        <f t="shared" ca="1" si="123"/>
        <v>3</v>
      </c>
      <c r="H1986" s="11">
        <f ca="1">IF(Table1[[#This Row],[Category]]="Electronics",Table1[[#This Row],[Sales]]*0.6,
IF(Table1[[#This Row],[Category]]="Furniture",Table1[[#This Row],[Sales]]*0.75,
IF(Table1[[#This Row],[Category]]="Clothing",Table1[[#This Row],[Sales]]*0.65,
Table1[[#This Row],[Sales]]*0.7)))</f>
        <v>12065.95</v>
      </c>
      <c r="I1986" s="11">
        <f ca="1">Table1[[#This Row],[Sales]]-H1986</f>
        <v>6497.0499999999993</v>
      </c>
      <c r="J1986" s="2">
        <f ca="1">Table1[[#This Row],[Profit]]/Table1[[#This Row],[Sales]]</f>
        <v>0.35</v>
      </c>
      <c r="K1986" t="str">
        <f ca="1">TEXT(Table1[[#This Row],[Order_Date]],"mmm")</f>
        <v>Feb</v>
      </c>
      <c r="L1986">
        <f ca="1">YEAR(Table1[[#This Row],[Order_Date]])</f>
        <v>2023</v>
      </c>
    </row>
    <row r="1987" spans="1:12" x14ac:dyDescent="0.3">
      <c r="A1987">
        <f t="shared" ref="A1987:A2000" si="124">ROW()-1</f>
        <v>1986</v>
      </c>
      <c r="B1987" s="1">
        <f t="shared" ref="B1987:B2000" ca="1" si="125">DATE(2023, RANDBETWEEN(1,12), RANDBETWEEN(1,28))</f>
        <v>45277</v>
      </c>
      <c r="C1987" t="s">
        <v>8</v>
      </c>
      <c r="D1987" t="str">
        <f t="shared" ref="D1987:D2000" ca="1" si="126">CHOOSE(RANDBETWEEN(1,4),"Electronics","Furniture","Clothing","Office Supplies")</f>
        <v>Electronics</v>
      </c>
      <c r="E1987" t="s">
        <v>78</v>
      </c>
      <c r="F1987" s="11">
        <v>7563</v>
      </c>
      <c r="G1987">
        <f t="shared" ref="G1987:G2000" ca="1" si="127">RANDBETWEEN(1,10)</f>
        <v>2</v>
      </c>
      <c r="H1987" s="11">
        <f ca="1">IF(Table1[[#This Row],[Category]]="Electronics",Table1[[#This Row],[Sales]]*0.6,
IF(Table1[[#This Row],[Category]]="Furniture",Table1[[#This Row],[Sales]]*0.75,
IF(Table1[[#This Row],[Category]]="Clothing",Table1[[#This Row],[Sales]]*0.65,
Table1[[#This Row],[Sales]]*0.7)))</f>
        <v>4537.8</v>
      </c>
      <c r="I1987" s="11">
        <f ca="1">Table1[[#This Row],[Sales]]-H1987</f>
        <v>3025.2</v>
      </c>
      <c r="J1987" s="2">
        <f ca="1">Table1[[#This Row],[Profit]]/Table1[[#This Row],[Sales]]</f>
        <v>0.39999999999999997</v>
      </c>
      <c r="K1987" t="str">
        <f ca="1">TEXT(Table1[[#This Row],[Order_Date]],"mmm")</f>
        <v>Dec</v>
      </c>
      <c r="L1987">
        <f ca="1">YEAR(Table1[[#This Row],[Order_Date]])</f>
        <v>2023</v>
      </c>
    </row>
    <row r="1988" spans="1:12" x14ac:dyDescent="0.3">
      <c r="A1988">
        <f t="shared" si="124"/>
        <v>1987</v>
      </c>
      <c r="B1988" s="1">
        <f t="shared" ca="1" si="125"/>
        <v>45224</v>
      </c>
      <c r="C1988" t="s">
        <v>9</v>
      </c>
      <c r="D1988" t="str">
        <f t="shared" ca="1" si="126"/>
        <v>Office Supplies</v>
      </c>
      <c r="E1988" t="s">
        <v>38</v>
      </c>
      <c r="F1988" s="11">
        <v>9143</v>
      </c>
      <c r="G1988">
        <f t="shared" ca="1" si="127"/>
        <v>9</v>
      </c>
      <c r="H1988" s="11">
        <f ca="1">IF(Table1[[#This Row],[Category]]="Electronics",Table1[[#This Row],[Sales]]*0.6,
IF(Table1[[#This Row],[Category]]="Furniture",Table1[[#This Row],[Sales]]*0.75,
IF(Table1[[#This Row],[Category]]="Clothing",Table1[[#This Row],[Sales]]*0.65,
Table1[[#This Row],[Sales]]*0.7)))</f>
        <v>6400.0999999999995</v>
      </c>
      <c r="I1988" s="11">
        <f ca="1">Table1[[#This Row],[Sales]]-H1988</f>
        <v>2742.9000000000005</v>
      </c>
      <c r="J1988" s="2">
        <f ca="1">Table1[[#This Row],[Profit]]/Table1[[#This Row],[Sales]]</f>
        <v>0.30000000000000004</v>
      </c>
      <c r="K1988" t="str">
        <f ca="1">TEXT(Table1[[#This Row],[Order_Date]],"mmm")</f>
        <v>Oct</v>
      </c>
      <c r="L1988">
        <f ca="1">YEAR(Table1[[#This Row],[Order_Date]])</f>
        <v>2023</v>
      </c>
    </row>
    <row r="1989" spans="1:12" x14ac:dyDescent="0.3">
      <c r="A1989">
        <f t="shared" si="124"/>
        <v>1988</v>
      </c>
      <c r="B1989" s="1">
        <f t="shared" ca="1" si="125"/>
        <v>45270</v>
      </c>
      <c r="C1989" t="s">
        <v>10</v>
      </c>
      <c r="D1989" t="str">
        <f t="shared" ca="1" si="126"/>
        <v>Clothing</v>
      </c>
      <c r="E1989" t="s">
        <v>41</v>
      </c>
      <c r="F1989" s="11">
        <v>14546</v>
      </c>
      <c r="G1989">
        <f t="shared" ca="1" si="127"/>
        <v>10</v>
      </c>
      <c r="H1989" s="11">
        <f ca="1">IF(Table1[[#This Row],[Category]]="Electronics",Table1[[#This Row],[Sales]]*0.6,
IF(Table1[[#This Row],[Category]]="Furniture",Table1[[#This Row],[Sales]]*0.75,
IF(Table1[[#This Row],[Category]]="Clothing",Table1[[#This Row],[Sales]]*0.65,
Table1[[#This Row],[Sales]]*0.7)))</f>
        <v>9454.9</v>
      </c>
      <c r="I1989" s="11">
        <f ca="1">Table1[[#This Row],[Sales]]-H1989</f>
        <v>5091.1000000000004</v>
      </c>
      <c r="J1989" s="2">
        <f ca="1">Table1[[#This Row],[Profit]]/Table1[[#This Row],[Sales]]</f>
        <v>0.35000000000000003</v>
      </c>
      <c r="K1989" t="str">
        <f ca="1">TEXT(Table1[[#This Row],[Order_Date]],"mmm")</f>
        <v>Dec</v>
      </c>
      <c r="L1989">
        <f ca="1">YEAR(Table1[[#This Row],[Order_Date]])</f>
        <v>2023</v>
      </c>
    </row>
    <row r="1990" spans="1:12" x14ac:dyDescent="0.3">
      <c r="A1990">
        <f t="shared" si="124"/>
        <v>1989</v>
      </c>
      <c r="B1990" s="1">
        <f t="shared" ca="1" si="125"/>
        <v>45117</v>
      </c>
      <c r="C1990" t="s">
        <v>7</v>
      </c>
      <c r="D1990" t="str">
        <f t="shared" ca="1" si="126"/>
        <v>Electronics</v>
      </c>
      <c r="E1990" t="s">
        <v>81</v>
      </c>
      <c r="F1990" s="11">
        <v>2957</v>
      </c>
      <c r="G1990">
        <f t="shared" ca="1" si="127"/>
        <v>7</v>
      </c>
      <c r="H1990" s="11">
        <f ca="1">IF(Table1[[#This Row],[Category]]="Electronics",Table1[[#This Row],[Sales]]*0.6,
IF(Table1[[#This Row],[Category]]="Furniture",Table1[[#This Row],[Sales]]*0.75,
IF(Table1[[#This Row],[Category]]="Clothing",Table1[[#This Row],[Sales]]*0.65,
Table1[[#This Row],[Sales]]*0.7)))</f>
        <v>1774.2</v>
      </c>
      <c r="I1990" s="11">
        <f ca="1">Table1[[#This Row],[Sales]]-H1990</f>
        <v>1182.8</v>
      </c>
      <c r="J1990" s="2">
        <f ca="1">Table1[[#This Row],[Profit]]/Table1[[#This Row],[Sales]]</f>
        <v>0.39999999999999997</v>
      </c>
      <c r="K1990" t="str">
        <f ca="1">TEXT(Table1[[#This Row],[Order_Date]],"mmm")</f>
        <v>Jul</v>
      </c>
      <c r="L1990">
        <f ca="1">YEAR(Table1[[#This Row],[Order_Date]])</f>
        <v>2023</v>
      </c>
    </row>
    <row r="1991" spans="1:12" x14ac:dyDescent="0.3">
      <c r="A1991">
        <f t="shared" si="124"/>
        <v>1990</v>
      </c>
      <c r="B1991" s="1">
        <f t="shared" ca="1" si="125"/>
        <v>45081</v>
      </c>
      <c r="C1991" t="s">
        <v>8</v>
      </c>
      <c r="D1991" t="str">
        <f t="shared" ca="1" si="126"/>
        <v>Electronics</v>
      </c>
      <c r="E1991" t="s">
        <v>43</v>
      </c>
      <c r="F1991" s="11">
        <v>19514</v>
      </c>
      <c r="G1991">
        <f t="shared" ca="1" si="127"/>
        <v>8</v>
      </c>
      <c r="H1991" s="11">
        <f ca="1">IF(Table1[[#This Row],[Category]]="Electronics",Table1[[#This Row],[Sales]]*0.6,
IF(Table1[[#This Row],[Category]]="Furniture",Table1[[#This Row],[Sales]]*0.75,
IF(Table1[[#This Row],[Category]]="Clothing",Table1[[#This Row],[Sales]]*0.65,
Table1[[#This Row],[Sales]]*0.7)))</f>
        <v>11708.4</v>
      </c>
      <c r="I1991" s="11">
        <f ca="1">Table1[[#This Row],[Sales]]-H1991</f>
        <v>7805.6</v>
      </c>
      <c r="J1991" s="2">
        <f ca="1">Table1[[#This Row],[Profit]]/Table1[[#This Row],[Sales]]</f>
        <v>0.4</v>
      </c>
      <c r="K1991" t="str">
        <f ca="1">TEXT(Table1[[#This Row],[Order_Date]],"mmm")</f>
        <v>Jun</v>
      </c>
      <c r="L1991">
        <f ca="1">YEAR(Table1[[#This Row],[Order_Date]])</f>
        <v>2023</v>
      </c>
    </row>
    <row r="1992" spans="1:12" x14ac:dyDescent="0.3">
      <c r="A1992">
        <f t="shared" si="124"/>
        <v>1991</v>
      </c>
      <c r="B1992" s="1">
        <f t="shared" ca="1" si="125"/>
        <v>45127</v>
      </c>
      <c r="C1992" t="s">
        <v>9</v>
      </c>
      <c r="D1992" t="str">
        <f t="shared" ca="1" si="126"/>
        <v>Clothing</v>
      </c>
      <c r="E1992" t="s">
        <v>41</v>
      </c>
      <c r="F1992" s="11">
        <v>16209</v>
      </c>
      <c r="G1992">
        <f t="shared" ca="1" si="127"/>
        <v>9</v>
      </c>
      <c r="H1992" s="11">
        <f ca="1">IF(Table1[[#This Row],[Category]]="Electronics",Table1[[#This Row],[Sales]]*0.6,
IF(Table1[[#This Row],[Category]]="Furniture",Table1[[#This Row],[Sales]]*0.75,
IF(Table1[[#This Row],[Category]]="Clothing",Table1[[#This Row],[Sales]]*0.65,
Table1[[#This Row],[Sales]]*0.7)))</f>
        <v>10535.85</v>
      </c>
      <c r="I1992" s="11">
        <f ca="1">Table1[[#This Row],[Sales]]-H1992</f>
        <v>5673.15</v>
      </c>
      <c r="J1992" s="2">
        <f ca="1">Table1[[#This Row],[Profit]]/Table1[[#This Row],[Sales]]</f>
        <v>0.35</v>
      </c>
      <c r="K1992" t="str">
        <f ca="1">TEXT(Table1[[#This Row],[Order_Date]],"mmm")</f>
        <v>Jul</v>
      </c>
      <c r="L1992">
        <f ca="1">YEAR(Table1[[#This Row],[Order_Date]])</f>
        <v>2023</v>
      </c>
    </row>
    <row r="1993" spans="1:12" x14ac:dyDescent="0.3">
      <c r="A1993">
        <f t="shared" si="124"/>
        <v>1992</v>
      </c>
      <c r="B1993" s="1">
        <f t="shared" ca="1" si="125"/>
        <v>45173</v>
      </c>
      <c r="C1993" t="s">
        <v>10</v>
      </c>
      <c r="D1993" t="str">
        <f t="shared" ca="1" si="126"/>
        <v>Office Supplies</v>
      </c>
      <c r="E1993" t="s">
        <v>49</v>
      </c>
      <c r="F1993" s="11">
        <v>19996</v>
      </c>
      <c r="G1993">
        <f t="shared" ca="1" si="127"/>
        <v>10</v>
      </c>
      <c r="H1993" s="11">
        <f ca="1">IF(Table1[[#This Row],[Category]]="Electronics",Table1[[#This Row],[Sales]]*0.6,
IF(Table1[[#This Row],[Category]]="Furniture",Table1[[#This Row],[Sales]]*0.75,
IF(Table1[[#This Row],[Category]]="Clothing",Table1[[#This Row],[Sales]]*0.65,
Table1[[#This Row],[Sales]]*0.7)))</f>
        <v>13997.199999999999</v>
      </c>
      <c r="I1993" s="11">
        <f ca="1">Table1[[#This Row],[Sales]]-H1993</f>
        <v>5998.8000000000011</v>
      </c>
      <c r="J1993" s="2">
        <f ca="1">Table1[[#This Row],[Profit]]/Table1[[#This Row],[Sales]]</f>
        <v>0.30000000000000004</v>
      </c>
      <c r="K1993" t="str">
        <f ca="1">TEXT(Table1[[#This Row],[Order_Date]],"mmm")</f>
        <v>Sep</v>
      </c>
      <c r="L1993">
        <f ca="1">YEAR(Table1[[#This Row],[Order_Date]])</f>
        <v>2023</v>
      </c>
    </row>
    <row r="1994" spans="1:12" x14ac:dyDescent="0.3">
      <c r="A1994">
        <f t="shared" si="124"/>
        <v>1993</v>
      </c>
      <c r="B1994" s="1">
        <f t="shared" ca="1" si="125"/>
        <v>44965</v>
      </c>
      <c r="C1994" t="s">
        <v>7</v>
      </c>
      <c r="D1994" t="str">
        <f t="shared" ca="1" si="126"/>
        <v>Clothing</v>
      </c>
      <c r="E1994" t="s">
        <v>53</v>
      </c>
      <c r="F1994" s="11">
        <v>8106</v>
      </c>
      <c r="G1994">
        <f t="shared" ca="1" si="127"/>
        <v>6</v>
      </c>
      <c r="H1994" s="11">
        <f ca="1">IF(Table1[[#This Row],[Category]]="Electronics",Table1[[#This Row],[Sales]]*0.6,
IF(Table1[[#This Row],[Category]]="Furniture",Table1[[#This Row],[Sales]]*0.75,
IF(Table1[[#This Row],[Category]]="Clothing",Table1[[#This Row],[Sales]]*0.65,
Table1[[#This Row],[Sales]]*0.7)))</f>
        <v>5268.9000000000005</v>
      </c>
      <c r="I1994" s="11">
        <f ca="1">Table1[[#This Row],[Sales]]-H1994</f>
        <v>2837.0999999999995</v>
      </c>
      <c r="J1994" s="2">
        <f ca="1">Table1[[#This Row],[Profit]]/Table1[[#This Row],[Sales]]</f>
        <v>0.34999999999999992</v>
      </c>
      <c r="K1994" t="str">
        <f ca="1">TEXT(Table1[[#This Row],[Order_Date]],"mmm")</f>
        <v>Feb</v>
      </c>
      <c r="L1994">
        <f ca="1">YEAR(Table1[[#This Row],[Order_Date]])</f>
        <v>2023</v>
      </c>
    </row>
    <row r="1995" spans="1:12" x14ac:dyDescent="0.3">
      <c r="A1995">
        <f t="shared" si="124"/>
        <v>1994</v>
      </c>
      <c r="B1995" s="1">
        <f t="shared" ca="1" si="125"/>
        <v>45008</v>
      </c>
      <c r="C1995" t="s">
        <v>8</v>
      </c>
      <c r="D1995" t="str">
        <f t="shared" ca="1" si="126"/>
        <v>Office Supplies</v>
      </c>
      <c r="E1995" t="s">
        <v>39</v>
      </c>
      <c r="F1995" s="11">
        <v>17060</v>
      </c>
      <c r="G1995">
        <f t="shared" ca="1" si="127"/>
        <v>9</v>
      </c>
      <c r="H1995" s="11">
        <f ca="1">IF(Table1[[#This Row],[Category]]="Electronics",Table1[[#This Row],[Sales]]*0.6,
IF(Table1[[#This Row],[Category]]="Furniture",Table1[[#This Row],[Sales]]*0.75,
IF(Table1[[#This Row],[Category]]="Clothing",Table1[[#This Row],[Sales]]*0.65,
Table1[[#This Row],[Sales]]*0.7)))</f>
        <v>11942</v>
      </c>
      <c r="I1995" s="11">
        <f ca="1">Table1[[#This Row],[Sales]]-H1995</f>
        <v>5118</v>
      </c>
      <c r="J1995" s="2">
        <f ca="1">Table1[[#This Row],[Profit]]/Table1[[#This Row],[Sales]]</f>
        <v>0.3</v>
      </c>
      <c r="K1995" t="str">
        <f ca="1">TEXT(Table1[[#This Row],[Order_Date]],"mmm")</f>
        <v>Mar</v>
      </c>
      <c r="L1995">
        <f ca="1">YEAR(Table1[[#This Row],[Order_Date]])</f>
        <v>2023</v>
      </c>
    </row>
    <row r="1996" spans="1:12" x14ac:dyDescent="0.3">
      <c r="A1996">
        <f t="shared" si="124"/>
        <v>1995</v>
      </c>
      <c r="B1996" s="1">
        <f t="shared" ca="1" si="125"/>
        <v>44933</v>
      </c>
      <c r="C1996" t="s">
        <v>9</v>
      </c>
      <c r="D1996" t="str">
        <f t="shared" ca="1" si="126"/>
        <v>Electronics</v>
      </c>
      <c r="E1996" t="s">
        <v>77</v>
      </c>
      <c r="F1996" s="11">
        <v>16308</v>
      </c>
      <c r="G1996">
        <f t="shared" ca="1" si="127"/>
        <v>6</v>
      </c>
      <c r="H1996" s="11">
        <f ca="1">IF(Table1[[#This Row],[Category]]="Electronics",Table1[[#This Row],[Sales]]*0.6,
IF(Table1[[#This Row],[Category]]="Furniture",Table1[[#This Row],[Sales]]*0.75,
IF(Table1[[#This Row],[Category]]="Clothing",Table1[[#This Row],[Sales]]*0.65,
Table1[[#This Row],[Sales]]*0.7)))</f>
        <v>9784.7999999999993</v>
      </c>
      <c r="I1996" s="11">
        <f ca="1">Table1[[#This Row],[Sales]]-H1996</f>
        <v>6523.2000000000007</v>
      </c>
      <c r="J1996" s="2">
        <f ca="1">Table1[[#This Row],[Profit]]/Table1[[#This Row],[Sales]]</f>
        <v>0.4</v>
      </c>
      <c r="K1996" t="str">
        <f ca="1">TEXT(Table1[[#This Row],[Order_Date]],"mmm")</f>
        <v>Jan</v>
      </c>
      <c r="L1996">
        <f ca="1">YEAR(Table1[[#This Row],[Order_Date]])</f>
        <v>2023</v>
      </c>
    </row>
    <row r="1997" spans="1:12" x14ac:dyDescent="0.3">
      <c r="A1997">
        <f t="shared" si="124"/>
        <v>1996</v>
      </c>
      <c r="B1997" s="1">
        <f t="shared" ca="1" si="125"/>
        <v>44992</v>
      </c>
      <c r="C1997" t="s">
        <v>10</v>
      </c>
      <c r="D1997" t="str">
        <f t="shared" ca="1" si="126"/>
        <v>Office Supplies</v>
      </c>
      <c r="E1997" t="s">
        <v>61</v>
      </c>
      <c r="F1997" s="11">
        <v>14401</v>
      </c>
      <c r="G1997">
        <f t="shared" ca="1" si="127"/>
        <v>4</v>
      </c>
      <c r="H1997" s="11">
        <f ca="1">IF(Table1[[#This Row],[Category]]="Electronics",Table1[[#This Row],[Sales]]*0.6,
IF(Table1[[#This Row],[Category]]="Furniture",Table1[[#This Row],[Sales]]*0.75,
IF(Table1[[#This Row],[Category]]="Clothing",Table1[[#This Row],[Sales]]*0.65,
Table1[[#This Row],[Sales]]*0.7)))</f>
        <v>10080.699999999999</v>
      </c>
      <c r="I1997" s="11">
        <f ca="1">Table1[[#This Row],[Sales]]-H1997</f>
        <v>4320.3000000000011</v>
      </c>
      <c r="J1997" s="2">
        <f ca="1">Table1[[#This Row],[Profit]]/Table1[[#This Row],[Sales]]</f>
        <v>0.3000000000000001</v>
      </c>
      <c r="K1997" t="str">
        <f ca="1">TEXT(Table1[[#This Row],[Order_Date]],"mmm")</f>
        <v>Mar</v>
      </c>
      <c r="L1997">
        <f ca="1">YEAR(Table1[[#This Row],[Order_Date]])</f>
        <v>2023</v>
      </c>
    </row>
    <row r="1998" spans="1:12" x14ac:dyDescent="0.3">
      <c r="A1998">
        <f t="shared" si="124"/>
        <v>1997</v>
      </c>
      <c r="B1998" s="1">
        <f t="shared" ca="1" si="125"/>
        <v>45278</v>
      </c>
      <c r="C1998" t="s">
        <v>7</v>
      </c>
      <c r="D1998" t="str">
        <f t="shared" ca="1" si="126"/>
        <v>Electronics</v>
      </c>
      <c r="E1998" t="s">
        <v>73</v>
      </c>
      <c r="F1998" s="11">
        <v>18164</v>
      </c>
      <c r="G1998">
        <f t="shared" ca="1" si="127"/>
        <v>1</v>
      </c>
      <c r="H1998" s="11">
        <f ca="1">IF(Table1[[#This Row],[Category]]="Electronics",Table1[[#This Row],[Sales]]*0.6,
IF(Table1[[#This Row],[Category]]="Furniture",Table1[[#This Row],[Sales]]*0.75,
IF(Table1[[#This Row],[Category]]="Clothing",Table1[[#This Row],[Sales]]*0.65,
Table1[[#This Row],[Sales]]*0.7)))</f>
        <v>10898.4</v>
      </c>
      <c r="I1998" s="11">
        <f ca="1">Table1[[#This Row],[Sales]]-H1998</f>
        <v>7265.6</v>
      </c>
      <c r="J1998" s="2">
        <f ca="1">Table1[[#This Row],[Profit]]/Table1[[#This Row],[Sales]]</f>
        <v>0.4</v>
      </c>
      <c r="K1998" t="str">
        <f ca="1">TEXT(Table1[[#This Row],[Order_Date]],"mmm")</f>
        <v>Dec</v>
      </c>
      <c r="L1998">
        <f ca="1">YEAR(Table1[[#This Row],[Order_Date]])</f>
        <v>2023</v>
      </c>
    </row>
    <row r="1999" spans="1:12" x14ac:dyDescent="0.3">
      <c r="A1999">
        <f t="shared" si="124"/>
        <v>1998</v>
      </c>
      <c r="B1999" s="1">
        <f t="shared" ca="1" si="125"/>
        <v>45060</v>
      </c>
      <c r="C1999" t="s">
        <v>8</v>
      </c>
      <c r="D1999" t="str">
        <f t="shared" ca="1" si="126"/>
        <v>Furniture</v>
      </c>
      <c r="E1999" t="s">
        <v>79</v>
      </c>
      <c r="F1999" s="11">
        <v>18790</v>
      </c>
      <c r="G1999">
        <f t="shared" ca="1" si="127"/>
        <v>1</v>
      </c>
      <c r="H1999" s="11">
        <f ca="1">IF(Table1[[#This Row],[Category]]="Electronics",Table1[[#This Row],[Sales]]*0.6,
IF(Table1[[#This Row],[Category]]="Furniture",Table1[[#This Row],[Sales]]*0.75,
IF(Table1[[#This Row],[Category]]="Clothing",Table1[[#This Row],[Sales]]*0.65,
Table1[[#This Row],[Sales]]*0.7)))</f>
        <v>14092.5</v>
      </c>
      <c r="I1999" s="11">
        <f ca="1">Table1[[#This Row],[Sales]]-H1999</f>
        <v>4697.5</v>
      </c>
      <c r="J1999" s="2">
        <f ca="1">Table1[[#This Row],[Profit]]/Table1[[#This Row],[Sales]]</f>
        <v>0.25</v>
      </c>
      <c r="K1999" t="str">
        <f ca="1">TEXT(Table1[[#This Row],[Order_Date]],"mmm")</f>
        <v>May</v>
      </c>
      <c r="L1999">
        <f ca="1">YEAR(Table1[[#This Row],[Order_Date]])</f>
        <v>2023</v>
      </c>
    </row>
    <row r="2000" spans="1:12" x14ac:dyDescent="0.3">
      <c r="A2000">
        <f t="shared" si="124"/>
        <v>1999</v>
      </c>
      <c r="B2000" s="1">
        <f t="shared" ca="1" si="125"/>
        <v>45269</v>
      </c>
      <c r="C2000" t="s">
        <v>9</v>
      </c>
      <c r="D2000" t="str">
        <f t="shared" ca="1" si="126"/>
        <v>Furniture</v>
      </c>
      <c r="E2000" t="s">
        <v>55</v>
      </c>
      <c r="F2000" s="11">
        <v>16727</v>
      </c>
      <c r="G2000">
        <f t="shared" ca="1" si="127"/>
        <v>10</v>
      </c>
      <c r="H2000" s="11">
        <f ca="1">IF(Table1[[#This Row],[Category]]="Electronics",Table1[[#This Row],[Sales]]*0.6,
IF(Table1[[#This Row],[Category]]="Furniture",Table1[[#This Row],[Sales]]*0.75,
IF(Table1[[#This Row],[Category]]="Clothing",Table1[[#This Row],[Sales]]*0.65,
Table1[[#This Row],[Sales]]*0.7)))</f>
        <v>12545.25</v>
      </c>
      <c r="I2000" s="11">
        <f ca="1">Table1[[#This Row],[Sales]]-H2000</f>
        <v>4181.75</v>
      </c>
      <c r="J2000" s="2">
        <f ca="1">Table1[[#This Row],[Profit]]/Table1[[#This Row],[Sales]]</f>
        <v>0.25</v>
      </c>
      <c r="K2000" t="str">
        <f ca="1">TEXT(Table1[[#This Row],[Order_Date]],"mmm")</f>
        <v>Dec</v>
      </c>
      <c r="L2000">
        <f ca="1">YEAR(Table1[[#This Row],[Order_Date]])</f>
        <v>2023</v>
      </c>
    </row>
  </sheetData>
  <dataValidations count="1">
    <dataValidation type="list" allowBlank="1" showInputMessage="1" showErrorMessage="1" sqref="C2:C2000">
      <formula1>$C$2:$C$5</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2003"/>
  <sheetViews>
    <sheetView zoomScale="86" zoomScaleNormal="100" workbookViewId="0">
      <selection activeCell="L8" sqref="L8"/>
    </sheetView>
  </sheetViews>
  <sheetFormatPr defaultRowHeight="14.4" x14ac:dyDescent="0.3"/>
  <cols>
    <col min="1" max="1" width="13.6640625" bestFit="1" customWidth="1"/>
    <col min="2" max="2" width="20.21875" customWidth="1"/>
    <col min="3" max="3" width="12.5546875" bestFit="1" customWidth="1"/>
    <col min="4" max="4" width="11.6640625" bestFit="1" customWidth="1"/>
    <col min="9" max="9" width="18.88671875" bestFit="1" customWidth="1"/>
    <col min="10" max="10" width="13.33203125" customWidth="1"/>
    <col min="11" max="11" width="11.77734375" customWidth="1"/>
    <col min="12" max="12" width="12.21875" customWidth="1"/>
    <col min="13" max="13" width="12.109375" bestFit="1" customWidth="1"/>
    <col min="18" max="18" width="8.88671875" customWidth="1"/>
    <col min="19" max="19" width="13.33203125" bestFit="1" customWidth="1"/>
    <col min="20" max="20" width="16.77734375" bestFit="1" customWidth="1"/>
  </cols>
  <sheetData>
    <row r="3" spans="1:20" ht="23.4" x14ac:dyDescent="0.45">
      <c r="A3" s="13" t="s">
        <v>86</v>
      </c>
      <c r="B3" s="14"/>
      <c r="J3" s="13" t="s">
        <v>87</v>
      </c>
      <c r="K3" s="14"/>
      <c r="L3" s="14"/>
      <c r="S3" s="4" t="s">
        <v>16</v>
      </c>
      <c r="T3" t="s">
        <v>90</v>
      </c>
    </row>
    <row r="4" spans="1:20" x14ac:dyDescent="0.3">
      <c r="S4" s="5">
        <v>1</v>
      </c>
      <c r="T4" s="6">
        <v>1</v>
      </c>
    </row>
    <row r="5" spans="1:20" x14ac:dyDescent="0.3">
      <c r="A5" s="4" t="s">
        <v>16</v>
      </c>
      <c r="B5" t="s">
        <v>30</v>
      </c>
      <c r="J5" s="4" t="s">
        <v>16</v>
      </c>
      <c r="K5" t="s">
        <v>30</v>
      </c>
      <c r="L5" t="s">
        <v>31</v>
      </c>
      <c r="S5" s="5">
        <v>2</v>
      </c>
      <c r="T5" s="6">
        <v>1</v>
      </c>
    </row>
    <row r="6" spans="1:20" x14ac:dyDescent="0.3">
      <c r="A6" s="5" t="s">
        <v>17</v>
      </c>
      <c r="B6" s="10">
        <v>1687714</v>
      </c>
      <c r="J6" s="5" t="s">
        <v>9</v>
      </c>
      <c r="K6" s="10">
        <v>5130104</v>
      </c>
      <c r="L6" s="10">
        <v>1682516.3499999999</v>
      </c>
      <c r="S6" s="5">
        <v>3</v>
      </c>
      <c r="T6" s="6">
        <v>1</v>
      </c>
    </row>
    <row r="7" spans="1:20" x14ac:dyDescent="0.3">
      <c r="A7" s="5" t="s">
        <v>18</v>
      </c>
      <c r="B7" s="10">
        <v>1376835</v>
      </c>
      <c r="J7" s="5" t="s">
        <v>7</v>
      </c>
      <c r="K7" s="10">
        <v>5073899</v>
      </c>
      <c r="L7" s="10">
        <v>1650012.2</v>
      </c>
      <c r="S7" s="5">
        <v>4</v>
      </c>
      <c r="T7" s="6">
        <v>1</v>
      </c>
    </row>
    <row r="8" spans="1:20" x14ac:dyDescent="0.3">
      <c r="A8" s="5" t="s">
        <v>19</v>
      </c>
      <c r="B8" s="10">
        <v>1685903</v>
      </c>
      <c r="J8" s="5" t="s">
        <v>8</v>
      </c>
      <c r="K8" s="10">
        <v>4920080</v>
      </c>
      <c r="L8" s="10">
        <v>1600292.7000000002</v>
      </c>
      <c r="S8" s="5">
        <v>5</v>
      </c>
      <c r="T8" s="6">
        <v>1</v>
      </c>
    </row>
    <row r="9" spans="1:20" x14ac:dyDescent="0.3">
      <c r="A9" s="5" t="s">
        <v>20</v>
      </c>
      <c r="B9" s="10">
        <v>1779597</v>
      </c>
      <c r="J9" s="5" t="s">
        <v>10</v>
      </c>
      <c r="K9" s="10">
        <v>5297662</v>
      </c>
      <c r="L9" s="10">
        <v>1723027.6000000013</v>
      </c>
      <c r="S9" s="5">
        <v>6</v>
      </c>
      <c r="T9" s="6">
        <v>1</v>
      </c>
    </row>
    <row r="10" spans="1:20" x14ac:dyDescent="0.3">
      <c r="A10" s="5" t="s">
        <v>21</v>
      </c>
      <c r="B10" s="10">
        <v>1760383</v>
      </c>
      <c r="J10" s="5" t="s">
        <v>29</v>
      </c>
      <c r="K10" s="10">
        <v>20421745</v>
      </c>
      <c r="L10" s="10">
        <v>6655848.8500000015</v>
      </c>
      <c r="S10" s="5">
        <v>7</v>
      </c>
      <c r="T10" s="6">
        <v>1</v>
      </c>
    </row>
    <row r="11" spans="1:20" x14ac:dyDescent="0.3">
      <c r="A11" s="5" t="s">
        <v>22</v>
      </c>
      <c r="B11" s="10">
        <v>1697554</v>
      </c>
      <c r="S11" s="5">
        <v>8</v>
      </c>
      <c r="T11" s="6">
        <v>1</v>
      </c>
    </row>
    <row r="12" spans="1:20" x14ac:dyDescent="0.3">
      <c r="A12" s="5" t="s">
        <v>23</v>
      </c>
      <c r="B12" s="10">
        <v>1665904</v>
      </c>
      <c r="S12" s="5">
        <v>9</v>
      </c>
      <c r="T12" s="6">
        <v>1</v>
      </c>
    </row>
    <row r="13" spans="1:20" x14ac:dyDescent="0.3">
      <c r="A13" s="5" t="s">
        <v>24</v>
      </c>
      <c r="B13" s="10">
        <v>1855674</v>
      </c>
      <c r="S13" s="5">
        <v>10</v>
      </c>
      <c r="T13" s="6">
        <v>1</v>
      </c>
    </row>
    <row r="14" spans="1:20" x14ac:dyDescent="0.3">
      <c r="A14" s="5" t="s">
        <v>25</v>
      </c>
      <c r="B14" s="10">
        <v>1825061</v>
      </c>
      <c r="S14" s="5">
        <v>11</v>
      </c>
      <c r="T14" s="6">
        <v>1</v>
      </c>
    </row>
    <row r="15" spans="1:20" x14ac:dyDescent="0.3">
      <c r="A15" s="5" t="s">
        <v>26</v>
      </c>
      <c r="B15" s="10">
        <v>1738488</v>
      </c>
      <c r="S15" s="5">
        <v>12</v>
      </c>
      <c r="T15" s="6">
        <v>1</v>
      </c>
    </row>
    <row r="16" spans="1:20" x14ac:dyDescent="0.3">
      <c r="A16" s="5" t="s">
        <v>27</v>
      </c>
      <c r="B16" s="10">
        <v>1702847</v>
      </c>
      <c r="S16" s="5">
        <v>13</v>
      </c>
      <c r="T16" s="6">
        <v>1</v>
      </c>
    </row>
    <row r="17" spans="1:20" x14ac:dyDescent="0.3">
      <c r="A17" s="5" t="s">
        <v>28</v>
      </c>
      <c r="B17" s="10">
        <v>1645785</v>
      </c>
      <c r="S17" s="5">
        <v>14</v>
      </c>
      <c r="T17" s="6">
        <v>1</v>
      </c>
    </row>
    <row r="18" spans="1:20" x14ac:dyDescent="0.3">
      <c r="A18" s="5" t="s">
        <v>29</v>
      </c>
      <c r="B18" s="6">
        <v>20421745</v>
      </c>
      <c r="S18" s="5">
        <v>15</v>
      </c>
      <c r="T18" s="6">
        <v>1</v>
      </c>
    </row>
    <row r="19" spans="1:20" x14ac:dyDescent="0.3">
      <c r="S19" s="5">
        <v>16</v>
      </c>
      <c r="T19" s="6">
        <v>1</v>
      </c>
    </row>
    <row r="20" spans="1:20" x14ac:dyDescent="0.3">
      <c r="S20" s="5">
        <v>17</v>
      </c>
      <c r="T20" s="6">
        <v>1</v>
      </c>
    </row>
    <row r="21" spans="1:20" x14ac:dyDescent="0.3">
      <c r="S21" s="5">
        <v>18</v>
      </c>
      <c r="T21" s="6">
        <v>1</v>
      </c>
    </row>
    <row r="22" spans="1:20" x14ac:dyDescent="0.3">
      <c r="S22" s="5">
        <v>19</v>
      </c>
      <c r="T22" s="6">
        <v>1</v>
      </c>
    </row>
    <row r="23" spans="1:20" x14ac:dyDescent="0.3">
      <c r="S23" s="5">
        <v>20</v>
      </c>
      <c r="T23" s="6">
        <v>1</v>
      </c>
    </row>
    <row r="24" spans="1:20" x14ac:dyDescent="0.3">
      <c r="S24" s="5">
        <v>21</v>
      </c>
      <c r="T24" s="6">
        <v>1</v>
      </c>
    </row>
    <row r="25" spans="1:20" x14ac:dyDescent="0.3">
      <c r="S25" s="5">
        <v>22</v>
      </c>
      <c r="T25" s="6">
        <v>1</v>
      </c>
    </row>
    <row r="26" spans="1:20" x14ac:dyDescent="0.3">
      <c r="S26" s="5">
        <v>23</v>
      </c>
      <c r="T26" s="6">
        <v>1</v>
      </c>
    </row>
    <row r="27" spans="1:20" x14ac:dyDescent="0.3">
      <c r="S27" s="5">
        <v>24</v>
      </c>
      <c r="T27" s="6">
        <v>1</v>
      </c>
    </row>
    <row r="28" spans="1:20" x14ac:dyDescent="0.3">
      <c r="S28" s="5">
        <v>25</v>
      </c>
      <c r="T28" s="6">
        <v>1</v>
      </c>
    </row>
    <row r="29" spans="1:20" x14ac:dyDescent="0.3">
      <c r="S29" s="5">
        <v>26</v>
      </c>
      <c r="T29" s="6">
        <v>1</v>
      </c>
    </row>
    <row r="30" spans="1:20" x14ac:dyDescent="0.3">
      <c r="S30" s="5">
        <v>27</v>
      </c>
      <c r="T30" s="6">
        <v>1</v>
      </c>
    </row>
    <row r="31" spans="1:20" x14ac:dyDescent="0.3">
      <c r="S31" s="5">
        <v>28</v>
      </c>
      <c r="T31" s="6">
        <v>1</v>
      </c>
    </row>
    <row r="32" spans="1:20" x14ac:dyDescent="0.3">
      <c r="S32" s="5">
        <v>29</v>
      </c>
      <c r="T32" s="6">
        <v>1</v>
      </c>
    </row>
    <row r="33" spans="1:20" x14ac:dyDescent="0.3">
      <c r="S33" s="5">
        <v>30</v>
      </c>
      <c r="T33" s="6">
        <v>1</v>
      </c>
    </row>
    <row r="34" spans="1:20" x14ac:dyDescent="0.3">
      <c r="S34" s="5">
        <v>31</v>
      </c>
      <c r="T34" s="6">
        <v>1</v>
      </c>
    </row>
    <row r="35" spans="1:20" x14ac:dyDescent="0.3">
      <c r="S35" s="5">
        <v>32</v>
      </c>
      <c r="T35" s="6">
        <v>1</v>
      </c>
    </row>
    <row r="36" spans="1:20" x14ac:dyDescent="0.3">
      <c r="S36" s="5">
        <v>33</v>
      </c>
      <c r="T36" s="6">
        <v>1</v>
      </c>
    </row>
    <row r="37" spans="1:20" x14ac:dyDescent="0.3">
      <c r="S37" s="5">
        <v>34</v>
      </c>
      <c r="T37" s="6">
        <v>1</v>
      </c>
    </row>
    <row r="38" spans="1:20" x14ac:dyDescent="0.3">
      <c r="S38" s="5">
        <v>35</v>
      </c>
      <c r="T38" s="6">
        <v>1</v>
      </c>
    </row>
    <row r="39" spans="1:20" ht="23.4" x14ac:dyDescent="0.45">
      <c r="A39" s="15" t="s">
        <v>88</v>
      </c>
      <c r="B39" s="14"/>
      <c r="J39" s="15" t="s">
        <v>89</v>
      </c>
      <c r="K39" s="14"/>
      <c r="S39" s="5">
        <v>36</v>
      </c>
      <c r="T39" s="6">
        <v>1</v>
      </c>
    </row>
    <row r="40" spans="1:20" x14ac:dyDescent="0.3">
      <c r="J40" s="4" t="s">
        <v>16</v>
      </c>
      <c r="K40" t="s">
        <v>30</v>
      </c>
      <c r="S40" s="5">
        <v>37</v>
      </c>
      <c r="T40" s="6">
        <v>1</v>
      </c>
    </row>
    <row r="41" spans="1:20" x14ac:dyDescent="0.3">
      <c r="A41" s="4" t="s">
        <v>16</v>
      </c>
      <c r="B41" t="s">
        <v>31</v>
      </c>
      <c r="J41" s="5" t="s">
        <v>39</v>
      </c>
      <c r="K41" s="10">
        <v>577872</v>
      </c>
      <c r="S41" s="5">
        <v>38</v>
      </c>
      <c r="T41" s="6">
        <v>1</v>
      </c>
    </row>
    <row r="42" spans="1:20" x14ac:dyDescent="0.3">
      <c r="A42" s="5" t="s">
        <v>32</v>
      </c>
      <c r="B42" s="10">
        <v>1654950.85</v>
      </c>
      <c r="J42" s="5" t="s">
        <v>84</v>
      </c>
      <c r="K42" s="10">
        <v>570403</v>
      </c>
      <c r="S42" s="5">
        <v>39</v>
      </c>
      <c r="T42" s="6">
        <v>1</v>
      </c>
    </row>
    <row r="43" spans="1:20" x14ac:dyDescent="0.3">
      <c r="A43" s="5" t="s">
        <v>33</v>
      </c>
      <c r="B43" s="10">
        <v>2160382.0000000005</v>
      </c>
      <c r="J43" s="5" t="s">
        <v>80</v>
      </c>
      <c r="K43" s="10">
        <v>557788</v>
      </c>
      <c r="S43" s="5">
        <v>40</v>
      </c>
      <c r="T43" s="6">
        <v>1</v>
      </c>
    </row>
    <row r="44" spans="1:20" x14ac:dyDescent="0.3">
      <c r="A44" s="5" t="s">
        <v>34</v>
      </c>
      <c r="B44" s="10">
        <v>1235958.5</v>
      </c>
      <c r="J44" s="5" t="s">
        <v>69</v>
      </c>
      <c r="K44" s="10">
        <v>526829</v>
      </c>
      <c r="S44" s="5">
        <v>41</v>
      </c>
      <c r="T44" s="6">
        <v>1</v>
      </c>
    </row>
    <row r="45" spans="1:20" x14ac:dyDescent="0.3">
      <c r="A45" s="5" t="s">
        <v>35</v>
      </c>
      <c r="B45" s="10">
        <v>1604557.5</v>
      </c>
      <c r="J45" s="5" t="s">
        <v>61</v>
      </c>
      <c r="K45" s="10">
        <v>522975</v>
      </c>
      <c r="S45" s="5">
        <v>42</v>
      </c>
      <c r="T45" s="6">
        <v>1</v>
      </c>
    </row>
    <row r="46" spans="1:20" x14ac:dyDescent="0.3">
      <c r="A46" s="5" t="s">
        <v>29</v>
      </c>
      <c r="B46" s="10">
        <v>6655848.8500000006</v>
      </c>
      <c r="J46" s="5" t="s">
        <v>29</v>
      </c>
      <c r="K46" s="10">
        <v>2755867</v>
      </c>
      <c r="S46" s="5">
        <v>43</v>
      </c>
      <c r="T46" s="6">
        <v>1</v>
      </c>
    </row>
    <row r="47" spans="1:20" x14ac:dyDescent="0.3">
      <c r="S47" s="5">
        <v>44</v>
      </c>
      <c r="T47" s="6">
        <v>1</v>
      </c>
    </row>
    <row r="48" spans="1:20" x14ac:dyDescent="0.3">
      <c r="S48" s="5">
        <v>45</v>
      </c>
      <c r="T48" s="6">
        <v>1</v>
      </c>
    </row>
    <row r="49" spans="19:20" x14ac:dyDescent="0.3">
      <c r="S49" s="5">
        <v>46</v>
      </c>
      <c r="T49" s="6">
        <v>1</v>
      </c>
    </row>
    <row r="50" spans="19:20" x14ac:dyDescent="0.3">
      <c r="S50" s="5">
        <v>47</v>
      </c>
      <c r="T50" s="6">
        <v>1</v>
      </c>
    </row>
    <row r="51" spans="19:20" x14ac:dyDescent="0.3">
      <c r="S51" s="5">
        <v>48</v>
      </c>
      <c r="T51" s="6">
        <v>1</v>
      </c>
    </row>
    <row r="52" spans="19:20" x14ac:dyDescent="0.3">
      <c r="S52" s="5">
        <v>49</v>
      </c>
      <c r="T52" s="6">
        <v>1</v>
      </c>
    </row>
    <row r="53" spans="19:20" x14ac:dyDescent="0.3">
      <c r="S53" s="5">
        <v>50</v>
      </c>
      <c r="T53" s="6">
        <v>1</v>
      </c>
    </row>
    <row r="54" spans="19:20" x14ac:dyDescent="0.3">
      <c r="S54" s="5">
        <v>51</v>
      </c>
      <c r="T54" s="6">
        <v>1</v>
      </c>
    </row>
    <row r="55" spans="19:20" x14ac:dyDescent="0.3">
      <c r="S55" s="5">
        <v>52</v>
      </c>
      <c r="T55" s="6">
        <v>1</v>
      </c>
    </row>
    <row r="56" spans="19:20" x14ac:dyDescent="0.3">
      <c r="S56" s="5">
        <v>53</v>
      </c>
      <c r="T56" s="6">
        <v>1</v>
      </c>
    </row>
    <row r="57" spans="19:20" x14ac:dyDescent="0.3">
      <c r="S57" s="5">
        <v>54</v>
      </c>
      <c r="T57" s="6">
        <v>1</v>
      </c>
    </row>
    <row r="58" spans="19:20" x14ac:dyDescent="0.3">
      <c r="S58" s="5">
        <v>55</v>
      </c>
      <c r="T58" s="6">
        <v>1</v>
      </c>
    </row>
    <row r="59" spans="19:20" x14ac:dyDescent="0.3">
      <c r="S59" s="5">
        <v>56</v>
      </c>
      <c r="T59" s="6">
        <v>1</v>
      </c>
    </row>
    <row r="60" spans="19:20" x14ac:dyDescent="0.3">
      <c r="S60" s="5">
        <v>57</v>
      </c>
      <c r="T60" s="6">
        <v>1</v>
      </c>
    </row>
    <row r="61" spans="19:20" x14ac:dyDescent="0.3">
      <c r="S61" s="5">
        <v>58</v>
      </c>
      <c r="T61" s="6">
        <v>1</v>
      </c>
    </row>
    <row r="62" spans="19:20" x14ac:dyDescent="0.3">
      <c r="S62" s="5">
        <v>59</v>
      </c>
      <c r="T62" s="6">
        <v>1</v>
      </c>
    </row>
    <row r="63" spans="19:20" x14ac:dyDescent="0.3">
      <c r="S63" s="5">
        <v>60</v>
      </c>
      <c r="T63" s="6">
        <v>1</v>
      </c>
    </row>
    <row r="64" spans="19:20" x14ac:dyDescent="0.3">
      <c r="S64" s="5">
        <v>61</v>
      </c>
      <c r="T64" s="6">
        <v>1</v>
      </c>
    </row>
    <row r="65" spans="19:20" x14ac:dyDescent="0.3">
      <c r="S65" s="5">
        <v>62</v>
      </c>
      <c r="T65" s="6">
        <v>1</v>
      </c>
    </row>
    <row r="66" spans="19:20" x14ac:dyDescent="0.3">
      <c r="S66" s="5">
        <v>63</v>
      </c>
      <c r="T66" s="6">
        <v>1</v>
      </c>
    </row>
    <row r="67" spans="19:20" x14ac:dyDescent="0.3">
      <c r="S67" s="5">
        <v>64</v>
      </c>
      <c r="T67" s="6">
        <v>1</v>
      </c>
    </row>
    <row r="68" spans="19:20" x14ac:dyDescent="0.3">
      <c r="S68" s="5">
        <v>65</v>
      </c>
      <c r="T68" s="6">
        <v>1</v>
      </c>
    </row>
    <row r="69" spans="19:20" x14ac:dyDescent="0.3">
      <c r="S69" s="5">
        <v>66</v>
      </c>
      <c r="T69" s="6">
        <v>1</v>
      </c>
    </row>
    <row r="70" spans="19:20" x14ac:dyDescent="0.3">
      <c r="S70" s="5">
        <v>67</v>
      </c>
      <c r="T70" s="6">
        <v>1</v>
      </c>
    </row>
    <row r="71" spans="19:20" x14ac:dyDescent="0.3">
      <c r="S71" s="5">
        <v>68</v>
      </c>
      <c r="T71" s="6">
        <v>1</v>
      </c>
    </row>
    <row r="72" spans="19:20" x14ac:dyDescent="0.3">
      <c r="S72" s="5">
        <v>69</v>
      </c>
      <c r="T72" s="6">
        <v>1</v>
      </c>
    </row>
    <row r="73" spans="19:20" x14ac:dyDescent="0.3">
      <c r="S73" s="5">
        <v>70</v>
      </c>
      <c r="T73" s="6">
        <v>1</v>
      </c>
    </row>
    <row r="74" spans="19:20" x14ac:dyDescent="0.3">
      <c r="S74" s="5">
        <v>71</v>
      </c>
      <c r="T74" s="6">
        <v>1</v>
      </c>
    </row>
    <row r="75" spans="19:20" x14ac:dyDescent="0.3">
      <c r="S75" s="5">
        <v>72</v>
      </c>
      <c r="T75" s="6">
        <v>1</v>
      </c>
    </row>
    <row r="76" spans="19:20" x14ac:dyDescent="0.3">
      <c r="S76" s="5">
        <v>73</v>
      </c>
      <c r="T76" s="6">
        <v>1</v>
      </c>
    </row>
    <row r="77" spans="19:20" x14ac:dyDescent="0.3">
      <c r="S77" s="5">
        <v>74</v>
      </c>
      <c r="T77" s="6">
        <v>1</v>
      </c>
    </row>
    <row r="78" spans="19:20" x14ac:dyDescent="0.3">
      <c r="S78" s="5">
        <v>75</v>
      </c>
      <c r="T78" s="6">
        <v>1</v>
      </c>
    </row>
    <row r="79" spans="19:20" x14ac:dyDescent="0.3">
      <c r="S79" s="5">
        <v>76</v>
      </c>
      <c r="T79" s="6">
        <v>1</v>
      </c>
    </row>
    <row r="80" spans="19:20" x14ac:dyDescent="0.3">
      <c r="S80" s="5">
        <v>77</v>
      </c>
      <c r="T80" s="6">
        <v>1</v>
      </c>
    </row>
    <row r="81" spans="19:20" x14ac:dyDescent="0.3">
      <c r="S81" s="5">
        <v>78</v>
      </c>
      <c r="T81" s="6">
        <v>1</v>
      </c>
    </row>
    <row r="82" spans="19:20" x14ac:dyDescent="0.3">
      <c r="S82" s="5">
        <v>79</v>
      </c>
      <c r="T82" s="6">
        <v>1</v>
      </c>
    </row>
    <row r="83" spans="19:20" x14ac:dyDescent="0.3">
      <c r="S83" s="5">
        <v>80</v>
      </c>
      <c r="T83" s="6">
        <v>1</v>
      </c>
    </row>
    <row r="84" spans="19:20" x14ac:dyDescent="0.3">
      <c r="S84" s="5">
        <v>81</v>
      </c>
      <c r="T84" s="6">
        <v>1</v>
      </c>
    </row>
    <row r="85" spans="19:20" x14ac:dyDescent="0.3">
      <c r="S85" s="5">
        <v>82</v>
      </c>
      <c r="T85" s="6">
        <v>1</v>
      </c>
    </row>
    <row r="86" spans="19:20" x14ac:dyDescent="0.3">
      <c r="S86" s="5">
        <v>83</v>
      </c>
      <c r="T86" s="6">
        <v>1</v>
      </c>
    </row>
    <row r="87" spans="19:20" x14ac:dyDescent="0.3">
      <c r="S87" s="5">
        <v>84</v>
      </c>
      <c r="T87" s="6">
        <v>1</v>
      </c>
    </row>
    <row r="88" spans="19:20" x14ac:dyDescent="0.3">
      <c r="S88" s="5">
        <v>85</v>
      </c>
      <c r="T88" s="6">
        <v>1</v>
      </c>
    </row>
    <row r="89" spans="19:20" x14ac:dyDescent="0.3">
      <c r="S89" s="5">
        <v>86</v>
      </c>
      <c r="T89" s="6">
        <v>1</v>
      </c>
    </row>
    <row r="90" spans="19:20" x14ac:dyDescent="0.3">
      <c r="S90" s="5">
        <v>87</v>
      </c>
      <c r="T90" s="6">
        <v>1</v>
      </c>
    </row>
    <row r="91" spans="19:20" x14ac:dyDescent="0.3">
      <c r="S91" s="5">
        <v>88</v>
      </c>
      <c r="T91" s="6">
        <v>1</v>
      </c>
    </row>
    <row r="92" spans="19:20" x14ac:dyDescent="0.3">
      <c r="S92" s="5">
        <v>89</v>
      </c>
      <c r="T92" s="6">
        <v>1</v>
      </c>
    </row>
    <row r="93" spans="19:20" x14ac:dyDescent="0.3">
      <c r="S93" s="5">
        <v>90</v>
      </c>
      <c r="T93" s="6">
        <v>1</v>
      </c>
    </row>
    <row r="94" spans="19:20" x14ac:dyDescent="0.3">
      <c r="S94" s="5">
        <v>91</v>
      </c>
      <c r="T94" s="6">
        <v>1</v>
      </c>
    </row>
    <row r="95" spans="19:20" x14ac:dyDescent="0.3">
      <c r="S95" s="5">
        <v>92</v>
      </c>
      <c r="T95" s="6">
        <v>1</v>
      </c>
    </row>
    <row r="96" spans="19:20" x14ac:dyDescent="0.3">
      <c r="S96" s="5">
        <v>93</v>
      </c>
      <c r="T96" s="6">
        <v>1</v>
      </c>
    </row>
    <row r="97" spans="19:20" x14ac:dyDescent="0.3">
      <c r="S97" s="5">
        <v>94</v>
      </c>
      <c r="T97" s="6">
        <v>1</v>
      </c>
    </row>
    <row r="98" spans="19:20" x14ac:dyDescent="0.3">
      <c r="S98" s="5">
        <v>95</v>
      </c>
      <c r="T98" s="6">
        <v>1</v>
      </c>
    </row>
    <row r="99" spans="19:20" x14ac:dyDescent="0.3">
      <c r="S99" s="5">
        <v>96</v>
      </c>
      <c r="T99" s="6">
        <v>1</v>
      </c>
    </row>
    <row r="100" spans="19:20" x14ac:dyDescent="0.3">
      <c r="S100" s="5">
        <v>97</v>
      </c>
      <c r="T100" s="6">
        <v>1</v>
      </c>
    </row>
    <row r="101" spans="19:20" x14ac:dyDescent="0.3">
      <c r="S101" s="5">
        <v>98</v>
      </c>
      <c r="T101" s="6">
        <v>1</v>
      </c>
    </row>
    <row r="102" spans="19:20" x14ac:dyDescent="0.3">
      <c r="S102" s="5">
        <v>99</v>
      </c>
      <c r="T102" s="6">
        <v>1</v>
      </c>
    </row>
    <row r="103" spans="19:20" x14ac:dyDescent="0.3">
      <c r="S103" s="5">
        <v>100</v>
      </c>
      <c r="T103" s="6">
        <v>1</v>
      </c>
    </row>
    <row r="104" spans="19:20" x14ac:dyDescent="0.3">
      <c r="S104" s="5">
        <v>101</v>
      </c>
      <c r="T104" s="6">
        <v>1</v>
      </c>
    </row>
    <row r="105" spans="19:20" x14ac:dyDescent="0.3">
      <c r="S105" s="5">
        <v>102</v>
      </c>
      <c r="T105" s="6">
        <v>1</v>
      </c>
    </row>
    <row r="106" spans="19:20" x14ac:dyDescent="0.3">
      <c r="S106" s="5">
        <v>103</v>
      </c>
      <c r="T106" s="6">
        <v>1</v>
      </c>
    </row>
    <row r="107" spans="19:20" x14ac:dyDescent="0.3">
      <c r="S107" s="5">
        <v>104</v>
      </c>
      <c r="T107" s="6">
        <v>1</v>
      </c>
    </row>
    <row r="108" spans="19:20" x14ac:dyDescent="0.3">
      <c r="S108" s="5">
        <v>105</v>
      </c>
      <c r="T108" s="6">
        <v>1</v>
      </c>
    </row>
    <row r="109" spans="19:20" x14ac:dyDescent="0.3">
      <c r="S109" s="5">
        <v>106</v>
      </c>
      <c r="T109" s="6">
        <v>1</v>
      </c>
    </row>
    <row r="110" spans="19:20" x14ac:dyDescent="0.3">
      <c r="S110" s="5">
        <v>107</v>
      </c>
      <c r="T110" s="6">
        <v>1</v>
      </c>
    </row>
    <row r="111" spans="19:20" x14ac:dyDescent="0.3">
      <c r="S111" s="5">
        <v>108</v>
      </c>
      <c r="T111" s="6">
        <v>1</v>
      </c>
    </row>
    <row r="112" spans="19:20" x14ac:dyDescent="0.3">
      <c r="S112" s="5">
        <v>109</v>
      </c>
      <c r="T112" s="6">
        <v>1</v>
      </c>
    </row>
    <row r="113" spans="19:20" x14ac:dyDescent="0.3">
      <c r="S113" s="5">
        <v>110</v>
      </c>
      <c r="T113" s="6">
        <v>1</v>
      </c>
    </row>
    <row r="114" spans="19:20" x14ac:dyDescent="0.3">
      <c r="S114" s="5">
        <v>111</v>
      </c>
      <c r="T114" s="6">
        <v>1</v>
      </c>
    </row>
    <row r="115" spans="19:20" x14ac:dyDescent="0.3">
      <c r="S115" s="5">
        <v>112</v>
      </c>
      <c r="T115" s="6">
        <v>1</v>
      </c>
    </row>
    <row r="116" spans="19:20" x14ac:dyDescent="0.3">
      <c r="S116" s="5">
        <v>113</v>
      </c>
      <c r="T116" s="6">
        <v>1</v>
      </c>
    </row>
    <row r="117" spans="19:20" x14ac:dyDescent="0.3">
      <c r="S117" s="5">
        <v>114</v>
      </c>
      <c r="T117" s="6">
        <v>1</v>
      </c>
    </row>
    <row r="118" spans="19:20" x14ac:dyDescent="0.3">
      <c r="S118" s="5">
        <v>115</v>
      </c>
      <c r="T118" s="6">
        <v>1</v>
      </c>
    </row>
    <row r="119" spans="19:20" x14ac:dyDescent="0.3">
      <c r="S119" s="5">
        <v>116</v>
      </c>
      <c r="T119" s="6">
        <v>1</v>
      </c>
    </row>
    <row r="120" spans="19:20" x14ac:dyDescent="0.3">
      <c r="S120" s="5">
        <v>117</v>
      </c>
      <c r="T120" s="6">
        <v>1</v>
      </c>
    </row>
    <row r="121" spans="19:20" x14ac:dyDescent="0.3">
      <c r="S121" s="5">
        <v>118</v>
      </c>
      <c r="T121" s="6">
        <v>1</v>
      </c>
    </row>
    <row r="122" spans="19:20" x14ac:dyDescent="0.3">
      <c r="S122" s="5">
        <v>119</v>
      </c>
      <c r="T122" s="6">
        <v>1</v>
      </c>
    </row>
    <row r="123" spans="19:20" x14ac:dyDescent="0.3">
      <c r="S123" s="5">
        <v>120</v>
      </c>
      <c r="T123" s="6">
        <v>1</v>
      </c>
    </row>
    <row r="124" spans="19:20" x14ac:dyDescent="0.3">
      <c r="S124" s="5">
        <v>121</v>
      </c>
      <c r="T124" s="6">
        <v>1</v>
      </c>
    </row>
    <row r="125" spans="19:20" x14ac:dyDescent="0.3">
      <c r="S125" s="5">
        <v>122</v>
      </c>
      <c r="T125" s="6">
        <v>1</v>
      </c>
    </row>
    <row r="126" spans="19:20" x14ac:dyDescent="0.3">
      <c r="S126" s="5">
        <v>123</v>
      </c>
      <c r="T126" s="6">
        <v>1</v>
      </c>
    </row>
    <row r="127" spans="19:20" x14ac:dyDescent="0.3">
      <c r="S127" s="5">
        <v>124</v>
      </c>
      <c r="T127" s="6">
        <v>1</v>
      </c>
    </row>
    <row r="128" spans="19:20" x14ac:dyDescent="0.3">
      <c r="S128" s="5">
        <v>125</v>
      </c>
      <c r="T128" s="6">
        <v>1</v>
      </c>
    </row>
    <row r="129" spans="19:20" x14ac:dyDescent="0.3">
      <c r="S129" s="5">
        <v>126</v>
      </c>
      <c r="T129" s="6">
        <v>1</v>
      </c>
    </row>
    <row r="130" spans="19:20" x14ac:dyDescent="0.3">
      <c r="S130" s="5">
        <v>127</v>
      </c>
      <c r="T130" s="6">
        <v>1</v>
      </c>
    </row>
    <row r="131" spans="19:20" x14ac:dyDescent="0.3">
      <c r="S131" s="5">
        <v>128</v>
      </c>
      <c r="T131" s="6">
        <v>1</v>
      </c>
    </row>
    <row r="132" spans="19:20" x14ac:dyDescent="0.3">
      <c r="S132" s="5">
        <v>129</v>
      </c>
      <c r="T132" s="6">
        <v>1</v>
      </c>
    </row>
    <row r="133" spans="19:20" x14ac:dyDescent="0.3">
      <c r="S133" s="5">
        <v>130</v>
      </c>
      <c r="T133" s="6">
        <v>1</v>
      </c>
    </row>
    <row r="134" spans="19:20" x14ac:dyDescent="0.3">
      <c r="S134" s="5">
        <v>131</v>
      </c>
      <c r="T134" s="6">
        <v>1</v>
      </c>
    </row>
    <row r="135" spans="19:20" x14ac:dyDescent="0.3">
      <c r="S135" s="5">
        <v>132</v>
      </c>
      <c r="T135" s="6">
        <v>1</v>
      </c>
    </row>
    <row r="136" spans="19:20" x14ac:dyDescent="0.3">
      <c r="S136" s="5">
        <v>133</v>
      </c>
      <c r="T136" s="6">
        <v>1</v>
      </c>
    </row>
    <row r="137" spans="19:20" x14ac:dyDescent="0.3">
      <c r="S137" s="5">
        <v>134</v>
      </c>
      <c r="T137" s="6">
        <v>1</v>
      </c>
    </row>
    <row r="138" spans="19:20" x14ac:dyDescent="0.3">
      <c r="S138" s="5">
        <v>135</v>
      </c>
      <c r="T138" s="6">
        <v>1</v>
      </c>
    </row>
    <row r="139" spans="19:20" x14ac:dyDescent="0.3">
      <c r="S139" s="5">
        <v>136</v>
      </c>
      <c r="T139" s="6">
        <v>1</v>
      </c>
    </row>
    <row r="140" spans="19:20" x14ac:dyDescent="0.3">
      <c r="S140" s="5">
        <v>137</v>
      </c>
      <c r="T140" s="6">
        <v>1</v>
      </c>
    </row>
    <row r="141" spans="19:20" x14ac:dyDescent="0.3">
      <c r="S141" s="5">
        <v>138</v>
      </c>
      <c r="T141" s="6">
        <v>1</v>
      </c>
    </row>
    <row r="142" spans="19:20" x14ac:dyDescent="0.3">
      <c r="S142" s="5">
        <v>139</v>
      </c>
      <c r="T142" s="6">
        <v>1</v>
      </c>
    </row>
    <row r="143" spans="19:20" x14ac:dyDescent="0.3">
      <c r="S143" s="5">
        <v>140</v>
      </c>
      <c r="T143" s="6">
        <v>1</v>
      </c>
    </row>
    <row r="144" spans="19:20" x14ac:dyDescent="0.3">
      <c r="S144" s="5">
        <v>141</v>
      </c>
      <c r="T144" s="6">
        <v>1</v>
      </c>
    </row>
    <row r="145" spans="19:20" x14ac:dyDescent="0.3">
      <c r="S145" s="5">
        <v>142</v>
      </c>
      <c r="T145" s="6">
        <v>1</v>
      </c>
    </row>
    <row r="146" spans="19:20" x14ac:dyDescent="0.3">
      <c r="S146" s="5">
        <v>143</v>
      </c>
      <c r="T146" s="6">
        <v>1</v>
      </c>
    </row>
    <row r="147" spans="19:20" x14ac:dyDescent="0.3">
      <c r="S147" s="5">
        <v>144</v>
      </c>
      <c r="T147" s="6">
        <v>1</v>
      </c>
    </row>
    <row r="148" spans="19:20" x14ac:dyDescent="0.3">
      <c r="S148" s="5">
        <v>145</v>
      </c>
      <c r="T148" s="6">
        <v>1</v>
      </c>
    </row>
    <row r="149" spans="19:20" x14ac:dyDescent="0.3">
      <c r="S149" s="5">
        <v>146</v>
      </c>
      <c r="T149" s="6">
        <v>1</v>
      </c>
    </row>
    <row r="150" spans="19:20" x14ac:dyDescent="0.3">
      <c r="S150" s="5">
        <v>147</v>
      </c>
      <c r="T150" s="6">
        <v>1</v>
      </c>
    </row>
    <row r="151" spans="19:20" x14ac:dyDescent="0.3">
      <c r="S151" s="5">
        <v>148</v>
      </c>
      <c r="T151" s="6">
        <v>1</v>
      </c>
    </row>
    <row r="152" spans="19:20" x14ac:dyDescent="0.3">
      <c r="S152" s="5">
        <v>149</v>
      </c>
      <c r="T152" s="6">
        <v>1</v>
      </c>
    </row>
    <row r="153" spans="19:20" x14ac:dyDescent="0.3">
      <c r="S153" s="5">
        <v>150</v>
      </c>
      <c r="T153" s="6">
        <v>1</v>
      </c>
    </row>
    <row r="154" spans="19:20" x14ac:dyDescent="0.3">
      <c r="S154" s="5">
        <v>151</v>
      </c>
      <c r="T154" s="6">
        <v>1</v>
      </c>
    </row>
    <row r="155" spans="19:20" x14ac:dyDescent="0.3">
      <c r="S155" s="5">
        <v>152</v>
      </c>
      <c r="T155" s="6">
        <v>1</v>
      </c>
    </row>
    <row r="156" spans="19:20" x14ac:dyDescent="0.3">
      <c r="S156" s="5">
        <v>153</v>
      </c>
      <c r="T156" s="6">
        <v>1</v>
      </c>
    </row>
    <row r="157" spans="19:20" x14ac:dyDescent="0.3">
      <c r="S157" s="5">
        <v>154</v>
      </c>
      <c r="T157" s="6">
        <v>1</v>
      </c>
    </row>
    <row r="158" spans="19:20" x14ac:dyDescent="0.3">
      <c r="S158" s="5">
        <v>155</v>
      </c>
      <c r="T158" s="6">
        <v>1</v>
      </c>
    </row>
    <row r="159" spans="19:20" x14ac:dyDescent="0.3">
      <c r="S159" s="5">
        <v>156</v>
      </c>
      <c r="T159" s="6">
        <v>1</v>
      </c>
    </row>
    <row r="160" spans="19:20" x14ac:dyDescent="0.3">
      <c r="S160" s="5">
        <v>157</v>
      </c>
      <c r="T160" s="6">
        <v>1</v>
      </c>
    </row>
    <row r="161" spans="19:20" x14ac:dyDescent="0.3">
      <c r="S161" s="5">
        <v>158</v>
      </c>
      <c r="T161" s="6">
        <v>1</v>
      </c>
    </row>
    <row r="162" spans="19:20" x14ac:dyDescent="0.3">
      <c r="S162" s="5">
        <v>159</v>
      </c>
      <c r="T162" s="6">
        <v>1</v>
      </c>
    </row>
    <row r="163" spans="19:20" x14ac:dyDescent="0.3">
      <c r="S163" s="5">
        <v>160</v>
      </c>
      <c r="T163" s="6">
        <v>1</v>
      </c>
    </row>
    <row r="164" spans="19:20" x14ac:dyDescent="0.3">
      <c r="S164" s="5">
        <v>161</v>
      </c>
      <c r="T164" s="6">
        <v>1</v>
      </c>
    </row>
    <row r="165" spans="19:20" x14ac:dyDescent="0.3">
      <c r="S165" s="5">
        <v>162</v>
      </c>
      <c r="T165" s="6">
        <v>1</v>
      </c>
    </row>
    <row r="166" spans="19:20" x14ac:dyDescent="0.3">
      <c r="S166" s="5">
        <v>163</v>
      </c>
      <c r="T166" s="6">
        <v>1</v>
      </c>
    </row>
    <row r="167" spans="19:20" x14ac:dyDescent="0.3">
      <c r="S167" s="5">
        <v>164</v>
      </c>
      <c r="T167" s="6">
        <v>1</v>
      </c>
    </row>
    <row r="168" spans="19:20" x14ac:dyDescent="0.3">
      <c r="S168" s="5">
        <v>165</v>
      </c>
      <c r="T168" s="6">
        <v>1</v>
      </c>
    </row>
    <row r="169" spans="19:20" x14ac:dyDescent="0.3">
      <c r="S169" s="5">
        <v>166</v>
      </c>
      <c r="T169" s="6">
        <v>1</v>
      </c>
    </row>
    <row r="170" spans="19:20" x14ac:dyDescent="0.3">
      <c r="S170" s="5">
        <v>167</v>
      </c>
      <c r="T170" s="6">
        <v>1</v>
      </c>
    </row>
    <row r="171" spans="19:20" x14ac:dyDescent="0.3">
      <c r="S171" s="5">
        <v>168</v>
      </c>
      <c r="T171" s="6">
        <v>1</v>
      </c>
    </row>
    <row r="172" spans="19:20" x14ac:dyDescent="0.3">
      <c r="S172" s="5">
        <v>169</v>
      </c>
      <c r="T172" s="6">
        <v>1</v>
      </c>
    </row>
    <row r="173" spans="19:20" x14ac:dyDescent="0.3">
      <c r="S173" s="5">
        <v>170</v>
      </c>
      <c r="T173" s="6">
        <v>1</v>
      </c>
    </row>
    <row r="174" spans="19:20" x14ac:dyDescent="0.3">
      <c r="S174" s="5">
        <v>171</v>
      </c>
      <c r="T174" s="6">
        <v>1</v>
      </c>
    </row>
    <row r="175" spans="19:20" x14ac:dyDescent="0.3">
      <c r="S175" s="5">
        <v>172</v>
      </c>
      <c r="T175" s="6">
        <v>1</v>
      </c>
    </row>
    <row r="176" spans="19:20" x14ac:dyDescent="0.3">
      <c r="S176" s="5">
        <v>173</v>
      </c>
      <c r="T176" s="6">
        <v>1</v>
      </c>
    </row>
    <row r="177" spans="19:20" x14ac:dyDescent="0.3">
      <c r="S177" s="5">
        <v>174</v>
      </c>
      <c r="T177" s="6">
        <v>1</v>
      </c>
    </row>
    <row r="178" spans="19:20" x14ac:dyDescent="0.3">
      <c r="S178" s="5">
        <v>175</v>
      </c>
      <c r="T178" s="6">
        <v>1</v>
      </c>
    </row>
    <row r="179" spans="19:20" x14ac:dyDescent="0.3">
      <c r="S179" s="5">
        <v>176</v>
      </c>
      <c r="T179" s="6">
        <v>1</v>
      </c>
    </row>
    <row r="180" spans="19:20" x14ac:dyDescent="0.3">
      <c r="S180" s="5">
        <v>177</v>
      </c>
      <c r="T180" s="6">
        <v>1</v>
      </c>
    </row>
    <row r="181" spans="19:20" x14ac:dyDescent="0.3">
      <c r="S181" s="5">
        <v>178</v>
      </c>
      <c r="T181" s="6">
        <v>1</v>
      </c>
    </row>
    <row r="182" spans="19:20" x14ac:dyDescent="0.3">
      <c r="S182" s="5">
        <v>179</v>
      </c>
      <c r="T182" s="6">
        <v>1</v>
      </c>
    </row>
    <row r="183" spans="19:20" x14ac:dyDescent="0.3">
      <c r="S183" s="5">
        <v>180</v>
      </c>
      <c r="T183" s="6">
        <v>1</v>
      </c>
    </row>
    <row r="184" spans="19:20" x14ac:dyDescent="0.3">
      <c r="S184" s="5">
        <v>181</v>
      </c>
      <c r="T184" s="6">
        <v>1</v>
      </c>
    </row>
    <row r="185" spans="19:20" x14ac:dyDescent="0.3">
      <c r="S185" s="5">
        <v>182</v>
      </c>
      <c r="T185" s="6">
        <v>1</v>
      </c>
    </row>
    <row r="186" spans="19:20" x14ac:dyDescent="0.3">
      <c r="S186" s="5">
        <v>183</v>
      </c>
      <c r="T186" s="6">
        <v>1</v>
      </c>
    </row>
    <row r="187" spans="19:20" x14ac:dyDescent="0.3">
      <c r="S187" s="5">
        <v>184</v>
      </c>
      <c r="T187" s="6">
        <v>1</v>
      </c>
    </row>
    <row r="188" spans="19:20" x14ac:dyDescent="0.3">
      <c r="S188" s="5">
        <v>185</v>
      </c>
      <c r="T188" s="6">
        <v>1</v>
      </c>
    </row>
    <row r="189" spans="19:20" x14ac:dyDescent="0.3">
      <c r="S189" s="5">
        <v>186</v>
      </c>
      <c r="T189" s="6">
        <v>1</v>
      </c>
    </row>
    <row r="190" spans="19:20" x14ac:dyDescent="0.3">
      <c r="S190" s="5">
        <v>187</v>
      </c>
      <c r="T190" s="6">
        <v>1</v>
      </c>
    </row>
    <row r="191" spans="19:20" x14ac:dyDescent="0.3">
      <c r="S191" s="5">
        <v>188</v>
      </c>
      <c r="T191" s="6">
        <v>1</v>
      </c>
    </row>
    <row r="192" spans="19:20" x14ac:dyDescent="0.3">
      <c r="S192" s="5">
        <v>189</v>
      </c>
      <c r="T192" s="6">
        <v>1</v>
      </c>
    </row>
    <row r="193" spans="19:20" x14ac:dyDescent="0.3">
      <c r="S193" s="5">
        <v>190</v>
      </c>
      <c r="T193" s="6">
        <v>1</v>
      </c>
    </row>
    <row r="194" spans="19:20" x14ac:dyDescent="0.3">
      <c r="S194" s="5">
        <v>191</v>
      </c>
      <c r="T194" s="6">
        <v>1</v>
      </c>
    </row>
    <row r="195" spans="19:20" x14ac:dyDescent="0.3">
      <c r="S195" s="5">
        <v>192</v>
      </c>
      <c r="T195" s="6">
        <v>1</v>
      </c>
    </row>
    <row r="196" spans="19:20" x14ac:dyDescent="0.3">
      <c r="S196" s="5">
        <v>193</v>
      </c>
      <c r="T196" s="6">
        <v>1</v>
      </c>
    </row>
    <row r="197" spans="19:20" x14ac:dyDescent="0.3">
      <c r="S197" s="5">
        <v>194</v>
      </c>
      <c r="T197" s="6">
        <v>1</v>
      </c>
    </row>
    <row r="198" spans="19:20" x14ac:dyDescent="0.3">
      <c r="S198" s="5">
        <v>195</v>
      </c>
      <c r="T198" s="6">
        <v>1</v>
      </c>
    </row>
    <row r="199" spans="19:20" x14ac:dyDescent="0.3">
      <c r="S199" s="5">
        <v>196</v>
      </c>
      <c r="T199" s="6">
        <v>1</v>
      </c>
    </row>
    <row r="200" spans="19:20" x14ac:dyDescent="0.3">
      <c r="S200" s="5">
        <v>197</v>
      </c>
      <c r="T200" s="6">
        <v>1</v>
      </c>
    </row>
    <row r="201" spans="19:20" x14ac:dyDescent="0.3">
      <c r="S201" s="5">
        <v>198</v>
      </c>
      <c r="T201" s="6">
        <v>1</v>
      </c>
    </row>
    <row r="202" spans="19:20" x14ac:dyDescent="0.3">
      <c r="S202" s="5">
        <v>199</v>
      </c>
      <c r="T202" s="6">
        <v>1</v>
      </c>
    </row>
    <row r="203" spans="19:20" x14ac:dyDescent="0.3">
      <c r="S203" s="5">
        <v>200</v>
      </c>
      <c r="T203" s="6">
        <v>1</v>
      </c>
    </row>
    <row r="204" spans="19:20" x14ac:dyDescent="0.3">
      <c r="S204" s="5">
        <v>201</v>
      </c>
      <c r="T204" s="6">
        <v>1</v>
      </c>
    </row>
    <row r="205" spans="19:20" x14ac:dyDescent="0.3">
      <c r="S205" s="5">
        <v>202</v>
      </c>
      <c r="T205" s="6">
        <v>1</v>
      </c>
    </row>
    <row r="206" spans="19:20" x14ac:dyDescent="0.3">
      <c r="S206" s="5">
        <v>203</v>
      </c>
      <c r="T206" s="6">
        <v>1</v>
      </c>
    </row>
    <row r="207" spans="19:20" x14ac:dyDescent="0.3">
      <c r="S207" s="5">
        <v>204</v>
      </c>
      <c r="T207" s="6">
        <v>1</v>
      </c>
    </row>
    <row r="208" spans="19:20" x14ac:dyDescent="0.3">
      <c r="S208" s="5">
        <v>205</v>
      </c>
      <c r="T208" s="6">
        <v>1</v>
      </c>
    </row>
    <row r="209" spans="19:20" x14ac:dyDescent="0.3">
      <c r="S209" s="5">
        <v>206</v>
      </c>
      <c r="T209" s="6">
        <v>1</v>
      </c>
    </row>
    <row r="210" spans="19:20" x14ac:dyDescent="0.3">
      <c r="S210" s="5">
        <v>207</v>
      </c>
      <c r="T210" s="6">
        <v>1</v>
      </c>
    </row>
    <row r="211" spans="19:20" x14ac:dyDescent="0.3">
      <c r="S211" s="5">
        <v>208</v>
      </c>
      <c r="T211" s="6">
        <v>1</v>
      </c>
    </row>
    <row r="212" spans="19:20" x14ac:dyDescent="0.3">
      <c r="S212" s="5">
        <v>209</v>
      </c>
      <c r="T212" s="6">
        <v>1</v>
      </c>
    </row>
    <row r="213" spans="19:20" x14ac:dyDescent="0.3">
      <c r="S213" s="5">
        <v>210</v>
      </c>
      <c r="T213" s="6">
        <v>1</v>
      </c>
    </row>
    <row r="214" spans="19:20" x14ac:dyDescent="0.3">
      <c r="S214" s="5">
        <v>211</v>
      </c>
      <c r="T214" s="6">
        <v>1</v>
      </c>
    </row>
    <row r="215" spans="19:20" x14ac:dyDescent="0.3">
      <c r="S215" s="5">
        <v>212</v>
      </c>
      <c r="T215" s="6">
        <v>1</v>
      </c>
    </row>
    <row r="216" spans="19:20" x14ac:dyDescent="0.3">
      <c r="S216" s="5">
        <v>213</v>
      </c>
      <c r="T216" s="6">
        <v>1</v>
      </c>
    </row>
    <row r="217" spans="19:20" x14ac:dyDescent="0.3">
      <c r="S217" s="5">
        <v>214</v>
      </c>
      <c r="T217" s="6">
        <v>1</v>
      </c>
    </row>
    <row r="218" spans="19:20" x14ac:dyDescent="0.3">
      <c r="S218" s="5">
        <v>215</v>
      </c>
      <c r="T218" s="6">
        <v>1</v>
      </c>
    </row>
    <row r="219" spans="19:20" x14ac:dyDescent="0.3">
      <c r="S219" s="5">
        <v>216</v>
      </c>
      <c r="T219" s="6">
        <v>1</v>
      </c>
    </row>
    <row r="220" spans="19:20" x14ac:dyDescent="0.3">
      <c r="S220" s="5">
        <v>217</v>
      </c>
      <c r="T220" s="6">
        <v>1</v>
      </c>
    </row>
    <row r="221" spans="19:20" x14ac:dyDescent="0.3">
      <c r="S221" s="5">
        <v>218</v>
      </c>
      <c r="T221" s="6">
        <v>1</v>
      </c>
    </row>
    <row r="222" spans="19:20" x14ac:dyDescent="0.3">
      <c r="S222" s="5">
        <v>219</v>
      </c>
      <c r="T222" s="6">
        <v>1</v>
      </c>
    </row>
    <row r="223" spans="19:20" x14ac:dyDescent="0.3">
      <c r="S223" s="5">
        <v>220</v>
      </c>
      <c r="T223" s="6">
        <v>1</v>
      </c>
    </row>
    <row r="224" spans="19:20" x14ac:dyDescent="0.3">
      <c r="S224" s="5">
        <v>221</v>
      </c>
      <c r="T224" s="6">
        <v>1</v>
      </c>
    </row>
    <row r="225" spans="19:20" x14ac:dyDescent="0.3">
      <c r="S225" s="5">
        <v>222</v>
      </c>
      <c r="T225" s="6">
        <v>1</v>
      </c>
    </row>
    <row r="226" spans="19:20" x14ac:dyDescent="0.3">
      <c r="S226" s="5">
        <v>223</v>
      </c>
      <c r="T226" s="6">
        <v>1</v>
      </c>
    </row>
    <row r="227" spans="19:20" x14ac:dyDescent="0.3">
      <c r="S227" s="5">
        <v>224</v>
      </c>
      <c r="T227" s="6">
        <v>1</v>
      </c>
    </row>
    <row r="228" spans="19:20" x14ac:dyDescent="0.3">
      <c r="S228" s="5">
        <v>225</v>
      </c>
      <c r="T228" s="6">
        <v>1</v>
      </c>
    </row>
    <row r="229" spans="19:20" x14ac:dyDescent="0.3">
      <c r="S229" s="5">
        <v>226</v>
      </c>
      <c r="T229" s="6">
        <v>1</v>
      </c>
    </row>
    <row r="230" spans="19:20" x14ac:dyDescent="0.3">
      <c r="S230" s="5">
        <v>227</v>
      </c>
      <c r="T230" s="6">
        <v>1</v>
      </c>
    </row>
    <row r="231" spans="19:20" x14ac:dyDescent="0.3">
      <c r="S231" s="5">
        <v>228</v>
      </c>
      <c r="T231" s="6">
        <v>1</v>
      </c>
    </row>
    <row r="232" spans="19:20" x14ac:dyDescent="0.3">
      <c r="S232" s="5">
        <v>229</v>
      </c>
      <c r="T232" s="6">
        <v>1</v>
      </c>
    </row>
    <row r="233" spans="19:20" x14ac:dyDescent="0.3">
      <c r="S233" s="5">
        <v>230</v>
      </c>
      <c r="T233" s="6">
        <v>1</v>
      </c>
    </row>
    <row r="234" spans="19:20" x14ac:dyDescent="0.3">
      <c r="S234" s="5">
        <v>231</v>
      </c>
      <c r="T234" s="6">
        <v>1</v>
      </c>
    </row>
    <row r="235" spans="19:20" x14ac:dyDescent="0.3">
      <c r="S235" s="5">
        <v>232</v>
      </c>
      <c r="T235" s="6">
        <v>1</v>
      </c>
    </row>
    <row r="236" spans="19:20" x14ac:dyDescent="0.3">
      <c r="S236" s="5">
        <v>233</v>
      </c>
      <c r="T236" s="6">
        <v>1</v>
      </c>
    </row>
    <row r="237" spans="19:20" x14ac:dyDescent="0.3">
      <c r="S237" s="5">
        <v>234</v>
      </c>
      <c r="T237" s="6">
        <v>1</v>
      </c>
    </row>
    <row r="238" spans="19:20" x14ac:dyDescent="0.3">
      <c r="S238" s="5">
        <v>235</v>
      </c>
      <c r="T238" s="6">
        <v>1</v>
      </c>
    </row>
    <row r="239" spans="19:20" x14ac:dyDescent="0.3">
      <c r="S239" s="5">
        <v>236</v>
      </c>
      <c r="T239" s="6">
        <v>1</v>
      </c>
    </row>
    <row r="240" spans="19:20" x14ac:dyDescent="0.3">
      <c r="S240" s="5">
        <v>237</v>
      </c>
      <c r="T240" s="6">
        <v>1</v>
      </c>
    </row>
    <row r="241" spans="19:20" x14ac:dyDescent="0.3">
      <c r="S241" s="5">
        <v>238</v>
      </c>
      <c r="T241" s="6">
        <v>1</v>
      </c>
    </row>
    <row r="242" spans="19:20" x14ac:dyDescent="0.3">
      <c r="S242" s="5">
        <v>239</v>
      </c>
      <c r="T242" s="6">
        <v>1</v>
      </c>
    </row>
    <row r="243" spans="19:20" x14ac:dyDescent="0.3">
      <c r="S243" s="5">
        <v>240</v>
      </c>
      <c r="T243" s="6">
        <v>1</v>
      </c>
    </row>
    <row r="244" spans="19:20" x14ac:dyDescent="0.3">
      <c r="S244" s="5">
        <v>241</v>
      </c>
      <c r="T244" s="6">
        <v>1</v>
      </c>
    </row>
    <row r="245" spans="19:20" x14ac:dyDescent="0.3">
      <c r="S245" s="5">
        <v>242</v>
      </c>
      <c r="T245" s="6">
        <v>1</v>
      </c>
    </row>
    <row r="246" spans="19:20" x14ac:dyDescent="0.3">
      <c r="S246" s="5">
        <v>243</v>
      </c>
      <c r="T246" s="6">
        <v>1</v>
      </c>
    </row>
    <row r="247" spans="19:20" x14ac:dyDescent="0.3">
      <c r="S247" s="5">
        <v>244</v>
      </c>
      <c r="T247" s="6">
        <v>1</v>
      </c>
    </row>
    <row r="248" spans="19:20" x14ac:dyDescent="0.3">
      <c r="S248" s="5">
        <v>245</v>
      </c>
      <c r="T248" s="6">
        <v>1</v>
      </c>
    </row>
    <row r="249" spans="19:20" x14ac:dyDescent="0.3">
      <c r="S249" s="5">
        <v>246</v>
      </c>
      <c r="T249" s="6">
        <v>1</v>
      </c>
    </row>
    <row r="250" spans="19:20" x14ac:dyDescent="0.3">
      <c r="S250" s="5">
        <v>247</v>
      </c>
      <c r="T250" s="6">
        <v>1</v>
      </c>
    </row>
    <row r="251" spans="19:20" x14ac:dyDescent="0.3">
      <c r="S251" s="5">
        <v>248</v>
      </c>
      <c r="T251" s="6">
        <v>1</v>
      </c>
    </row>
    <row r="252" spans="19:20" x14ac:dyDescent="0.3">
      <c r="S252" s="5">
        <v>249</v>
      </c>
      <c r="T252" s="6">
        <v>1</v>
      </c>
    </row>
    <row r="253" spans="19:20" x14ac:dyDescent="0.3">
      <c r="S253" s="5">
        <v>250</v>
      </c>
      <c r="T253" s="6">
        <v>1</v>
      </c>
    </row>
    <row r="254" spans="19:20" x14ac:dyDescent="0.3">
      <c r="S254" s="5">
        <v>251</v>
      </c>
      <c r="T254" s="6">
        <v>1</v>
      </c>
    </row>
    <row r="255" spans="19:20" x14ac:dyDescent="0.3">
      <c r="S255" s="5">
        <v>252</v>
      </c>
      <c r="T255" s="6">
        <v>1</v>
      </c>
    </row>
    <row r="256" spans="19:20" x14ac:dyDescent="0.3">
      <c r="S256" s="5">
        <v>253</v>
      </c>
      <c r="T256" s="6">
        <v>1</v>
      </c>
    </row>
    <row r="257" spans="19:20" x14ac:dyDescent="0.3">
      <c r="S257" s="5">
        <v>254</v>
      </c>
      <c r="T257" s="6">
        <v>1</v>
      </c>
    </row>
    <row r="258" spans="19:20" x14ac:dyDescent="0.3">
      <c r="S258" s="5">
        <v>255</v>
      </c>
      <c r="T258" s="6">
        <v>1</v>
      </c>
    </row>
    <row r="259" spans="19:20" x14ac:dyDescent="0.3">
      <c r="S259" s="5">
        <v>256</v>
      </c>
      <c r="T259" s="6">
        <v>1</v>
      </c>
    </row>
    <row r="260" spans="19:20" x14ac:dyDescent="0.3">
      <c r="S260" s="5">
        <v>257</v>
      </c>
      <c r="T260" s="6">
        <v>1</v>
      </c>
    </row>
    <row r="261" spans="19:20" x14ac:dyDescent="0.3">
      <c r="S261" s="5">
        <v>258</v>
      </c>
      <c r="T261" s="6">
        <v>1</v>
      </c>
    </row>
    <row r="262" spans="19:20" x14ac:dyDescent="0.3">
      <c r="S262" s="5">
        <v>259</v>
      </c>
      <c r="T262" s="6">
        <v>1</v>
      </c>
    </row>
    <row r="263" spans="19:20" x14ac:dyDescent="0.3">
      <c r="S263" s="5">
        <v>260</v>
      </c>
      <c r="T263" s="6">
        <v>1</v>
      </c>
    </row>
    <row r="264" spans="19:20" x14ac:dyDescent="0.3">
      <c r="S264" s="5">
        <v>261</v>
      </c>
      <c r="T264" s="6">
        <v>1</v>
      </c>
    </row>
    <row r="265" spans="19:20" x14ac:dyDescent="0.3">
      <c r="S265" s="5">
        <v>262</v>
      </c>
      <c r="T265" s="6">
        <v>1</v>
      </c>
    </row>
    <row r="266" spans="19:20" x14ac:dyDescent="0.3">
      <c r="S266" s="5">
        <v>263</v>
      </c>
      <c r="T266" s="6">
        <v>1</v>
      </c>
    </row>
    <row r="267" spans="19:20" x14ac:dyDescent="0.3">
      <c r="S267" s="5">
        <v>264</v>
      </c>
      <c r="T267" s="6">
        <v>1</v>
      </c>
    </row>
    <row r="268" spans="19:20" x14ac:dyDescent="0.3">
      <c r="S268" s="5">
        <v>265</v>
      </c>
      <c r="T268" s="6">
        <v>1</v>
      </c>
    </row>
    <row r="269" spans="19:20" x14ac:dyDescent="0.3">
      <c r="S269" s="5">
        <v>266</v>
      </c>
      <c r="T269" s="6">
        <v>1</v>
      </c>
    </row>
    <row r="270" spans="19:20" x14ac:dyDescent="0.3">
      <c r="S270" s="5">
        <v>267</v>
      </c>
      <c r="T270" s="6">
        <v>1</v>
      </c>
    </row>
    <row r="271" spans="19:20" x14ac:dyDescent="0.3">
      <c r="S271" s="5">
        <v>268</v>
      </c>
      <c r="T271" s="6">
        <v>1</v>
      </c>
    </row>
    <row r="272" spans="19:20" x14ac:dyDescent="0.3">
      <c r="S272" s="5">
        <v>269</v>
      </c>
      <c r="T272" s="6">
        <v>1</v>
      </c>
    </row>
    <row r="273" spans="19:20" x14ac:dyDescent="0.3">
      <c r="S273" s="5">
        <v>270</v>
      </c>
      <c r="T273" s="6">
        <v>1</v>
      </c>
    </row>
    <row r="274" spans="19:20" x14ac:dyDescent="0.3">
      <c r="S274" s="5">
        <v>271</v>
      </c>
      <c r="T274" s="6">
        <v>1</v>
      </c>
    </row>
    <row r="275" spans="19:20" x14ac:dyDescent="0.3">
      <c r="S275" s="5">
        <v>272</v>
      </c>
      <c r="T275" s="6">
        <v>1</v>
      </c>
    </row>
    <row r="276" spans="19:20" x14ac:dyDescent="0.3">
      <c r="S276" s="5">
        <v>273</v>
      </c>
      <c r="T276" s="6">
        <v>1</v>
      </c>
    </row>
    <row r="277" spans="19:20" x14ac:dyDescent="0.3">
      <c r="S277" s="5">
        <v>274</v>
      </c>
      <c r="T277" s="6">
        <v>1</v>
      </c>
    </row>
    <row r="278" spans="19:20" x14ac:dyDescent="0.3">
      <c r="S278" s="5">
        <v>275</v>
      </c>
      <c r="T278" s="6">
        <v>1</v>
      </c>
    </row>
    <row r="279" spans="19:20" x14ac:dyDescent="0.3">
      <c r="S279" s="5">
        <v>276</v>
      </c>
      <c r="T279" s="6">
        <v>1</v>
      </c>
    </row>
    <row r="280" spans="19:20" x14ac:dyDescent="0.3">
      <c r="S280" s="5">
        <v>277</v>
      </c>
      <c r="T280" s="6">
        <v>1</v>
      </c>
    </row>
    <row r="281" spans="19:20" x14ac:dyDescent="0.3">
      <c r="S281" s="5">
        <v>278</v>
      </c>
      <c r="T281" s="6">
        <v>1</v>
      </c>
    </row>
    <row r="282" spans="19:20" x14ac:dyDescent="0.3">
      <c r="S282" s="5">
        <v>279</v>
      </c>
      <c r="T282" s="6">
        <v>1</v>
      </c>
    </row>
    <row r="283" spans="19:20" x14ac:dyDescent="0.3">
      <c r="S283" s="5">
        <v>280</v>
      </c>
      <c r="T283" s="6">
        <v>1</v>
      </c>
    </row>
    <row r="284" spans="19:20" x14ac:dyDescent="0.3">
      <c r="S284" s="5">
        <v>281</v>
      </c>
      <c r="T284" s="6">
        <v>1</v>
      </c>
    </row>
    <row r="285" spans="19:20" x14ac:dyDescent="0.3">
      <c r="S285" s="5">
        <v>282</v>
      </c>
      <c r="T285" s="6">
        <v>1</v>
      </c>
    </row>
    <row r="286" spans="19:20" x14ac:dyDescent="0.3">
      <c r="S286" s="5">
        <v>283</v>
      </c>
      <c r="T286" s="6">
        <v>1</v>
      </c>
    </row>
    <row r="287" spans="19:20" x14ac:dyDescent="0.3">
      <c r="S287" s="5">
        <v>284</v>
      </c>
      <c r="T287" s="6">
        <v>1</v>
      </c>
    </row>
    <row r="288" spans="19:20" x14ac:dyDescent="0.3">
      <c r="S288" s="5">
        <v>285</v>
      </c>
      <c r="T288" s="6">
        <v>1</v>
      </c>
    </row>
    <row r="289" spans="19:20" x14ac:dyDescent="0.3">
      <c r="S289" s="5">
        <v>286</v>
      </c>
      <c r="T289" s="6">
        <v>1</v>
      </c>
    </row>
    <row r="290" spans="19:20" x14ac:dyDescent="0.3">
      <c r="S290" s="5">
        <v>287</v>
      </c>
      <c r="T290" s="6">
        <v>1</v>
      </c>
    </row>
    <row r="291" spans="19:20" x14ac:dyDescent="0.3">
      <c r="S291" s="5">
        <v>288</v>
      </c>
      <c r="T291" s="6">
        <v>1</v>
      </c>
    </row>
    <row r="292" spans="19:20" x14ac:dyDescent="0.3">
      <c r="S292" s="5">
        <v>289</v>
      </c>
      <c r="T292" s="6">
        <v>1</v>
      </c>
    </row>
    <row r="293" spans="19:20" x14ac:dyDescent="0.3">
      <c r="S293" s="5">
        <v>290</v>
      </c>
      <c r="T293" s="6">
        <v>1</v>
      </c>
    </row>
    <row r="294" spans="19:20" x14ac:dyDescent="0.3">
      <c r="S294" s="5">
        <v>291</v>
      </c>
      <c r="T294" s="6">
        <v>1</v>
      </c>
    </row>
    <row r="295" spans="19:20" x14ac:dyDescent="0.3">
      <c r="S295" s="5">
        <v>292</v>
      </c>
      <c r="T295" s="6">
        <v>1</v>
      </c>
    </row>
    <row r="296" spans="19:20" x14ac:dyDescent="0.3">
      <c r="S296" s="5">
        <v>293</v>
      </c>
      <c r="T296" s="6">
        <v>1</v>
      </c>
    </row>
    <row r="297" spans="19:20" x14ac:dyDescent="0.3">
      <c r="S297" s="5">
        <v>294</v>
      </c>
      <c r="T297" s="6">
        <v>1</v>
      </c>
    </row>
    <row r="298" spans="19:20" x14ac:dyDescent="0.3">
      <c r="S298" s="5">
        <v>295</v>
      </c>
      <c r="T298" s="6">
        <v>1</v>
      </c>
    </row>
    <row r="299" spans="19:20" x14ac:dyDescent="0.3">
      <c r="S299" s="5">
        <v>296</v>
      </c>
      <c r="T299" s="6">
        <v>1</v>
      </c>
    </row>
    <row r="300" spans="19:20" x14ac:dyDescent="0.3">
      <c r="S300" s="5">
        <v>297</v>
      </c>
      <c r="T300" s="6">
        <v>1</v>
      </c>
    </row>
    <row r="301" spans="19:20" x14ac:dyDescent="0.3">
      <c r="S301" s="5">
        <v>298</v>
      </c>
      <c r="T301" s="6">
        <v>1</v>
      </c>
    </row>
    <row r="302" spans="19:20" x14ac:dyDescent="0.3">
      <c r="S302" s="5">
        <v>299</v>
      </c>
      <c r="T302" s="6">
        <v>1</v>
      </c>
    </row>
    <row r="303" spans="19:20" x14ac:dyDescent="0.3">
      <c r="S303" s="5">
        <v>300</v>
      </c>
      <c r="T303" s="6">
        <v>1</v>
      </c>
    </row>
    <row r="304" spans="19:20" x14ac:dyDescent="0.3">
      <c r="S304" s="5">
        <v>301</v>
      </c>
      <c r="T304" s="6">
        <v>1</v>
      </c>
    </row>
    <row r="305" spans="19:20" x14ac:dyDescent="0.3">
      <c r="S305" s="5">
        <v>302</v>
      </c>
      <c r="T305" s="6">
        <v>1</v>
      </c>
    </row>
    <row r="306" spans="19:20" x14ac:dyDescent="0.3">
      <c r="S306" s="5">
        <v>303</v>
      </c>
      <c r="T306" s="6">
        <v>1</v>
      </c>
    </row>
    <row r="307" spans="19:20" x14ac:dyDescent="0.3">
      <c r="S307" s="5">
        <v>304</v>
      </c>
      <c r="T307" s="6">
        <v>1</v>
      </c>
    </row>
    <row r="308" spans="19:20" x14ac:dyDescent="0.3">
      <c r="S308" s="5">
        <v>305</v>
      </c>
      <c r="T308" s="6">
        <v>1</v>
      </c>
    </row>
    <row r="309" spans="19:20" x14ac:dyDescent="0.3">
      <c r="S309" s="5">
        <v>306</v>
      </c>
      <c r="T309" s="6">
        <v>1</v>
      </c>
    </row>
    <row r="310" spans="19:20" x14ac:dyDescent="0.3">
      <c r="S310" s="5">
        <v>307</v>
      </c>
      <c r="T310" s="6">
        <v>1</v>
      </c>
    </row>
    <row r="311" spans="19:20" x14ac:dyDescent="0.3">
      <c r="S311" s="5">
        <v>308</v>
      </c>
      <c r="T311" s="6">
        <v>1</v>
      </c>
    </row>
    <row r="312" spans="19:20" x14ac:dyDescent="0.3">
      <c r="S312" s="5">
        <v>309</v>
      </c>
      <c r="T312" s="6">
        <v>1</v>
      </c>
    </row>
    <row r="313" spans="19:20" x14ac:dyDescent="0.3">
      <c r="S313" s="5">
        <v>310</v>
      </c>
      <c r="T313" s="6">
        <v>1</v>
      </c>
    </row>
    <row r="314" spans="19:20" x14ac:dyDescent="0.3">
      <c r="S314" s="5">
        <v>311</v>
      </c>
      <c r="T314" s="6">
        <v>1</v>
      </c>
    </row>
    <row r="315" spans="19:20" x14ac:dyDescent="0.3">
      <c r="S315" s="5">
        <v>312</v>
      </c>
      <c r="T315" s="6">
        <v>1</v>
      </c>
    </row>
    <row r="316" spans="19:20" x14ac:dyDescent="0.3">
      <c r="S316" s="5">
        <v>313</v>
      </c>
      <c r="T316" s="6">
        <v>1</v>
      </c>
    </row>
    <row r="317" spans="19:20" x14ac:dyDescent="0.3">
      <c r="S317" s="5">
        <v>314</v>
      </c>
      <c r="T317" s="6">
        <v>1</v>
      </c>
    </row>
    <row r="318" spans="19:20" x14ac:dyDescent="0.3">
      <c r="S318" s="5">
        <v>315</v>
      </c>
      <c r="T318" s="6">
        <v>1</v>
      </c>
    </row>
    <row r="319" spans="19:20" x14ac:dyDescent="0.3">
      <c r="S319" s="5">
        <v>316</v>
      </c>
      <c r="T319" s="6">
        <v>1</v>
      </c>
    </row>
    <row r="320" spans="19:20" x14ac:dyDescent="0.3">
      <c r="S320" s="5">
        <v>317</v>
      </c>
      <c r="T320" s="6">
        <v>1</v>
      </c>
    </row>
    <row r="321" spans="19:20" x14ac:dyDescent="0.3">
      <c r="S321" s="5">
        <v>318</v>
      </c>
      <c r="T321" s="6">
        <v>1</v>
      </c>
    </row>
    <row r="322" spans="19:20" x14ac:dyDescent="0.3">
      <c r="S322" s="5">
        <v>319</v>
      </c>
      <c r="T322" s="6">
        <v>1</v>
      </c>
    </row>
    <row r="323" spans="19:20" x14ac:dyDescent="0.3">
      <c r="S323" s="5">
        <v>320</v>
      </c>
      <c r="T323" s="6">
        <v>1</v>
      </c>
    </row>
    <row r="324" spans="19:20" x14ac:dyDescent="0.3">
      <c r="S324" s="5">
        <v>321</v>
      </c>
      <c r="T324" s="6">
        <v>1</v>
      </c>
    </row>
    <row r="325" spans="19:20" x14ac:dyDescent="0.3">
      <c r="S325" s="5">
        <v>322</v>
      </c>
      <c r="T325" s="6">
        <v>1</v>
      </c>
    </row>
    <row r="326" spans="19:20" x14ac:dyDescent="0.3">
      <c r="S326" s="5">
        <v>323</v>
      </c>
      <c r="T326" s="6">
        <v>1</v>
      </c>
    </row>
    <row r="327" spans="19:20" x14ac:dyDescent="0.3">
      <c r="S327" s="5">
        <v>324</v>
      </c>
      <c r="T327" s="6">
        <v>1</v>
      </c>
    </row>
    <row r="328" spans="19:20" x14ac:dyDescent="0.3">
      <c r="S328" s="5">
        <v>325</v>
      </c>
      <c r="T328" s="6">
        <v>1</v>
      </c>
    </row>
    <row r="329" spans="19:20" x14ac:dyDescent="0.3">
      <c r="S329" s="5">
        <v>326</v>
      </c>
      <c r="T329" s="6">
        <v>1</v>
      </c>
    </row>
    <row r="330" spans="19:20" x14ac:dyDescent="0.3">
      <c r="S330" s="5">
        <v>327</v>
      </c>
      <c r="T330" s="6">
        <v>1</v>
      </c>
    </row>
    <row r="331" spans="19:20" x14ac:dyDescent="0.3">
      <c r="S331" s="5">
        <v>328</v>
      </c>
      <c r="T331" s="6">
        <v>1</v>
      </c>
    </row>
    <row r="332" spans="19:20" x14ac:dyDescent="0.3">
      <c r="S332" s="5">
        <v>329</v>
      </c>
      <c r="T332" s="6">
        <v>1</v>
      </c>
    </row>
    <row r="333" spans="19:20" x14ac:dyDescent="0.3">
      <c r="S333" s="5">
        <v>330</v>
      </c>
      <c r="T333" s="6">
        <v>1</v>
      </c>
    </row>
    <row r="334" spans="19:20" x14ac:dyDescent="0.3">
      <c r="S334" s="5">
        <v>331</v>
      </c>
      <c r="T334" s="6">
        <v>1</v>
      </c>
    </row>
    <row r="335" spans="19:20" x14ac:dyDescent="0.3">
      <c r="S335" s="5">
        <v>332</v>
      </c>
      <c r="T335" s="6">
        <v>1</v>
      </c>
    </row>
    <row r="336" spans="19:20" x14ac:dyDescent="0.3">
      <c r="S336" s="5">
        <v>333</v>
      </c>
      <c r="T336" s="6">
        <v>1</v>
      </c>
    </row>
    <row r="337" spans="19:20" x14ac:dyDescent="0.3">
      <c r="S337" s="5">
        <v>334</v>
      </c>
      <c r="T337" s="6">
        <v>1</v>
      </c>
    </row>
    <row r="338" spans="19:20" x14ac:dyDescent="0.3">
      <c r="S338" s="5">
        <v>335</v>
      </c>
      <c r="T338" s="6">
        <v>1</v>
      </c>
    </row>
    <row r="339" spans="19:20" x14ac:dyDescent="0.3">
      <c r="S339" s="5">
        <v>336</v>
      </c>
      <c r="T339" s="6">
        <v>1</v>
      </c>
    </row>
    <row r="340" spans="19:20" x14ac:dyDescent="0.3">
      <c r="S340" s="5">
        <v>337</v>
      </c>
      <c r="T340" s="6">
        <v>1</v>
      </c>
    </row>
    <row r="341" spans="19:20" x14ac:dyDescent="0.3">
      <c r="S341" s="5">
        <v>338</v>
      </c>
      <c r="T341" s="6">
        <v>1</v>
      </c>
    </row>
    <row r="342" spans="19:20" x14ac:dyDescent="0.3">
      <c r="S342" s="5">
        <v>339</v>
      </c>
      <c r="T342" s="6">
        <v>1</v>
      </c>
    </row>
    <row r="343" spans="19:20" x14ac:dyDescent="0.3">
      <c r="S343" s="5">
        <v>340</v>
      </c>
      <c r="T343" s="6">
        <v>1</v>
      </c>
    </row>
    <row r="344" spans="19:20" x14ac:dyDescent="0.3">
      <c r="S344" s="5">
        <v>341</v>
      </c>
      <c r="T344" s="6">
        <v>1</v>
      </c>
    </row>
    <row r="345" spans="19:20" x14ac:dyDescent="0.3">
      <c r="S345" s="5">
        <v>342</v>
      </c>
      <c r="T345" s="6">
        <v>1</v>
      </c>
    </row>
    <row r="346" spans="19:20" x14ac:dyDescent="0.3">
      <c r="S346" s="5">
        <v>343</v>
      </c>
      <c r="T346" s="6">
        <v>1</v>
      </c>
    </row>
    <row r="347" spans="19:20" x14ac:dyDescent="0.3">
      <c r="S347" s="5">
        <v>344</v>
      </c>
      <c r="T347" s="6">
        <v>1</v>
      </c>
    </row>
    <row r="348" spans="19:20" x14ac:dyDescent="0.3">
      <c r="S348" s="5">
        <v>345</v>
      </c>
      <c r="T348" s="6">
        <v>1</v>
      </c>
    </row>
    <row r="349" spans="19:20" x14ac:dyDescent="0.3">
      <c r="S349" s="5">
        <v>346</v>
      </c>
      <c r="T349" s="6">
        <v>1</v>
      </c>
    </row>
    <row r="350" spans="19:20" x14ac:dyDescent="0.3">
      <c r="S350" s="5">
        <v>347</v>
      </c>
      <c r="T350" s="6">
        <v>1</v>
      </c>
    </row>
    <row r="351" spans="19:20" x14ac:dyDescent="0.3">
      <c r="S351" s="5">
        <v>348</v>
      </c>
      <c r="T351" s="6">
        <v>1</v>
      </c>
    </row>
    <row r="352" spans="19:20" x14ac:dyDescent="0.3">
      <c r="S352" s="5">
        <v>349</v>
      </c>
      <c r="T352" s="6">
        <v>1</v>
      </c>
    </row>
    <row r="353" spans="19:20" x14ac:dyDescent="0.3">
      <c r="S353" s="5">
        <v>350</v>
      </c>
      <c r="T353" s="6">
        <v>1</v>
      </c>
    </row>
    <row r="354" spans="19:20" x14ac:dyDescent="0.3">
      <c r="S354" s="5">
        <v>351</v>
      </c>
      <c r="T354" s="6">
        <v>1</v>
      </c>
    </row>
    <row r="355" spans="19:20" x14ac:dyDescent="0.3">
      <c r="S355" s="5">
        <v>352</v>
      </c>
      <c r="T355" s="6">
        <v>1</v>
      </c>
    </row>
    <row r="356" spans="19:20" x14ac:dyDescent="0.3">
      <c r="S356" s="5">
        <v>353</v>
      </c>
      <c r="T356" s="6">
        <v>1</v>
      </c>
    </row>
    <row r="357" spans="19:20" x14ac:dyDescent="0.3">
      <c r="S357" s="5">
        <v>354</v>
      </c>
      <c r="T357" s="6">
        <v>1</v>
      </c>
    </row>
    <row r="358" spans="19:20" x14ac:dyDescent="0.3">
      <c r="S358" s="5">
        <v>355</v>
      </c>
      <c r="T358" s="6">
        <v>1</v>
      </c>
    </row>
    <row r="359" spans="19:20" x14ac:dyDescent="0.3">
      <c r="S359" s="5">
        <v>356</v>
      </c>
      <c r="T359" s="6">
        <v>1</v>
      </c>
    </row>
    <row r="360" spans="19:20" x14ac:dyDescent="0.3">
      <c r="S360" s="5">
        <v>357</v>
      </c>
      <c r="T360" s="6">
        <v>1</v>
      </c>
    </row>
    <row r="361" spans="19:20" x14ac:dyDescent="0.3">
      <c r="S361" s="5">
        <v>358</v>
      </c>
      <c r="T361" s="6">
        <v>1</v>
      </c>
    </row>
    <row r="362" spans="19:20" x14ac:dyDescent="0.3">
      <c r="S362" s="5">
        <v>359</v>
      </c>
      <c r="T362" s="6">
        <v>1</v>
      </c>
    </row>
    <row r="363" spans="19:20" x14ac:dyDescent="0.3">
      <c r="S363" s="5">
        <v>360</v>
      </c>
      <c r="T363" s="6">
        <v>1</v>
      </c>
    </row>
    <row r="364" spans="19:20" x14ac:dyDescent="0.3">
      <c r="S364" s="5">
        <v>361</v>
      </c>
      <c r="T364" s="6">
        <v>1</v>
      </c>
    </row>
    <row r="365" spans="19:20" x14ac:dyDescent="0.3">
      <c r="S365" s="5">
        <v>362</v>
      </c>
      <c r="T365" s="6">
        <v>1</v>
      </c>
    </row>
    <row r="366" spans="19:20" x14ac:dyDescent="0.3">
      <c r="S366" s="5">
        <v>363</v>
      </c>
      <c r="T366" s="6">
        <v>1</v>
      </c>
    </row>
    <row r="367" spans="19:20" x14ac:dyDescent="0.3">
      <c r="S367" s="5">
        <v>364</v>
      </c>
      <c r="T367" s="6">
        <v>1</v>
      </c>
    </row>
    <row r="368" spans="19:20" x14ac:dyDescent="0.3">
      <c r="S368" s="5">
        <v>365</v>
      </c>
      <c r="T368" s="6">
        <v>1</v>
      </c>
    </row>
    <row r="369" spans="19:20" x14ac:dyDescent="0.3">
      <c r="S369" s="5">
        <v>366</v>
      </c>
      <c r="T369" s="6">
        <v>1</v>
      </c>
    </row>
    <row r="370" spans="19:20" x14ac:dyDescent="0.3">
      <c r="S370" s="5">
        <v>367</v>
      </c>
      <c r="T370" s="6">
        <v>1</v>
      </c>
    </row>
    <row r="371" spans="19:20" x14ac:dyDescent="0.3">
      <c r="S371" s="5">
        <v>368</v>
      </c>
      <c r="T371" s="6">
        <v>1</v>
      </c>
    </row>
    <row r="372" spans="19:20" x14ac:dyDescent="0.3">
      <c r="S372" s="5">
        <v>369</v>
      </c>
      <c r="T372" s="6">
        <v>1</v>
      </c>
    </row>
    <row r="373" spans="19:20" x14ac:dyDescent="0.3">
      <c r="S373" s="5">
        <v>370</v>
      </c>
      <c r="T373" s="6">
        <v>1</v>
      </c>
    </row>
    <row r="374" spans="19:20" x14ac:dyDescent="0.3">
      <c r="S374" s="5">
        <v>371</v>
      </c>
      <c r="T374" s="6">
        <v>1</v>
      </c>
    </row>
    <row r="375" spans="19:20" x14ac:dyDescent="0.3">
      <c r="S375" s="5">
        <v>372</v>
      </c>
      <c r="T375" s="6">
        <v>1</v>
      </c>
    </row>
    <row r="376" spans="19:20" x14ac:dyDescent="0.3">
      <c r="S376" s="5">
        <v>373</v>
      </c>
      <c r="T376" s="6">
        <v>1</v>
      </c>
    </row>
    <row r="377" spans="19:20" x14ac:dyDescent="0.3">
      <c r="S377" s="5">
        <v>374</v>
      </c>
      <c r="T377" s="6">
        <v>1</v>
      </c>
    </row>
    <row r="378" spans="19:20" x14ac:dyDescent="0.3">
      <c r="S378" s="5">
        <v>375</v>
      </c>
      <c r="T378" s="6">
        <v>1</v>
      </c>
    </row>
    <row r="379" spans="19:20" x14ac:dyDescent="0.3">
      <c r="S379" s="5">
        <v>376</v>
      </c>
      <c r="T379" s="6">
        <v>1</v>
      </c>
    </row>
    <row r="380" spans="19:20" x14ac:dyDescent="0.3">
      <c r="S380" s="5">
        <v>377</v>
      </c>
      <c r="T380" s="6">
        <v>1</v>
      </c>
    </row>
    <row r="381" spans="19:20" x14ac:dyDescent="0.3">
      <c r="S381" s="5">
        <v>378</v>
      </c>
      <c r="T381" s="6">
        <v>1</v>
      </c>
    </row>
    <row r="382" spans="19:20" x14ac:dyDescent="0.3">
      <c r="S382" s="5">
        <v>379</v>
      </c>
      <c r="T382" s="6">
        <v>1</v>
      </c>
    </row>
    <row r="383" spans="19:20" x14ac:dyDescent="0.3">
      <c r="S383" s="5">
        <v>380</v>
      </c>
      <c r="T383" s="6">
        <v>1</v>
      </c>
    </row>
    <row r="384" spans="19:20" x14ac:dyDescent="0.3">
      <c r="S384" s="5">
        <v>381</v>
      </c>
      <c r="T384" s="6">
        <v>1</v>
      </c>
    </row>
    <row r="385" spans="19:20" x14ac:dyDescent="0.3">
      <c r="S385" s="5">
        <v>382</v>
      </c>
      <c r="T385" s="6">
        <v>1</v>
      </c>
    </row>
    <row r="386" spans="19:20" x14ac:dyDescent="0.3">
      <c r="S386" s="5">
        <v>383</v>
      </c>
      <c r="T386" s="6">
        <v>1</v>
      </c>
    </row>
    <row r="387" spans="19:20" x14ac:dyDescent="0.3">
      <c r="S387" s="5">
        <v>384</v>
      </c>
      <c r="T387" s="6">
        <v>1</v>
      </c>
    </row>
    <row r="388" spans="19:20" x14ac:dyDescent="0.3">
      <c r="S388" s="5">
        <v>385</v>
      </c>
      <c r="T388" s="6">
        <v>1</v>
      </c>
    </row>
    <row r="389" spans="19:20" x14ac:dyDescent="0.3">
      <c r="S389" s="5">
        <v>386</v>
      </c>
      <c r="T389" s="6">
        <v>1</v>
      </c>
    </row>
    <row r="390" spans="19:20" x14ac:dyDescent="0.3">
      <c r="S390" s="5">
        <v>387</v>
      </c>
      <c r="T390" s="6">
        <v>1</v>
      </c>
    </row>
    <row r="391" spans="19:20" x14ac:dyDescent="0.3">
      <c r="S391" s="5">
        <v>388</v>
      </c>
      <c r="T391" s="6">
        <v>1</v>
      </c>
    </row>
    <row r="392" spans="19:20" x14ac:dyDescent="0.3">
      <c r="S392" s="5">
        <v>389</v>
      </c>
      <c r="T392" s="6">
        <v>1</v>
      </c>
    </row>
    <row r="393" spans="19:20" x14ac:dyDescent="0.3">
      <c r="S393" s="5">
        <v>390</v>
      </c>
      <c r="T393" s="6">
        <v>1</v>
      </c>
    </row>
    <row r="394" spans="19:20" x14ac:dyDescent="0.3">
      <c r="S394" s="5">
        <v>391</v>
      </c>
      <c r="T394" s="6">
        <v>1</v>
      </c>
    </row>
    <row r="395" spans="19:20" x14ac:dyDescent="0.3">
      <c r="S395" s="5">
        <v>392</v>
      </c>
      <c r="T395" s="6">
        <v>1</v>
      </c>
    </row>
    <row r="396" spans="19:20" x14ac:dyDescent="0.3">
      <c r="S396" s="5">
        <v>393</v>
      </c>
      <c r="T396" s="6">
        <v>1</v>
      </c>
    </row>
    <row r="397" spans="19:20" x14ac:dyDescent="0.3">
      <c r="S397" s="5">
        <v>394</v>
      </c>
      <c r="T397" s="6">
        <v>1</v>
      </c>
    </row>
    <row r="398" spans="19:20" x14ac:dyDescent="0.3">
      <c r="S398" s="5">
        <v>395</v>
      </c>
      <c r="T398" s="6">
        <v>1</v>
      </c>
    </row>
    <row r="399" spans="19:20" x14ac:dyDescent="0.3">
      <c r="S399" s="5">
        <v>396</v>
      </c>
      <c r="T399" s="6">
        <v>1</v>
      </c>
    </row>
    <row r="400" spans="19:20" x14ac:dyDescent="0.3">
      <c r="S400" s="5">
        <v>397</v>
      </c>
      <c r="T400" s="6">
        <v>1</v>
      </c>
    </row>
    <row r="401" spans="19:20" x14ac:dyDescent="0.3">
      <c r="S401" s="5">
        <v>398</v>
      </c>
      <c r="T401" s="6">
        <v>1</v>
      </c>
    </row>
    <row r="402" spans="19:20" x14ac:dyDescent="0.3">
      <c r="S402" s="5">
        <v>399</v>
      </c>
      <c r="T402" s="6">
        <v>1</v>
      </c>
    </row>
    <row r="403" spans="19:20" x14ac:dyDescent="0.3">
      <c r="S403" s="5">
        <v>400</v>
      </c>
      <c r="T403" s="6">
        <v>1</v>
      </c>
    </row>
    <row r="404" spans="19:20" x14ac:dyDescent="0.3">
      <c r="S404" s="5">
        <v>401</v>
      </c>
      <c r="T404" s="6">
        <v>1</v>
      </c>
    </row>
    <row r="405" spans="19:20" x14ac:dyDescent="0.3">
      <c r="S405" s="5">
        <v>402</v>
      </c>
      <c r="T405" s="6">
        <v>1</v>
      </c>
    </row>
    <row r="406" spans="19:20" x14ac:dyDescent="0.3">
      <c r="S406" s="5">
        <v>403</v>
      </c>
      <c r="T406" s="6">
        <v>1</v>
      </c>
    </row>
    <row r="407" spans="19:20" x14ac:dyDescent="0.3">
      <c r="S407" s="5">
        <v>404</v>
      </c>
      <c r="T407" s="6">
        <v>1</v>
      </c>
    </row>
    <row r="408" spans="19:20" x14ac:dyDescent="0.3">
      <c r="S408" s="5">
        <v>405</v>
      </c>
      <c r="T408" s="6">
        <v>1</v>
      </c>
    </row>
    <row r="409" spans="19:20" x14ac:dyDescent="0.3">
      <c r="S409" s="5">
        <v>406</v>
      </c>
      <c r="T409" s="6">
        <v>1</v>
      </c>
    </row>
    <row r="410" spans="19:20" x14ac:dyDescent="0.3">
      <c r="S410" s="5">
        <v>407</v>
      </c>
      <c r="T410" s="6">
        <v>1</v>
      </c>
    </row>
    <row r="411" spans="19:20" x14ac:dyDescent="0.3">
      <c r="S411" s="5">
        <v>408</v>
      </c>
      <c r="T411" s="6">
        <v>1</v>
      </c>
    </row>
    <row r="412" spans="19:20" x14ac:dyDescent="0.3">
      <c r="S412" s="5">
        <v>409</v>
      </c>
      <c r="T412" s="6">
        <v>1</v>
      </c>
    </row>
    <row r="413" spans="19:20" x14ac:dyDescent="0.3">
      <c r="S413" s="5">
        <v>410</v>
      </c>
      <c r="T413" s="6">
        <v>1</v>
      </c>
    </row>
    <row r="414" spans="19:20" x14ac:dyDescent="0.3">
      <c r="S414" s="5">
        <v>411</v>
      </c>
      <c r="T414" s="6">
        <v>1</v>
      </c>
    </row>
    <row r="415" spans="19:20" x14ac:dyDescent="0.3">
      <c r="S415" s="5">
        <v>412</v>
      </c>
      <c r="T415" s="6">
        <v>1</v>
      </c>
    </row>
    <row r="416" spans="19:20" x14ac:dyDescent="0.3">
      <c r="S416" s="5">
        <v>413</v>
      </c>
      <c r="T416" s="6">
        <v>1</v>
      </c>
    </row>
    <row r="417" spans="19:20" x14ac:dyDescent="0.3">
      <c r="S417" s="5">
        <v>414</v>
      </c>
      <c r="T417" s="6">
        <v>1</v>
      </c>
    </row>
    <row r="418" spans="19:20" x14ac:dyDescent="0.3">
      <c r="S418" s="5">
        <v>415</v>
      </c>
      <c r="T418" s="6">
        <v>1</v>
      </c>
    </row>
    <row r="419" spans="19:20" x14ac:dyDescent="0.3">
      <c r="S419" s="5">
        <v>416</v>
      </c>
      <c r="T419" s="6">
        <v>1</v>
      </c>
    </row>
    <row r="420" spans="19:20" x14ac:dyDescent="0.3">
      <c r="S420" s="5">
        <v>417</v>
      </c>
      <c r="T420" s="6">
        <v>1</v>
      </c>
    </row>
    <row r="421" spans="19:20" x14ac:dyDescent="0.3">
      <c r="S421" s="5">
        <v>418</v>
      </c>
      <c r="T421" s="6">
        <v>1</v>
      </c>
    </row>
    <row r="422" spans="19:20" x14ac:dyDescent="0.3">
      <c r="S422" s="5">
        <v>419</v>
      </c>
      <c r="T422" s="6">
        <v>1</v>
      </c>
    </row>
    <row r="423" spans="19:20" x14ac:dyDescent="0.3">
      <c r="S423" s="5">
        <v>420</v>
      </c>
      <c r="T423" s="6">
        <v>1</v>
      </c>
    </row>
    <row r="424" spans="19:20" x14ac:dyDescent="0.3">
      <c r="S424" s="5">
        <v>421</v>
      </c>
      <c r="T424" s="6">
        <v>1</v>
      </c>
    </row>
    <row r="425" spans="19:20" x14ac:dyDescent="0.3">
      <c r="S425" s="5">
        <v>422</v>
      </c>
      <c r="T425" s="6">
        <v>1</v>
      </c>
    </row>
    <row r="426" spans="19:20" x14ac:dyDescent="0.3">
      <c r="S426" s="5">
        <v>423</v>
      </c>
      <c r="T426" s="6">
        <v>1</v>
      </c>
    </row>
    <row r="427" spans="19:20" x14ac:dyDescent="0.3">
      <c r="S427" s="5">
        <v>424</v>
      </c>
      <c r="T427" s="6">
        <v>1</v>
      </c>
    </row>
    <row r="428" spans="19:20" x14ac:dyDescent="0.3">
      <c r="S428" s="5">
        <v>425</v>
      </c>
      <c r="T428" s="6">
        <v>1</v>
      </c>
    </row>
    <row r="429" spans="19:20" x14ac:dyDescent="0.3">
      <c r="S429" s="5">
        <v>426</v>
      </c>
      <c r="T429" s="6">
        <v>1</v>
      </c>
    </row>
    <row r="430" spans="19:20" x14ac:dyDescent="0.3">
      <c r="S430" s="5">
        <v>427</v>
      </c>
      <c r="T430" s="6">
        <v>1</v>
      </c>
    </row>
    <row r="431" spans="19:20" x14ac:dyDescent="0.3">
      <c r="S431" s="5">
        <v>428</v>
      </c>
      <c r="T431" s="6">
        <v>1</v>
      </c>
    </row>
    <row r="432" spans="19:20" x14ac:dyDescent="0.3">
      <c r="S432" s="5">
        <v>429</v>
      </c>
      <c r="T432" s="6">
        <v>1</v>
      </c>
    </row>
    <row r="433" spans="19:20" x14ac:dyDescent="0.3">
      <c r="S433" s="5">
        <v>430</v>
      </c>
      <c r="T433" s="6">
        <v>1</v>
      </c>
    </row>
    <row r="434" spans="19:20" x14ac:dyDescent="0.3">
      <c r="S434" s="5">
        <v>431</v>
      </c>
      <c r="T434" s="6">
        <v>1</v>
      </c>
    </row>
    <row r="435" spans="19:20" x14ac:dyDescent="0.3">
      <c r="S435" s="5">
        <v>432</v>
      </c>
      <c r="T435" s="6">
        <v>1</v>
      </c>
    </row>
    <row r="436" spans="19:20" x14ac:dyDescent="0.3">
      <c r="S436" s="5">
        <v>433</v>
      </c>
      <c r="T436" s="6">
        <v>1</v>
      </c>
    </row>
    <row r="437" spans="19:20" x14ac:dyDescent="0.3">
      <c r="S437" s="5">
        <v>434</v>
      </c>
      <c r="T437" s="6">
        <v>1</v>
      </c>
    </row>
    <row r="438" spans="19:20" x14ac:dyDescent="0.3">
      <c r="S438" s="5">
        <v>435</v>
      </c>
      <c r="T438" s="6">
        <v>1</v>
      </c>
    </row>
    <row r="439" spans="19:20" x14ac:dyDescent="0.3">
      <c r="S439" s="5">
        <v>436</v>
      </c>
      <c r="T439" s="6">
        <v>1</v>
      </c>
    </row>
    <row r="440" spans="19:20" x14ac:dyDescent="0.3">
      <c r="S440" s="5">
        <v>437</v>
      </c>
      <c r="T440" s="6">
        <v>1</v>
      </c>
    </row>
    <row r="441" spans="19:20" x14ac:dyDescent="0.3">
      <c r="S441" s="5">
        <v>438</v>
      </c>
      <c r="T441" s="6">
        <v>1</v>
      </c>
    </row>
    <row r="442" spans="19:20" x14ac:dyDescent="0.3">
      <c r="S442" s="5">
        <v>439</v>
      </c>
      <c r="T442" s="6">
        <v>1</v>
      </c>
    </row>
    <row r="443" spans="19:20" x14ac:dyDescent="0.3">
      <c r="S443" s="5">
        <v>440</v>
      </c>
      <c r="T443" s="6">
        <v>1</v>
      </c>
    </row>
    <row r="444" spans="19:20" x14ac:dyDescent="0.3">
      <c r="S444" s="5">
        <v>441</v>
      </c>
      <c r="T444" s="6">
        <v>1</v>
      </c>
    </row>
    <row r="445" spans="19:20" x14ac:dyDescent="0.3">
      <c r="S445" s="5">
        <v>442</v>
      </c>
      <c r="T445" s="6">
        <v>1</v>
      </c>
    </row>
    <row r="446" spans="19:20" x14ac:dyDescent="0.3">
      <c r="S446" s="5">
        <v>443</v>
      </c>
      <c r="T446" s="6">
        <v>1</v>
      </c>
    </row>
    <row r="447" spans="19:20" x14ac:dyDescent="0.3">
      <c r="S447" s="5">
        <v>444</v>
      </c>
      <c r="T447" s="6">
        <v>1</v>
      </c>
    </row>
    <row r="448" spans="19:20" x14ac:dyDescent="0.3">
      <c r="S448" s="5">
        <v>445</v>
      </c>
      <c r="T448" s="6">
        <v>1</v>
      </c>
    </row>
    <row r="449" spans="19:20" x14ac:dyDescent="0.3">
      <c r="S449" s="5">
        <v>446</v>
      </c>
      <c r="T449" s="6">
        <v>1</v>
      </c>
    </row>
    <row r="450" spans="19:20" x14ac:dyDescent="0.3">
      <c r="S450" s="5">
        <v>447</v>
      </c>
      <c r="T450" s="6">
        <v>1</v>
      </c>
    </row>
    <row r="451" spans="19:20" x14ac:dyDescent="0.3">
      <c r="S451" s="5">
        <v>448</v>
      </c>
      <c r="T451" s="6">
        <v>1</v>
      </c>
    </row>
    <row r="452" spans="19:20" x14ac:dyDescent="0.3">
      <c r="S452" s="5">
        <v>449</v>
      </c>
      <c r="T452" s="6">
        <v>1</v>
      </c>
    </row>
    <row r="453" spans="19:20" x14ac:dyDescent="0.3">
      <c r="S453" s="5">
        <v>450</v>
      </c>
      <c r="T453" s="6">
        <v>1</v>
      </c>
    </row>
    <row r="454" spans="19:20" x14ac:dyDescent="0.3">
      <c r="S454" s="5">
        <v>451</v>
      </c>
      <c r="T454" s="6">
        <v>1</v>
      </c>
    </row>
    <row r="455" spans="19:20" x14ac:dyDescent="0.3">
      <c r="S455" s="5">
        <v>452</v>
      </c>
      <c r="T455" s="6">
        <v>1</v>
      </c>
    </row>
    <row r="456" spans="19:20" x14ac:dyDescent="0.3">
      <c r="S456" s="5">
        <v>453</v>
      </c>
      <c r="T456" s="6">
        <v>1</v>
      </c>
    </row>
    <row r="457" spans="19:20" x14ac:dyDescent="0.3">
      <c r="S457" s="5">
        <v>454</v>
      </c>
      <c r="T457" s="6">
        <v>1</v>
      </c>
    </row>
    <row r="458" spans="19:20" x14ac:dyDescent="0.3">
      <c r="S458" s="5">
        <v>455</v>
      </c>
      <c r="T458" s="6">
        <v>1</v>
      </c>
    </row>
    <row r="459" spans="19:20" x14ac:dyDescent="0.3">
      <c r="S459" s="5">
        <v>456</v>
      </c>
      <c r="T459" s="6">
        <v>1</v>
      </c>
    </row>
    <row r="460" spans="19:20" x14ac:dyDescent="0.3">
      <c r="S460" s="5">
        <v>457</v>
      </c>
      <c r="T460" s="6">
        <v>1</v>
      </c>
    </row>
    <row r="461" spans="19:20" x14ac:dyDescent="0.3">
      <c r="S461" s="5">
        <v>458</v>
      </c>
      <c r="T461" s="6">
        <v>1</v>
      </c>
    </row>
    <row r="462" spans="19:20" x14ac:dyDescent="0.3">
      <c r="S462" s="5">
        <v>459</v>
      </c>
      <c r="T462" s="6">
        <v>1</v>
      </c>
    </row>
    <row r="463" spans="19:20" x14ac:dyDescent="0.3">
      <c r="S463" s="5">
        <v>460</v>
      </c>
      <c r="T463" s="6">
        <v>1</v>
      </c>
    </row>
    <row r="464" spans="19:20" x14ac:dyDescent="0.3">
      <c r="S464" s="5">
        <v>461</v>
      </c>
      <c r="T464" s="6">
        <v>1</v>
      </c>
    </row>
    <row r="465" spans="19:20" x14ac:dyDescent="0.3">
      <c r="S465" s="5">
        <v>462</v>
      </c>
      <c r="T465" s="6">
        <v>1</v>
      </c>
    </row>
    <row r="466" spans="19:20" x14ac:dyDescent="0.3">
      <c r="S466" s="5">
        <v>463</v>
      </c>
      <c r="T466" s="6">
        <v>1</v>
      </c>
    </row>
    <row r="467" spans="19:20" x14ac:dyDescent="0.3">
      <c r="S467" s="5">
        <v>464</v>
      </c>
      <c r="T467" s="6">
        <v>1</v>
      </c>
    </row>
    <row r="468" spans="19:20" x14ac:dyDescent="0.3">
      <c r="S468" s="5">
        <v>465</v>
      </c>
      <c r="T468" s="6">
        <v>1</v>
      </c>
    </row>
    <row r="469" spans="19:20" x14ac:dyDescent="0.3">
      <c r="S469" s="5">
        <v>466</v>
      </c>
      <c r="T469" s="6">
        <v>1</v>
      </c>
    </row>
    <row r="470" spans="19:20" x14ac:dyDescent="0.3">
      <c r="S470" s="5">
        <v>467</v>
      </c>
      <c r="T470" s="6">
        <v>1</v>
      </c>
    </row>
    <row r="471" spans="19:20" x14ac:dyDescent="0.3">
      <c r="S471" s="5">
        <v>468</v>
      </c>
      <c r="T471" s="6">
        <v>1</v>
      </c>
    </row>
    <row r="472" spans="19:20" x14ac:dyDescent="0.3">
      <c r="S472" s="5">
        <v>469</v>
      </c>
      <c r="T472" s="6">
        <v>1</v>
      </c>
    </row>
    <row r="473" spans="19:20" x14ac:dyDescent="0.3">
      <c r="S473" s="5">
        <v>470</v>
      </c>
      <c r="T473" s="6">
        <v>1</v>
      </c>
    </row>
    <row r="474" spans="19:20" x14ac:dyDescent="0.3">
      <c r="S474" s="5">
        <v>471</v>
      </c>
      <c r="T474" s="6">
        <v>1</v>
      </c>
    </row>
    <row r="475" spans="19:20" x14ac:dyDescent="0.3">
      <c r="S475" s="5">
        <v>472</v>
      </c>
      <c r="T475" s="6">
        <v>1</v>
      </c>
    </row>
    <row r="476" spans="19:20" x14ac:dyDescent="0.3">
      <c r="S476" s="5">
        <v>473</v>
      </c>
      <c r="T476" s="6">
        <v>1</v>
      </c>
    </row>
    <row r="477" spans="19:20" x14ac:dyDescent="0.3">
      <c r="S477" s="5">
        <v>474</v>
      </c>
      <c r="T477" s="6">
        <v>1</v>
      </c>
    </row>
    <row r="478" spans="19:20" x14ac:dyDescent="0.3">
      <c r="S478" s="5">
        <v>475</v>
      </c>
      <c r="T478" s="6">
        <v>1</v>
      </c>
    </row>
    <row r="479" spans="19:20" x14ac:dyDescent="0.3">
      <c r="S479" s="5">
        <v>476</v>
      </c>
      <c r="T479" s="6">
        <v>1</v>
      </c>
    </row>
    <row r="480" spans="19:20" x14ac:dyDescent="0.3">
      <c r="S480" s="5">
        <v>477</v>
      </c>
      <c r="T480" s="6">
        <v>1</v>
      </c>
    </row>
    <row r="481" spans="19:20" x14ac:dyDescent="0.3">
      <c r="S481" s="5">
        <v>478</v>
      </c>
      <c r="T481" s="6">
        <v>1</v>
      </c>
    </row>
    <row r="482" spans="19:20" x14ac:dyDescent="0.3">
      <c r="S482" s="5">
        <v>479</v>
      </c>
      <c r="T482" s="6">
        <v>1</v>
      </c>
    </row>
    <row r="483" spans="19:20" x14ac:dyDescent="0.3">
      <c r="S483" s="5">
        <v>480</v>
      </c>
      <c r="T483" s="6">
        <v>1</v>
      </c>
    </row>
    <row r="484" spans="19:20" x14ac:dyDescent="0.3">
      <c r="S484" s="5">
        <v>481</v>
      </c>
      <c r="T484" s="6">
        <v>1</v>
      </c>
    </row>
    <row r="485" spans="19:20" x14ac:dyDescent="0.3">
      <c r="S485" s="5">
        <v>482</v>
      </c>
      <c r="T485" s="6">
        <v>1</v>
      </c>
    </row>
    <row r="486" spans="19:20" x14ac:dyDescent="0.3">
      <c r="S486" s="5">
        <v>483</v>
      </c>
      <c r="T486" s="6">
        <v>1</v>
      </c>
    </row>
    <row r="487" spans="19:20" x14ac:dyDescent="0.3">
      <c r="S487" s="5">
        <v>484</v>
      </c>
      <c r="T487" s="6">
        <v>1</v>
      </c>
    </row>
    <row r="488" spans="19:20" x14ac:dyDescent="0.3">
      <c r="S488" s="5">
        <v>485</v>
      </c>
      <c r="T488" s="6">
        <v>1</v>
      </c>
    </row>
    <row r="489" spans="19:20" x14ac:dyDescent="0.3">
      <c r="S489" s="5">
        <v>486</v>
      </c>
      <c r="T489" s="6">
        <v>1</v>
      </c>
    </row>
    <row r="490" spans="19:20" x14ac:dyDescent="0.3">
      <c r="S490" s="5">
        <v>487</v>
      </c>
      <c r="T490" s="6">
        <v>1</v>
      </c>
    </row>
    <row r="491" spans="19:20" x14ac:dyDescent="0.3">
      <c r="S491" s="5">
        <v>488</v>
      </c>
      <c r="T491" s="6">
        <v>1</v>
      </c>
    </row>
    <row r="492" spans="19:20" x14ac:dyDescent="0.3">
      <c r="S492" s="5">
        <v>489</v>
      </c>
      <c r="T492" s="6">
        <v>1</v>
      </c>
    </row>
    <row r="493" spans="19:20" x14ac:dyDescent="0.3">
      <c r="S493" s="5">
        <v>490</v>
      </c>
      <c r="T493" s="6">
        <v>1</v>
      </c>
    </row>
    <row r="494" spans="19:20" x14ac:dyDescent="0.3">
      <c r="S494" s="5">
        <v>491</v>
      </c>
      <c r="T494" s="6">
        <v>1</v>
      </c>
    </row>
    <row r="495" spans="19:20" x14ac:dyDescent="0.3">
      <c r="S495" s="5">
        <v>492</v>
      </c>
      <c r="T495" s="6">
        <v>1</v>
      </c>
    </row>
    <row r="496" spans="19:20" x14ac:dyDescent="0.3">
      <c r="S496" s="5">
        <v>493</v>
      </c>
      <c r="T496" s="6">
        <v>1</v>
      </c>
    </row>
    <row r="497" spans="19:20" x14ac:dyDescent="0.3">
      <c r="S497" s="5">
        <v>494</v>
      </c>
      <c r="T497" s="6">
        <v>1</v>
      </c>
    </row>
    <row r="498" spans="19:20" x14ac:dyDescent="0.3">
      <c r="S498" s="5">
        <v>495</v>
      </c>
      <c r="T498" s="6">
        <v>1</v>
      </c>
    </row>
    <row r="499" spans="19:20" x14ac:dyDescent="0.3">
      <c r="S499" s="5">
        <v>496</v>
      </c>
      <c r="T499" s="6">
        <v>1</v>
      </c>
    </row>
    <row r="500" spans="19:20" x14ac:dyDescent="0.3">
      <c r="S500" s="5">
        <v>497</v>
      </c>
      <c r="T500" s="6">
        <v>1</v>
      </c>
    </row>
    <row r="501" spans="19:20" x14ac:dyDescent="0.3">
      <c r="S501" s="5">
        <v>498</v>
      </c>
      <c r="T501" s="6">
        <v>1</v>
      </c>
    </row>
    <row r="502" spans="19:20" x14ac:dyDescent="0.3">
      <c r="S502" s="5">
        <v>499</v>
      </c>
      <c r="T502" s="6">
        <v>1</v>
      </c>
    </row>
    <row r="503" spans="19:20" x14ac:dyDescent="0.3">
      <c r="S503" s="5">
        <v>500</v>
      </c>
      <c r="T503" s="6">
        <v>1</v>
      </c>
    </row>
    <row r="504" spans="19:20" x14ac:dyDescent="0.3">
      <c r="S504" s="5">
        <v>501</v>
      </c>
      <c r="T504" s="6">
        <v>1</v>
      </c>
    </row>
    <row r="505" spans="19:20" x14ac:dyDescent="0.3">
      <c r="S505" s="5">
        <v>502</v>
      </c>
      <c r="T505" s="6">
        <v>1</v>
      </c>
    </row>
    <row r="506" spans="19:20" x14ac:dyDescent="0.3">
      <c r="S506" s="5">
        <v>503</v>
      </c>
      <c r="T506" s="6">
        <v>1</v>
      </c>
    </row>
    <row r="507" spans="19:20" x14ac:dyDescent="0.3">
      <c r="S507" s="5">
        <v>504</v>
      </c>
      <c r="T507" s="6">
        <v>1</v>
      </c>
    </row>
    <row r="508" spans="19:20" x14ac:dyDescent="0.3">
      <c r="S508" s="5">
        <v>505</v>
      </c>
      <c r="T508" s="6">
        <v>1</v>
      </c>
    </row>
    <row r="509" spans="19:20" x14ac:dyDescent="0.3">
      <c r="S509" s="5">
        <v>506</v>
      </c>
      <c r="T509" s="6">
        <v>1</v>
      </c>
    </row>
    <row r="510" spans="19:20" x14ac:dyDescent="0.3">
      <c r="S510" s="5">
        <v>507</v>
      </c>
      <c r="T510" s="6">
        <v>1</v>
      </c>
    </row>
    <row r="511" spans="19:20" x14ac:dyDescent="0.3">
      <c r="S511" s="5">
        <v>508</v>
      </c>
      <c r="T511" s="6">
        <v>1</v>
      </c>
    </row>
    <row r="512" spans="19:20" x14ac:dyDescent="0.3">
      <c r="S512" s="5">
        <v>509</v>
      </c>
      <c r="T512" s="6">
        <v>1</v>
      </c>
    </row>
    <row r="513" spans="19:20" x14ac:dyDescent="0.3">
      <c r="S513" s="5">
        <v>510</v>
      </c>
      <c r="T513" s="6">
        <v>1</v>
      </c>
    </row>
    <row r="514" spans="19:20" x14ac:dyDescent="0.3">
      <c r="S514" s="5">
        <v>511</v>
      </c>
      <c r="T514" s="6">
        <v>1</v>
      </c>
    </row>
    <row r="515" spans="19:20" x14ac:dyDescent="0.3">
      <c r="S515" s="5">
        <v>512</v>
      </c>
      <c r="T515" s="6">
        <v>1</v>
      </c>
    </row>
    <row r="516" spans="19:20" x14ac:dyDescent="0.3">
      <c r="S516" s="5">
        <v>513</v>
      </c>
      <c r="T516" s="6">
        <v>1</v>
      </c>
    </row>
    <row r="517" spans="19:20" x14ac:dyDescent="0.3">
      <c r="S517" s="5">
        <v>514</v>
      </c>
      <c r="T517" s="6">
        <v>1</v>
      </c>
    </row>
    <row r="518" spans="19:20" x14ac:dyDescent="0.3">
      <c r="S518" s="5">
        <v>515</v>
      </c>
      <c r="T518" s="6">
        <v>1</v>
      </c>
    </row>
    <row r="519" spans="19:20" x14ac:dyDescent="0.3">
      <c r="S519" s="5">
        <v>516</v>
      </c>
      <c r="T519" s="6">
        <v>1</v>
      </c>
    </row>
    <row r="520" spans="19:20" x14ac:dyDescent="0.3">
      <c r="S520" s="5">
        <v>517</v>
      </c>
      <c r="T520" s="6">
        <v>1</v>
      </c>
    </row>
    <row r="521" spans="19:20" x14ac:dyDescent="0.3">
      <c r="S521" s="5">
        <v>518</v>
      </c>
      <c r="T521" s="6">
        <v>1</v>
      </c>
    </row>
    <row r="522" spans="19:20" x14ac:dyDescent="0.3">
      <c r="S522" s="5">
        <v>519</v>
      </c>
      <c r="T522" s="6">
        <v>1</v>
      </c>
    </row>
    <row r="523" spans="19:20" x14ac:dyDescent="0.3">
      <c r="S523" s="5">
        <v>520</v>
      </c>
      <c r="T523" s="6">
        <v>1</v>
      </c>
    </row>
    <row r="524" spans="19:20" x14ac:dyDescent="0.3">
      <c r="S524" s="5">
        <v>521</v>
      </c>
      <c r="T524" s="6">
        <v>1</v>
      </c>
    </row>
    <row r="525" spans="19:20" x14ac:dyDescent="0.3">
      <c r="S525" s="5">
        <v>522</v>
      </c>
      <c r="T525" s="6">
        <v>1</v>
      </c>
    </row>
    <row r="526" spans="19:20" x14ac:dyDescent="0.3">
      <c r="S526" s="5">
        <v>523</v>
      </c>
      <c r="T526" s="6">
        <v>1</v>
      </c>
    </row>
    <row r="527" spans="19:20" x14ac:dyDescent="0.3">
      <c r="S527" s="5">
        <v>524</v>
      </c>
      <c r="T527" s="6">
        <v>1</v>
      </c>
    </row>
    <row r="528" spans="19:20" x14ac:dyDescent="0.3">
      <c r="S528" s="5">
        <v>525</v>
      </c>
      <c r="T528" s="6">
        <v>1</v>
      </c>
    </row>
    <row r="529" spans="19:20" x14ac:dyDescent="0.3">
      <c r="S529" s="5">
        <v>526</v>
      </c>
      <c r="T529" s="6">
        <v>1</v>
      </c>
    </row>
    <row r="530" spans="19:20" x14ac:dyDescent="0.3">
      <c r="S530" s="5">
        <v>527</v>
      </c>
      <c r="T530" s="6">
        <v>1</v>
      </c>
    </row>
    <row r="531" spans="19:20" x14ac:dyDescent="0.3">
      <c r="S531" s="5">
        <v>528</v>
      </c>
      <c r="T531" s="6">
        <v>1</v>
      </c>
    </row>
    <row r="532" spans="19:20" x14ac:dyDescent="0.3">
      <c r="S532" s="5">
        <v>529</v>
      </c>
      <c r="T532" s="6">
        <v>1</v>
      </c>
    </row>
    <row r="533" spans="19:20" x14ac:dyDescent="0.3">
      <c r="S533" s="5">
        <v>530</v>
      </c>
      <c r="T533" s="6">
        <v>1</v>
      </c>
    </row>
    <row r="534" spans="19:20" x14ac:dyDescent="0.3">
      <c r="S534" s="5">
        <v>531</v>
      </c>
      <c r="T534" s="6">
        <v>1</v>
      </c>
    </row>
    <row r="535" spans="19:20" x14ac:dyDescent="0.3">
      <c r="S535" s="5">
        <v>532</v>
      </c>
      <c r="T535" s="6">
        <v>1</v>
      </c>
    </row>
    <row r="536" spans="19:20" x14ac:dyDescent="0.3">
      <c r="S536" s="5">
        <v>533</v>
      </c>
      <c r="T536" s="6">
        <v>1</v>
      </c>
    </row>
    <row r="537" spans="19:20" x14ac:dyDescent="0.3">
      <c r="S537" s="5">
        <v>534</v>
      </c>
      <c r="T537" s="6">
        <v>1</v>
      </c>
    </row>
    <row r="538" spans="19:20" x14ac:dyDescent="0.3">
      <c r="S538" s="5">
        <v>535</v>
      </c>
      <c r="T538" s="6">
        <v>1</v>
      </c>
    </row>
    <row r="539" spans="19:20" x14ac:dyDescent="0.3">
      <c r="S539" s="5">
        <v>536</v>
      </c>
      <c r="T539" s="6">
        <v>1</v>
      </c>
    </row>
    <row r="540" spans="19:20" x14ac:dyDescent="0.3">
      <c r="S540" s="5">
        <v>537</v>
      </c>
      <c r="T540" s="6">
        <v>1</v>
      </c>
    </row>
    <row r="541" spans="19:20" x14ac:dyDescent="0.3">
      <c r="S541" s="5">
        <v>538</v>
      </c>
      <c r="T541" s="6">
        <v>1</v>
      </c>
    </row>
    <row r="542" spans="19:20" x14ac:dyDescent="0.3">
      <c r="S542" s="5">
        <v>539</v>
      </c>
      <c r="T542" s="6">
        <v>1</v>
      </c>
    </row>
    <row r="543" spans="19:20" x14ac:dyDescent="0.3">
      <c r="S543" s="5">
        <v>540</v>
      </c>
      <c r="T543" s="6">
        <v>1</v>
      </c>
    </row>
    <row r="544" spans="19:20" x14ac:dyDescent="0.3">
      <c r="S544" s="5">
        <v>541</v>
      </c>
      <c r="T544" s="6">
        <v>1</v>
      </c>
    </row>
    <row r="545" spans="19:20" x14ac:dyDescent="0.3">
      <c r="S545" s="5">
        <v>542</v>
      </c>
      <c r="T545" s="6">
        <v>1</v>
      </c>
    </row>
    <row r="546" spans="19:20" x14ac:dyDescent="0.3">
      <c r="S546" s="5">
        <v>543</v>
      </c>
      <c r="T546" s="6">
        <v>1</v>
      </c>
    </row>
    <row r="547" spans="19:20" x14ac:dyDescent="0.3">
      <c r="S547" s="5">
        <v>544</v>
      </c>
      <c r="T547" s="6">
        <v>1</v>
      </c>
    </row>
    <row r="548" spans="19:20" x14ac:dyDescent="0.3">
      <c r="S548" s="5">
        <v>545</v>
      </c>
      <c r="T548" s="6">
        <v>1</v>
      </c>
    </row>
    <row r="549" spans="19:20" x14ac:dyDescent="0.3">
      <c r="S549" s="5">
        <v>546</v>
      </c>
      <c r="T549" s="6">
        <v>1</v>
      </c>
    </row>
    <row r="550" spans="19:20" x14ac:dyDescent="0.3">
      <c r="S550" s="5">
        <v>547</v>
      </c>
      <c r="T550" s="6">
        <v>1</v>
      </c>
    </row>
    <row r="551" spans="19:20" x14ac:dyDescent="0.3">
      <c r="S551" s="5">
        <v>548</v>
      </c>
      <c r="T551" s="6">
        <v>1</v>
      </c>
    </row>
    <row r="552" spans="19:20" x14ac:dyDescent="0.3">
      <c r="S552" s="5">
        <v>549</v>
      </c>
      <c r="T552" s="6">
        <v>1</v>
      </c>
    </row>
    <row r="553" spans="19:20" x14ac:dyDescent="0.3">
      <c r="S553" s="5">
        <v>550</v>
      </c>
      <c r="T553" s="6">
        <v>1</v>
      </c>
    </row>
    <row r="554" spans="19:20" x14ac:dyDescent="0.3">
      <c r="S554" s="5">
        <v>551</v>
      </c>
      <c r="T554" s="6">
        <v>1</v>
      </c>
    </row>
    <row r="555" spans="19:20" x14ac:dyDescent="0.3">
      <c r="S555" s="5">
        <v>552</v>
      </c>
      <c r="T555" s="6">
        <v>1</v>
      </c>
    </row>
    <row r="556" spans="19:20" x14ac:dyDescent="0.3">
      <c r="S556" s="5">
        <v>553</v>
      </c>
      <c r="T556" s="6">
        <v>1</v>
      </c>
    </row>
    <row r="557" spans="19:20" x14ac:dyDescent="0.3">
      <c r="S557" s="5">
        <v>554</v>
      </c>
      <c r="T557" s="6">
        <v>1</v>
      </c>
    </row>
    <row r="558" spans="19:20" x14ac:dyDescent="0.3">
      <c r="S558" s="5">
        <v>555</v>
      </c>
      <c r="T558" s="6">
        <v>1</v>
      </c>
    </row>
    <row r="559" spans="19:20" x14ac:dyDescent="0.3">
      <c r="S559" s="5">
        <v>556</v>
      </c>
      <c r="T559" s="6">
        <v>1</v>
      </c>
    </row>
    <row r="560" spans="19:20" x14ac:dyDescent="0.3">
      <c r="S560" s="5">
        <v>557</v>
      </c>
      <c r="T560" s="6">
        <v>1</v>
      </c>
    </row>
    <row r="561" spans="19:20" x14ac:dyDescent="0.3">
      <c r="S561" s="5">
        <v>558</v>
      </c>
      <c r="T561" s="6">
        <v>1</v>
      </c>
    </row>
    <row r="562" spans="19:20" x14ac:dyDescent="0.3">
      <c r="S562" s="5">
        <v>559</v>
      </c>
      <c r="T562" s="6">
        <v>1</v>
      </c>
    </row>
    <row r="563" spans="19:20" x14ac:dyDescent="0.3">
      <c r="S563" s="5">
        <v>560</v>
      </c>
      <c r="T563" s="6">
        <v>1</v>
      </c>
    </row>
    <row r="564" spans="19:20" x14ac:dyDescent="0.3">
      <c r="S564" s="5">
        <v>561</v>
      </c>
      <c r="T564" s="6">
        <v>1</v>
      </c>
    </row>
    <row r="565" spans="19:20" x14ac:dyDescent="0.3">
      <c r="S565" s="5">
        <v>562</v>
      </c>
      <c r="T565" s="6">
        <v>1</v>
      </c>
    </row>
    <row r="566" spans="19:20" x14ac:dyDescent="0.3">
      <c r="S566" s="5">
        <v>563</v>
      </c>
      <c r="T566" s="6">
        <v>1</v>
      </c>
    </row>
    <row r="567" spans="19:20" x14ac:dyDescent="0.3">
      <c r="S567" s="5">
        <v>564</v>
      </c>
      <c r="T567" s="6">
        <v>1</v>
      </c>
    </row>
    <row r="568" spans="19:20" x14ac:dyDescent="0.3">
      <c r="S568" s="5">
        <v>565</v>
      </c>
      <c r="T568" s="6">
        <v>1</v>
      </c>
    </row>
    <row r="569" spans="19:20" x14ac:dyDescent="0.3">
      <c r="S569" s="5">
        <v>566</v>
      </c>
      <c r="T569" s="6">
        <v>1</v>
      </c>
    </row>
    <row r="570" spans="19:20" x14ac:dyDescent="0.3">
      <c r="S570" s="5">
        <v>567</v>
      </c>
      <c r="T570" s="6">
        <v>1</v>
      </c>
    </row>
    <row r="571" spans="19:20" x14ac:dyDescent="0.3">
      <c r="S571" s="5">
        <v>568</v>
      </c>
      <c r="T571" s="6">
        <v>1</v>
      </c>
    </row>
    <row r="572" spans="19:20" x14ac:dyDescent="0.3">
      <c r="S572" s="5">
        <v>569</v>
      </c>
      <c r="T572" s="6">
        <v>1</v>
      </c>
    </row>
    <row r="573" spans="19:20" x14ac:dyDescent="0.3">
      <c r="S573" s="5">
        <v>570</v>
      </c>
      <c r="T573" s="6">
        <v>1</v>
      </c>
    </row>
    <row r="574" spans="19:20" x14ac:dyDescent="0.3">
      <c r="S574" s="5">
        <v>571</v>
      </c>
      <c r="T574" s="6">
        <v>1</v>
      </c>
    </row>
    <row r="575" spans="19:20" x14ac:dyDescent="0.3">
      <c r="S575" s="5">
        <v>572</v>
      </c>
      <c r="T575" s="6">
        <v>1</v>
      </c>
    </row>
    <row r="576" spans="19:20" x14ac:dyDescent="0.3">
      <c r="S576" s="5">
        <v>573</v>
      </c>
      <c r="T576" s="6">
        <v>1</v>
      </c>
    </row>
    <row r="577" spans="19:20" x14ac:dyDescent="0.3">
      <c r="S577" s="5">
        <v>574</v>
      </c>
      <c r="T577" s="6">
        <v>1</v>
      </c>
    </row>
    <row r="578" spans="19:20" x14ac:dyDescent="0.3">
      <c r="S578" s="5">
        <v>575</v>
      </c>
      <c r="T578" s="6">
        <v>1</v>
      </c>
    </row>
    <row r="579" spans="19:20" x14ac:dyDescent="0.3">
      <c r="S579" s="5">
        <v>576</v>
      </c>
      <c r="T579" s="6">
        <v>1</v>
      </c>
    </row>
    <row r="580" spans="19:20" x14ac:dyDescent="0.3">
      <c r="S580" s="5">
        <v>577</v>
      </c>
      <c r="T580" s="6">
        <v>1</v>
      </c>
    </row>
    <row r="581" spans="19:20" x14ac:dyDescent="0.3">
      <c r="S581" s="5">
        <v>578</v>
      </c>
      <c r="T581" s="6">
        <v>1</v>
      </c>
    </row>
    <row r="582" spans="19:20" x14ac:dyDescent="0.3">
      <c r="S582" s="5">
        <v>579</v>
      </c>
      <c r="T582" s="6">
        <v>1</v>
      </c>
    </row>
    <row r="583" spans="19:20" x14ac:dyDescent="0.3">
      <c r="S583" s="5">
        <v>580</v>
      </c>
      <c r="T583" s="6">
        <v>1</v>
      </c>
    </row>
    <row r="584" spans="19:20" x14ac:dyDescent="0.3">
      <c r="S584" s="5">
        <v>581</v>
      </c>
      <c r="T584" s="6">
        <v>1</v>
      </c>
    </row>
    <row r="585" spans="19:20" x14ac:dyDescent="0.3">
      <c r="S585" s="5">
        <v>582</v>
      </c>
      <c r="T585" s="6">
        <v>1</v>
      </c>
    </row>
    <row r="586" spans="19:20" x14ac:dyDescent="0.3">
      <c r="S586" s="5">
        <v>583</v>
      </c>
      <c r="T586" s="6">
        <v>1</v>
      </c>
    </row>
    <row r="587" spans="19:20" x14ac:dyDescent="0.3">
      <c r="S587" s="5">
        <v>584</v>
      </c>
      <c r="T587" s="6">
        <v>1</v>
      </c>
    </row>
    <row r="588" spans="19:20" x14ac:dyDescent="0.3">
      <c r="S588" s="5">
        <v>585</v>
      </c>
      <c r="T588" s="6">
        <v>1</v>
      </c>
    </row>
    <row r="589" spans="19:20" x14ac:dyDescent="0.3">
      <c r="S589" s="5">
        <v>586</v>
      </c>
      <c r="T589" s="6">
        <v>1</v>
      </c>
    </row>
    <row r="590" spans="19:20" x14ac:dyDescent="0.3">
      <c r="S590" s="5">
        <v>587</v>
      </c>
      <c r="T590" s="6">
        <v>1</v>
      </c>
    </row>
    <row r="591" spans="19:20" x14ac:dyDescent="0.3">
      <c r="S591" s="5">
        <v>588</v>
      </c>
      <c r="T591" s="6">
        <v>1</v>
      </c>
    </row>
    <row r="592" spans="19:20" x14ac:dyDescent="0.3">
      <c r="S592" s="5">
        <v>589</v>
      </c>
      <c r="T592" s="6">
        <v>1</v>
      </c>
    </row>
    <row r="593" spans="19:20" x14ac:dyDescent="0.3">
      <c r="S593" s="5">
        <v>590</v>
      </c>
      <c r="T593" s="6">
        <v>1</v>
      </c>
    </row>
    <row r="594" spans="19:20" x14ac:dyDescent="0.3">
      <c r="S594" s="5">
        <v>591</v>
      </c>
      <c r="T594" s="6">
        <v>1</v>
      </c>
    </row>
    <row r="595" spans="19:20" x14ac:dyDescent="0.3">
      <c r="S595" s="5">
        <v>592</v>
      </c>
      <c r="T595" s="6">
        <v>1</v>
      </c>
    </row>
    <row r="596" spans="19:20" x14ac:dyDescent="0.3">
      <c r="S596" s="5">
        <v>593</v>
      </c>
      <c r="T596" s="6">
        <v>1</v>
      </c>
    </row>
    <row r="597" spans="19:20" x14ac:dyDescent="0.3">
      <c r="S597" s="5">
        <v>594</v>
      </c>
      <c r="T597" s="6">
        <v>1</v>
      </c>
    </row>
    <row r="598" spans="19:20" x14ac:dyDescent="0.3">
      <c r="S598" s="5">
        <v>595</v>
      </c>
      <c r="T598" s="6">
        <v>1</v>
      </c>
    </row>
    <row r="599" spans="19:20" x14ac:dyDescent="0.3">
      <c r="S599" s="5">
        <v>596</v>
      </c>
      <c r="T599" s="6">
        <v>1</v>
      </c>
    </row>
    <row r="600" spans="19:20" x14ac:dyDescent="0.3">
      <c r="S600" s="5">
        <v>597</v>
      </c>
      <c r="T600" s="6">
        <v>1</v>
      </c>
    </row>
    <row r="601" spans="19:20" x14ac:dyDescent="0.3">
      <c r="S601" s="5">
        <v>598</v>
      </c>
      <c r="T601" s="6">
        <v>1</v>
      </c>
    </row>
    <row r="602" spans="19:20" x14ac:dyDescent="0.3">
      <c r="S602" s="5">
        <v>599</v>
      </c>
      <c r="T602" s="6">
        <v>1</v>
      </c>
    </row>
    <row r="603" spans="19:20" x14ac:dyDescent="0.3">
      <c r="S603" s="5">
        <v>600</v>
      </c>
      <c r="T603" s="6">
        <v>1</v>
      </c>
    </row>
    <row r="604" spans="19:20" x14ac:dyDescent="0.3">
      <c r="S604" s="5">
        <v>601</v>
      </c>
      <c r="T604" s="6">
        <v>1</v>
      </c>
    </row>
    <row r="605" spans="19:20" x14ac:dyDescent="0.3">
      <c r="S605" s="5">
        <v>602</v>
      </c>
      <c r="T605" s="6">
        <v>1</v>
      </c>
    </row>
    <row r="606" spans="19:20" x14ac:dyDescent="0.3">
      <c r="S606" s="5">
        <v>603</v>
      </c>
      <c r="T606" s="6">
        <v>1</v>
      </c>
    </row>
    <row r="607" spans="19:20" x14ac:dyDescent="0.3">
      <c r="S607" s="5">
        <v>604</v>
      </c>
      <c r="T607" s="6">
        <v>1</v>
      </c>
    </row>
    <row r="608" spans="19:20" x14ac:dyDescent="0.3">
      <c r="S608" s="5">
        <v>605</v>
      </c>
      <c r="T608" s="6">
        <v>1</v>
      </c>
    </row>
    <row r="609" spans="19:20" x14ac:dyDescent="0.3">
      <c r="S609" s="5">
        <v>606</v>
      </c>
      <c r="T609" s="6">
        <v>1</v>
      </c>
    </row>
    <row r="610" spans="19:20" x14ac:dyDescent="0.3">
      <c r="S610" s="5">
        <v>607</v>
      </c>
      <c r="T610" s="6">
        <v>1</v>
      </c>
    </row>
    <row r="611" spans="19:20" x14ac:dyDescent="0.3">
      <c r="S611" s="5">
        <v>608</v>
      </c>
      <c r="T611" s="6">
        <v>1</v>
      </c>
    </row>
    <row r="612" spans="19:20" x14ac:dyDescent="0.3">
      <c r="S612" s="5">
        <v>609</v>
      </c>
      <c r="T612" s="6">
        <v>1</v>
      </c>
    </row>
    <row r="613" spans="19:20" x14ac:dyDescent="0.3">
      <c r="S613" s="5">
        <v>610</v>
      </c>
      <c r="T613" s="6">
        <v>1</v>
      </c>
    </row>
    <row r="614" spans="19:20" x14ac:dyDescent="0.3">
      <c r="S614" s="5">
        <v>611</v>
      </c>
      <c r="T614" s="6">
        <v>1</v>
      </c>
    </row>
    <row r="615" spans="19:20" x14ac:dyDescent="0.3">
      <c r="S615" s="5">
        <v>612</v>
      </c>
      <c r="T615" s="6">
        <v>1</v>
      </c>
    </row>
    <row r="616" spans="19:20" x14ac:dyDescent="0.3">
      <c r="S616" s="5">
        <v>613</v>
      </c>
      <c r="T616" s="6">
        <v>1</v>
      </c>
    </row>
    <row r="617" spans="19:20" x14ac:dyDescent="0.3">
      <c r="S617" s="5">
        <v>614</v>
      </c>
      <c r="T617" s="6">
        <v>1</v>
      </c>
    </row>
    <row r="618" spans="19:20" x14ac:dyDescent="0.3">
      <c r="S618" s="5">
        <v>615</v>
      </c>
      <c r="T618" s="6">
        <v>1</v>
      </c>
    </row>
    <row r="619" spans="19:20" x14ac:dyDescent="0.3">
      <c r="S619" s="5">
        <v>616</v>
      </c>
      <c r="T619" s="6">
        <v>1</v>
      </c>
    </row>
    <row r="620" spans="19:20" x14ac:dyDescent="0.3">
      <c r="S620" s="5">
        <v>617</v>
      </c>
      <c r="T620" s="6">
        <v>1</v>
      </c>
    </row>
    <row r="621" spans="19:20" x14ac:dyDescent="0.3">
      <c r="S621" s="5">
        <v>618</v>
      </c>
      <c r="T621" s="6">
        <v>1</v>
      </c>
    </row>
    <row r="622" spans="19:20" x14ac:dyDescent="0.3">
      <c r="S622" s="5">
        <v>619</v>
      </c>
      <c r="T622" s="6">
        <v>1</v>
      </c>
    </row>
    <row r="623" spans="19:20" x14ac:dyDescent="0.3">
      <c r="S623" s="5">
        <v>620</v>
      </c>
      <c r="T623" s="6">
        <v>1</v>
      </c>
    </row>
    <row r="624" spans="19:20" x14ac:dyDescent="0.3">
      <c r="S624" s="5">
        <v>621</v>
      </c>
      <c r="T624" s="6">
        <v>1</v>
      </c>
    </row>
    <row r="625" spans="19:20" x14ac:dyDescent="0.3">
      <c r="S625" s="5">
        <v>622</v>
      </c>
      <c r="T625" s="6">
        <v>1</v>
      </c>
    </row>
    <row r="626" spans="19:20" x14ac:dyDescent="0.3">
      <c r="S626" s="5">
        <v>623</v>
      </c>
      <c r="T626" s="6">
        <v>1</v>
      </c>
    </row>
    <row r="627" spans="19:20" x14ac:dyDescent="0.3">
      <c r="S627" s="5">
        <v>624</v>
      </c>
      <c r="T627" s="6">
        <v>1</v>
      </c>
    </row>
    <row r="628" spans="19:20" x14ac:dyDescent="0.3">
      <c r="S628" s="5">
        <v>625</v>
      </c>
      <c r="T628" s="6">
        <v>1</v>
      </c>
    </row>
    <row r="629" spans="19:20" x14ac:dyDescent="0.3">
      <c r="S629" s="5">
        <v>626</v>
      </c>
      <c r="T629" s="6">
        <v>1</v>
      </c>
    </row>
    <row r="630" spans="19:20" x14ac:dyDescent="0.3">
      <c r="S630" s="5">
        <v>627</v>
      </c>
      <c r="T630" s="6">
        <v>1</v>
      </c>
    </row>
    <row r="631" spans="19:20" x14ac:dyDescent="0.3">
      <c r="S631" s="5">
        <v>628</v>
      </c>
      <c r="T631" s="6">
        <v>1</v>
      </c>
    </row>
    <row r="632" spans="19:20" x14ac:dyDescent="0.3">
      <c r="S632" s="5">
        <v>629</v>
      </c>
      <c r="T632" s="6">
        <v>1</v>
      </c>
    </row>
    <row r="633" spans="19:20" x14ac:dyDescent="0.3">
      <c r="S633" s="5">
        <v>630</v>
      </c>
      <c r="T633" s="6">
        <v>1</v>
      </c>
    </row>
    <row r="634" spans="19:20" x14ac:dyDescent="0.3">
      <c r="S634" s="5">
        <v>631</v>
      </c>
      <c r="T634" s="6">
        <v>1</v>
      </c>
    </row>
    <row r="635" spans="19:20" x14ac:dyDescent="0.3">
      <c r="S635" s="5">
        <v>632</v>
      </c>
      <c r="T635" s="6">
        <v>1</v>
      </c>
    </row>
    <row r="636" spans="19:20" x14ac:dyDescent="0.3">
      <c r="S636" s="5">
        <v>633</v>
      </c>
      <c r="T636" s="6">
        <v>1</v>
      </c>
    </row>
    <row r="637" spans="19:20" x14ac:dyDescent="0.3">
      <c r="S637" s="5">
        <v>634</v>
      </c>
      <c r="T637" s="6">
        <v>1</v>
      </c>
    </row>
    <row r="638" spans="19:20" x14ac:dyDescent="0.3">
      <c r="S638" s="5">
        <v>635</v>
      </c>
      <c r="T638" s="6">
        <v>1</v>
      </c>
    </row>
    <row r="639" spans="19:20" x14ac:dyDescent="0.3">
      <c r="S639" s="5">
        <v>636</v>
      </c>
      <c r="T639" s="6">
        <v>1</v>
      </c>
    </row>
    <row r="640" spans="19:20" x14ac:dyDescent="0.3">
      <c r="S640" s="5">
        <v>637</v>
      </c>
      <c r="T640" s="6">
        <v>1</v>
      </c>
    </row>
    <row r="641" spans="19:20" x14ac:dyDescent="0.3">
      <c r="S641" s="5">
        <v>638</v>
      </c>
      <c r="T641" s="6">
        <v>1</v>
      </c>
    </row>
    <row r="642" spans="19:20" x14ac:dyDescent="0.3">
      <c r="S642" s="5">
        <v>639</v>
      </c>
      <c r="T642" s="6">
        <v>1</v>
      </c>
    </row>
    <row r="643" spans="19:20" x14ac:dyDescent="0.3">
      <c r="S643" s="5">
        <v>640</v>
      </c>
      <c r="T643" s="6">
        <v>1</v>
      </c>
    </row>
    <row r="644" spans="19:20" x14ac:dyDescent="0.3">
      <c r="S644" s="5">
        <v>641</v>
      </c>
      <c r="T644" s="6">
        <v>1</v>
      </c>
    </row>
    <row r="645" spans="19:20" x14ac:dyDescent="0.3">
      <c r="S645" s="5">
        <v>642</v>
      </c>
      <c r="T645" s="6">
        <v>1</v>
      </c>
    </row>
    <row r="646" spans="19:20" x14ac:dyDescent="0.3">
      <c r="S646" s="5">
        <v>643</v>
      </c>
      <c r="T646" s="6">
        <v>1</v>
      </c>
    </row>
    <row r="647" spans="19:20" x14ac:dyDescent="0.3">
      <c r="S647" s="5">
        <v>644</v>
      </c>
      <c r="T647" s="6">
        <v>1</v>
      </c>
    </row>
    <row r="648" spans="19:20" x14ac:dyDescent="0.3">
      <c r="S648" s="5">
        <v>645</v>
      </c>
      <c r="T648" s="6">
        <v>1</v>
      </c>
    </row>
    <row r="649" spans="19:20" x14ac:dyDescent="0.3">
      <c r="S649" s="5">
        <v>646</v>
      </c>
      <c r="T649" s="6">
        <v>1</v>
      </c>
    </row>
    <row r="650" spans="19:20" x14ac:dyDescent="0.3">
      <c r="S650" s="5">
        <v>647</v>
      </c>
      <c r="T650" s="6">
        <v>1</v>
      </c>
    </row>
    <row r="651" spans="19:20" x14ac:dyDescent="0.3">
      <c r="S651" s="5">
        <v>648</v>
      </c>
      <c r="T651" s="6">
        <v>1</v>
      </c>
    </row>
    <row r="652" spans="19:20" x14ac:dyDescent="0.3">
      <c r="S652" s="5">
        <v>649</v>
      </c>
      <c r="T652" s="6">
        <v>1</v>
      </c>
    </row>
    <row r="653" spans="19:20" x14ac:dyDescent="0.3">
      <c r="S653" s="5">
        <v>650</v>
      </c>
      <c r="T653" s="6">
        <v>1</v>
      </c>
    </row>
    <row r="654" spans="19:20" x14ac:dyDescent="0.3">
      <c r="S654" s="5">
        <v>651</v>
      </c>
      <c r="T654" s="6">
        <v>1</v>
      </c>
    </row>
    <row r="655" spans="19:20" x14ac:dyDescent="0.3">
      <c r="S655" s="5">
        <v>652</v>
      </c>
      <c r="T655" s="6">
        <v>1</v>
      </c>
    </row>
    <row r="656" spans="19:20" x14ac:dyDescent="0.3">
      <c r="S656" s="5">
        <v>653</v>
      </c>
      <c r="T656" s="6">
        <v>1</v>
      </c>
    </row>
    <row r="657" spans="19:20" x14ac:dyDescent="0.3">
      <c r="S657" s="5">
        <v>654</v>
      </c>
      <c r="T657" s="6">
        <v>1</v>
      </c>
    </row>
    <row r="658" spans="19:20" x14ac:dyDescent="0.3">
      <c r="S658" s="5">
        <v>655</v>
      </c>
      <c r="T658" s="6">
        <v>1</v>
      </c>
    </row>
    <row r="659" spans="19:20" x14ac:dyDescent="0.3">
      <c r="S659" s="5">
        <v>656</v>
      </c>
      <c r="T659" s="6">
        <v>1</v>
      </c>
    </row>
    <row r="660" spans="19:20" x14ac:dyDescent="0.3">
      <c r="S660" s="5">
        <v>657</v>
      </c>
      <c r="T660" s="6">
        <v>1</v>
      </c>
    </row>
    <row r="661" spans="19:20" x14ac:dyDescent="0.3">
      <c r="S661" s="5">
        <v>658</v>
      </c>
      <c r="T661" s="6">
        <v>1</v>
      </c>
    </row>
    <row r="662" spans="19:20" x14ac:dyDescent="0.3">
      <c r="S662" s="5">
        <v>659</v>
      </c>
      <c r="T662" s="6">
        <v>1</v>
      </c>
    </row>
    <row r="663" spans="19:20" x14ac:dyDescent="0.3">
      <c r="S663" s="5">
        <v>660</v>
      </c>
      <c r="T663" s="6">
        <v>1</v>
      </c>
    </row>
    <row r="664" spans="19:20" x14ac:dyDescent="0.3">
      <c r="S664" s="5">
        <v>661</v>
      </c>
      <c r="T664" s="6">
        <v>1</v>
      </c>
    </row>
    <row r="665" spans="19:20" x14ac:dyDescent="0.3">
      <c r="S665" s="5">
        <v>662</v>
      </c>
      <c r="T665" s="6">
        <v>1</v>
      </c>
    </row>
    <row r="666" spans="19:20" x14ac:dyDescent="0.3">
      <c r="S666" s="5">
        <v>663</v>
      </c>
      <c r="T666" s="6">
        <v>1</v>
      </c>
    </row>
    <row r="667" spans="19:20" x14ac:dyDescent="0.3">
      <c r="S667" s="5">
        <v>664</v>
      </c>
      <c r="T667" s="6">
        <v>1</v>
      </c>
    </row>
    <row r="668" spans="19:20" x14ac:dyDescent="0.3">
      <c r="S668" s="5">
        <v>665</v>
      </c>
      <c r="T668" s="6">
        <v>1</v>
      </c>
    </row>
    <row r="669" spans="19:20" x14ac:dyDescent="0.3">
      <c r="S669" s="5">
        <v>666</v>
      </c>
      <c r="T669" s="6">
        <v>1</v>
      </c>
    </row>
    <row r="670" spans="19:20" x14ac:dyDescent="0.3">
      <c r="S670" s="5">
        <v>667</v>
      </c>
      <c r="T670" s="6">
        <v>1</v>
      </c>
    </row>
    <row r="671" spans="19:20" x14ac:dyDescent="0.3">
      <c r="S671" s="5">
        <v>668</v>
      </c>
      <c r="T671" s="6">
        <v>1</v>
      </c>
    </row>
    <row r="672" spans="19:20" x14ac:dyDescent="0.3">
      <c r="S672" s="5">
        <v>669</v>
      </c>
      <c r="T672" s="6">
        <v>1</v>
      </c>
    </row>
    <row r="673" spans="19:20" x14ac:dyDescent="0.3">
      <c r="S673" s="5">
        <v>670</v>
      </c>
      <c r="T673" s="6">
        <v>1</v>
      </c>
    </row>
    <row r="674" spans="19:20" x14ac:dyDescent="0.3">
      <c r="S674" s="5">
        <v>671</v>
      </c>
      <c r="T674" s="6">
        <v>1</v>
      </c>
    </row>
    <row r="675" spans="19:20" x14ac:dyDescent="0.3">
      <c r="S675" s="5">
        <v>672</v>
      </c>
      <c r="T675" s="6">
        <v>1</v>
      </c>
    </row>
    <row r="676" spans="19:20" x14ac:dyDescent="0.3">
      <c r="S676" s="5">
        <v>673</v>
      </c>
      <c r="T676" s="6">
        <v>1</v>
      </c>
    </row>
    <row r="677" spans="19:20" x14ac:dyDescent="0.3">
      <c r="S677" s="5">
        <v>674</v>
      </c>
      <c r="T677" s="6">
        <v>1</v>
      </c>
    </row>
    <row r="678" spans="19:20" x14ac:dyDescent="0.3">
      <c r="S678" s="5">
        <v>675</v>
      </c>
      <c r="T678" s="6">
        <v>1</v>
      </c>
    </row>
    <row r="679" spans="19:20" x14ac:dyDescent="0.3">
      <c r="S679" s="5">
        <v>676</v>
      </c>
      <c r="T679" s="6">
        <v>1</v>
      </c>
    </row>
    <row r="680" spans="19:20" x14ac:dyDescent="0.3">
      <c r="S680" s="5">
        <v>677</v>
      </c>
      <c r="T680" s="6">
        <v>1</v>
      </c>
    </row>
    <row r="681" spans="19:20" x14ac:dyDescent="0.3">
      <c r="S681" s="5">
        <v>678</v>
      </c>
      <c r="T681" s="6">
        <v>1</v>
      </c>
    </row>
    <row r="682" spans="19:20" x14ac:dyDescent="0.3">
      <c r="S682" s="5">
        <v>679</v>
      </c>
      <c r="T682" s="6">
        <v>1</v>
      </c>
    </row>
    <row r="683" spans="19:20" x14ac:dyDescent="0.3">
      <c r="S683" s="5">
        <v>680</v>
      </c>
      <c r="T683" s="6">
        <v>1</v>
      </c>
    </row>
    <row r="684" spans="19:20" x14ac:dyDescent="0.3">
      <c r="S684" s="5">
        <v>681</v>
      </c>
      <c r="T684" s="6">
        <v>1</v>
      </c>
    </row>
    <row r="685" spans="19:20" x14ac:dyDescent="0.3">
      <c r="S685" s="5">
        <v>682</v>
      </c>
      <c r="T685" s="6">
        <v>1</v>
      </c>
    </row>
    <row r="686" spans="19:20" x14ac:dyDescent="0.3">
      <c r="S686" s="5">
        <v>683</v>
      </c>
      <c r="T686" s="6">
        <v>1</v>
      </c>
    </row>
    <row r="687" spans="19:20" x14ac:dyDescent="0.3">
      <c r="S687" s="5">
        <v>684</v>
      </c>
      <c r="T687" s="6">
        <v>1</v>
      </c>
    </row>
    <row r="688" spans="19:20" x14ac:dyDescent="0.3">
      <c r="S688" s="5">
        <v>685</v>
      </c>
      <c r="T688" s="6">
        <v>1</v>
      </c>
    </row>
    <row r="689" spans="19:20" x14ac:dyDescent="0.3">
      <c r="S689" s="5">
        <v>686</v>
      </c>
      <c r="T689" s="6">
        <v>1</v>
      </c>
    </row>
    <row r="690" spans="19:20" x14ac:dyDescent="0.3">
      <c r="S690" s="5">
        <v>687</v>
      </c>
      <c r="T690" s="6">
        <v>1</v>
      </c>
    </row>
    <row r="691" spans="19:20" x14ac:dyDescent="0.3">
      <c r="S691" s="5">
        <v>688</v>
      </c>
      <c r="T691" s="6">
        <v>1</v>
      </c>
    </row>
    <row r="692" spans="19:20" x14ac:dyDescent="0.3">
      <c r="S692" s="5">
        <v>689</v>
      </c>
      <c r="T692" s="6">
        <v>1</v>
      </c>
    </row>
    <row r="693" spans="19:20" x14ac:dyDescent="0.3">
      <c r="S693" s="5">
        <v>690</v>
      </c>
      <c r="T693" s="6">
        <v>1</v>
      </c>
    </row>
    <row r="694" spans="19:20" x14ac:dyDescent="0.3">
      <c r="S694" s="5">
        <v>691</v>
      </c>
      <c r="T694" s="6">
        <v>1</v>
      </c>
    </row>
    <row r="695" spans="19:20" x14ac:dyDescent="0.3">
      <c r="S695" s="5">
        <v>692</v>
      </c>
      <c r="T695" s="6">
        <v>1</v>
      </c>
    </row>
    <row r="696" spans="19:20" x14ac:dyDescent="0.3">
      <c r="S696" s="5">
        <v>693</v>
      </c>
      <c r="T696" s="6">
        <v>1</v>
      </c>
    </row>
    <row r="697" spans="19:20" x14ac:dyDescent="0.3">
      <c r="S697" s="5">
        <v>694</v>
      </c>
      <c r="T697" s="6">
        <v>1</v>
      </c>
    </row>
    <row r="698" spans="19:20" x14ac:dyDescent="0.3">
      <c r="S698" s="5">
        <v>695</v>
      </c>
      <c r="T698" s="6">
        <v>1</v>
      </c>
    </row>
    <row r="699" spans="19:20" x14ac:dyDescent="0.3">
      <c r="S699" s="5">
        <v>696</v>
      </c>
      <c r="T699" s="6">
        <v>1</v>
      </c>
    </row>
    <row r="700" spans="19:20" x14ac:dyDescent="0.3">
      <c r="S700" s="5">
        <v>697</v>
      </c>
      <c r="T700" s="6">
        <v>1</v>
      </c>
    </row>
    <row r="701" spans="19:20" x14ac:dyDescent="0.3">
      <c r="S701" s="5">
        <v>698</v>
      </c>
      <c r="T701" s="6">
        <v>1</v>
      </c>
    </row>
    <row r="702" spans="19:20" x14ac:dyDescent="0.3">
      <c r="S702" s="5">
        <v>699</v>
      </c>
      <c r="T702" s="6">
        <v>1</v>
      </c>
    </row>
    <row r="703" spans="19:20" x14ac:dyDescent="0.3">
      <c r="S703" s="5">
        <v>700</v>
      </c>
      <c r="T703" s="6">
        <v>1</v>
      </c>
    </row>
    <row r="704" spans="19:20" x14ac:dyDescent="0.3">
      <c r="S704" s="5">
        <v>701</v>
      </c>
      <c r="T704" s="6">
        <v>1</v>
      </c>
    </row>
    <row r="705" spans="19:20" x14ac:dyDescent="0.3">
      <c r="S705" s="5">
        <v>702</v>
      </c>
      <c r="T705" s="6">
        <v>1</v>
      </c>
    </row>
    <row r="706" spans="19:20" x14ac:dyDescent="0.3">
      <c r="S706" s="5">
        <v>703</v>
      </c>
      <c r="T706" s="6">
        <v>1</v>
      </c>
    </row>
    <row r="707" spans="19:20" x14ac:dyDescent="0.3">
      <c r="S707" s="5">
        <v>704</v>
      </c>
      <c r="T707" s="6">
        <v>1</v>
      </c>
    </row>
    <row r="708" spans="19:20" x14ac:dyDescent="0.3">
      <c r="S708" s="5">
        <v>705</v>
      </c>
      <c r="T708" s="6">
        <v>1</v>
      </c>
    </row>
    <row r="709" spans="19:20" x14ac:dyDescent="0.3">
      <c r="S709" s="5">
        <v>706</v>
      </c>
      <c r="T709" s="6">
        <v>1</v>
      </c>
    </row>
    <row r="710" spans="19:20" x14ac:dyDescent="0.3">
      <c r="S710" s="5">
        <v>707</v>
      </c>
      <c r="T710" s="6">
        <v>1</v>
      </c>
    </row>
    <row r="711" spans="19:20" x14ac:dyDescent="0.3">
      <c r="S711" s="5">
        <v>708</v>
      </c>
      <c r="T711" s="6">
        <v>1</v>
      </c>
    </row>
    <row r="712" spans="19:20" x14ac:dyDescent="0.3">
      <c r="S712" s="5">
        <v>709</v>
      </c>
      <c r="T712" s="6">
        <v>1</v>
      </c>
    </row>
    <row r="713" spans="19:20" x14ac:dyDescent="0.3">
      <c r="S713" s="5">
        <v>710</v>
      </c>
      <c r="T713" s="6">
        <v>1</v>
      </c>
    </row>
    <row r="714" spans="19:20" x14ac:dyDescent="0.3">
      <c r="S714" s="5">
        <v>711</v>
      </c>
      <c r="T714" s="6">
        <v>1</v>
      </c>
    </row>
    <row r="715" spans="19:20" x14ac:dyDescent="0.3">
      <c r="S715" s="5">
        <v>712</v>
      </c>
      <c r="T715" s="6">
        <v>1</v>
      </c>
    </row>
    <row r="716" spans="19:20" x14ac:dyDescent="0.3">
      <c r="S716" s="5">
        <v>713</v>
      </c>
      <c r="T716" s="6">
        <v>1</v>
      </c>
    </row>
    <row r="717" spans="19:20" x14ac:dyDescent="0.3">
      <c r="S717" s="5">
        <v>714</v>
      </c>
      <c r="T717" s="6">
        <v>1</v>
      </c>
    </row>
    <row r="718" spans="19:20" x14ac:dyDescent="0.3">
      <c r="S718" s="5">
        <v>715</v>
      </c>
      <c r="T718" s="6">
        <v>1</v>
      </c>
    </row>
    <row r="719" spans="19:20" x14ac:dyDescent="0.3">
      <c r="S719" s="5">
        <v>716</v>
      </c>
      <c r="T719" s="6">
        <v>1</v>
      </c>
    </row>
    <row r="720" spans="19:20" x14ac:dyDescent="0.3">
      <c r="S720" s="5">
        <v>717</v>
      </c>
      <c r="T720" s="6">
        <v>1</v>
      </c>
    </row>
    <row r="721" spans="19:20" x14ac:dyDescent="0.3">
      <c r="S721" s="5">
        <v>718</v>
      </c>
      <c r="T721" s="6">
        <v>1</v>
      </c>
    </row>
    <row r="722" spans="19:20" x14ac:dyDescent="0.3">
      <c r="S722" s="5">
        <v>719</v>
      </c>
      <c r="T722" s="6">
        <v>1</v>
      </c>
    </row>
    <row r="723" spans="19:20" x14ac:dyDescent="0.3">
      <c r="S723" s="5">
        <v>720</v>
      </c>
      <c r="T723" s="6">
        <v>1</v>
      </c>
    </row>
    <row r="724" spans="19:20" x14ac:dyDescent="0.3">
      <c r="S724" s="5">
        <v>721</v>
      </c>
      <c r="T724" s="6">
        <v>1</v>
      </c>
    </row>
    <row r="725" spans="19:20" x14ac:dyDescent="0.3">
      <c r="S725" s="5">
        <v>722</v>
      </c>
      <c r="T725" s="6">
        <v>1</v>
      </c>
    </row>
    <row r="726" spans="19:20" x14ac:dyDescent="0.3">
      <c r="S726" s="5">
        <v>723</v>
      </c>
      <c r="T726" s="6">
        <v>1</v>
      </c>
    </row>
    <row r="727" spans="19:20" x14ac:dyDescent="0.3">
      <c r="S727" s="5">
        <v>724</v>
      </c>
      <c r="T727" s="6">
        <v>1</v>
      </c>
    </row>
    <row r="728" spans="19:20" x14ac:dyDescent="0.3">
      <c r="S728" s="5">
        <v>725</v>
      </c>
      <c r="T728" s="6">
        <v>1</v>
      </c>
    </row>
    <row r="729" spans="19:20" x14ac:dyDescent="0.3">
      <c r="S729" s="5">
        <v>726</v>
      </c>
      <c r="T729" s="6">
        <v>1</v>
      </c>
    </row>
    <row r="730" spans="19:20" x14ac:dyDescent="0.3">
      <c r="S730" s="5">
        <v>727</v>
      </c>
      <c r="T730" s="6">
        <v>1</v>
      </c>
    </row>
    <row r="731" spans="19:20" x14ac:dyDescent="0.3">
      <c r="S731" s="5">
        <v>728</v>
      </c>
      <c r="T731" s="6">
        <v>1</v>
      </c>
    </row>
    <row r="732" spans="19:20" x14ac:dyDescent="0.3">
      <c r="S732" s="5">
        <v>729</v>
      </c>
      <c r="T732" s="6">
        <v>1</v>
      </c>
    </row>
    <row r="733" spans="19:20" x14ac:dyDescent="0.3">
      <c r="S733" s="5">
        <v>730</v>
      </c>
      <c r="T733" s="6">
        <v>1</v>
      </c>
    </row>
    <row r="734" spans="19:20" x14ac:dyDescent="0.3">
      <c r="S734" s="5">
        <v>731</v>
      </c>
      <c r="T734" s="6">
        <v>1</v>
      </c>
    </row>
    <row r="735" spans="19:20" x14ac:dyDescent="0.3">
      <c r="S735" s="5">
        <v>732</v>
      </c>
      <c r="T735" s="6">
        <v>1</v>
      </c>
    </row>
    <row r="736" spans="19:20" x14ac:dyDescent="0.3">
      <c r="S736" s="5">
        <v>733</v>
      </c>
      <c r="T736" s="6">
        <v>1</v>
      </c>
    </row>
    <row r="737" spans="19:20" x14ac:dyDescent="0.3">
      <c r="S737" s="5">
        <v>734</v>
      </c>
      <c r="T737" s="6">
        <v>1</v>
      </c>
    </row>
    <row r="738" spans="19:20" x14ac:dyDescent="0.3">
      <c r="S738" s="5">
        <v>735</v>
      </c>
      <c r="T738" s="6">
        <v>1</v>
      </c>
    </row>
    <row r="739" spans="19:20" x14ac:dyDescent="0.3">
      <c r="S739" s="5">
        <v>736</v>
      </c>
      <c r="T739" s="6">
        <v>1</v>
      </c>
    </row>
    <row r="740" spans="19:20" x14ac:dyDescent="0.3">
      <c r="S740" s="5">
        <v>737</v>
      </c>
      <c r="T740" s="6">
        <v>1</v>
      </c>
    </row>
    <row r="741" spans="19:20" x14ac:dyDescent="0.3">
      <c r="S741" s="5">
        <v>738</v>
      </c>
      <c r="T741" s="6">
        <v>1</v>
      </c>
    </row>
    <row r="742" spans="19:20" x14ac:dyDescent="0.3">
      <c r="S742" s="5">
        <v>739</v>
      </c>
      <c r="T742" s="6">
        <v>1</v>
      </c>
    </row>
    <row r="743" spans="19:20" x14ac:dyDescent="0.3">
      <c r="S743" s="5">
        <v>740</v>
      </c>
      <c r="T743" s="6">
        <v>1</v>
      </c>
    </row>
    <row r="744" spans="19:20" x14ac:dyDescent="0.3">
      <c r="S744" s="5">
        <v>741</v>
      </c>
      <c r="T744" s="6">
        <v>1</v>
      </c>
    </row>
    <row r="745" spans="19:20" x14ac:dyDescent="0.3">
      <c r="S745" s="5">
        <v>742</v>
      </c>
      <c r="T745" s="6">
        <v>1</v>
      </c>
    </row>
    <row r="746" spans="19:20" x14ac:dyDescent="0.3">
      <c r="S746" s="5">
        <v>743</v>
      </c>
      <c r="T746" s="6">
        <v>1</v>
      </c>
    </row>
    <row r="747" spans="19:20" x14ac:dyDescent="0.3">
      <c r="S747" s="5">
        <v>744</v>
      </c>
      <c r="T747" s="6">
        <v>1</v>
      </c>
    </row>
    <row r="748" spans="19:20" x14ac:dyDescent="0.3">
      <c r="S748" s="5">
        <v>745</v>
      </c>
      <c r="T748" s="6">
        <v>1</v>
      </c>
    </row>
    <row r="749" spans="19:20" x14ac:dyDescent="0.3">
      <c r="S749" s="5">
        <v>746</v>
      </c>
      <c r="T749" s="6">
        <v>1</v>
      </c>
    </row>
    <row r="750" spans="19:20" x14ac:dyDescent="0.3">
      <c r="S750" s="5">
        <v>747</v>
      </c>
      <c r="T750" s="6">
        <v>1</v>
      </c>
    </row>
    <row r="751" spans="19:20" x14ac:dyDescent="0.3">
      <c r="S751" s="5">
        <v>748</v>
      </c>
      <c r="T751" s="6">
        <v>1</v>
      </c>
    </row>
    <row r="752" spans="19:20" x14ac:dyDescent="0.3">
      <c r="S752" s="5">
        <v>749</v>
      </c>
      <c r="T752" s="6">
        <v>1</v>
      </c>
    </row>
    <row r="753" spans="19:20" x14ac:dyDescent="0.3">
      <c r="S753" s="5">
        <v>750</v>
      </c>
      <c r="T753" s="6">
        <v>1</v>
      </c>
    </row>
    <row r="754" spans="19:20" x14ac:dyDescent="0.3">
      <c r="S754" s="5">
        <v>751</v>
      </c>
      <c r="T754" s="6">
        <v>1</v>
      </c>
    </row>
    <row r="755" spans="19:20" x14ac:dyDescent="0.3">
      <c r="S755" s="5">
        <v>752</v>
      </c>
      <c r="T755" s="6">
        <v>1</v>
      </c>
    </row>
    <row r="756" spans="19:20" x14ac:dyDescent="0.3">
      <c r="S756" s="5">
        <v>753</v>
      </c>
      <c r="T756" s="6">
        <v>1</v>
      </c>
    </row>
    <row r="757" spans="19:20" x14ac:dyDescent="0.3">
      <c r="S757" s="5">
        <v>754</v>
      </c>
      <c r="T757" s="6">
        <v>1</v>
      </c>
    </row>
    <row r="758" spans="19:20" x14ac:dyDescent="0.3">
      <c r="S758" s="5">
        <v>755</v>
      </c>
      <c r="T758" s="6">
        <v>1</v>
      </c>
    </row>
    <row r="759" spans="19:20" x14ac:dyDescent="0.3">
      <c r="S759" s="5">
        <v>756</v>
      </c>
      <c r="T759" s="6">
        <v>1</v>
      </c>
    </row>
    <row r="760" spans="19:20" x14ac:dyDescent="0.3">
      <c r="S760" s="5">
        <v>757</v>
      </c>
      <c r="T760" s="6">
        <v>1</v>
      </c>
    </row>
    <row r="761" spans="19:20" x14ac:dyDescent="0.3">
      <c r="S761" s="5">
        <v>758</v>
      </c>
      <c r="T761" s="6">
        <v>1</v>
      </c>
    </row>
    <row r="762" spans="19:20" x14ac:dyDescent="0.3">
      <c r="S762" s="5">
        <v>759</v>
      </c>
      <c r="T762" s="6">
        <v>1</v>
      </c>
    </row>
    <row r="763" spans="19:20" x14ac:dyDescent="0.3">
      <c r="S763" s="5">
        <v>760</v>
      </c>
      <c r="T763" s="6">
        <v>1</v>
      </c>
    </row>
    <row r="764" spans="19:20" x14ac:dyDescent="0.3">
      <c r="S764" s="5">
        <v>761</v>
      </c>
      <c r="T764" s="6">
        <v>1</v>
      </c>
    </row>
    <row r="765" spans="19:20" x14ac:dyDescent="0.3">
      <c r="S765" s="5">
        <v>762</v>
      </c>
      <c r="T765" s="6">
        <v>1</v>
      </c>
    </row>
    <row r="766" spans="19:20" x14ac:dyDescent="0.3">
      <c r="S766" s="5">
        <v>763</v>
      </c>
      <c r="T766" s="6">
        <v>1</v>
      </c>
    </row>
    <row r="767" spans="19:20" x14ac:dyDescent="0.3">
      <c r="S767" s="5">
        <v>764</v>
      </c>
      <c r="T767" s="6">
        <v>1</v>
      </c>
    </row>
    <row r="768" spans="19:20" x14ac:dyDescent="0.3">
      <c r="S768" s="5">
        <v>765</v>
      </c>
      <c r="T768" s="6">
        <v>1</v>
      </c>
    </row>
    <row r="769" spans="19:20" x14ac:dyDescent="0.3">
      <c r="S769" s="5">
        <v>766</v>
      </c>
      <c r="T769" s="6">
        <v>1</v>
      </c>
    </row>
    <row r="770" spans="19:20" x14ac:dyDescent="0.3">
      <c r="S770" s="5">
        <v>767</v>
      </c>
      <c r="T770" s="6">
        <v>1</v>
      </c>
    </row>
    <row r="771" spans="19:20" x14ac:dyDescent="0.3">
      <c r="S771" s="5">
        <v>768</v>
      </c>
      <c r="T771" s="6">
        <v>1</v>
      </c>
    </row>
    <row r="772" spans="19:20" x14ac:dyDescent="0.3">
      <c r="S772" s="5">
        <v>769</v>
      </c>
      <c r="T772" s="6">
        <v>1</v>
      </c>
    </row>
    <row r="773" spans="19:20" x14ac:dyDescent="0.3">
      <c r="S773" s="5">
        <v>770</v>
      </c>
      <c r="T773" s="6">
        <v>1</v>
      </c>
    </row>
    <row r="774" spans="19:20" x14ac:dyDescent="0.3">
      <c r="S774" s="5">
        <v>771</v>
      </c>
      <c r="T774" s="6">
        <v>1</v>
      </c>
    </row>
    <row r="775" spans="19:20" x14ac:dyDescent="0.3">
      <c r="S775" s="5">
        <v>772</v>
      </c>
      <c r="T775" s="6">
        <v>1</v>
      </c>
    </row>
    <row r="776" spans="19:20" x14ac:dyDescent="0.3">
      <c r="S776" s="5">
        <v>773</v>
      </c>
      <c r="T776" s="6">
        <v>1</v>
      </c>
    </row>
    <row r="777" spans="19:20" x14ac:dyDescent="0.3">
      <c r="S777" s="5">
        <v>774</v>
      </c>
      <c r="T777" s="6">
        <v>1</v>
      </c>
    </row>
    <row r="778" spans="19:20" x14ac:dyDescent="0.3">
      <c r="S778" s="5">
        <v>775</v>
      </c>
      <c r="T778" s="6">
        <v>1</v>
      </c>
    </row>
    <row r="779" spans="19:20" x14ac:dyDescent="0.3">
      <c r="S779" s="5">
        <v>776</v>
      </c>
      <c r="T779" s="6">
        <v>1</v>
      </c>
    </row>
    <row r="780" spans="19:20" x14ac:dyDescent="0.3">
      <c r="S780" s="5">
        <v>777</v>
      </c>
      <c r="T780" s="6">
        <v>1</v>
      </c>
    </row>
    <row r="781" spans="19:20" x14ac:dyDescent="0.3">
      <c r="S781" s="5">
        <v>778</v>
      </c>
      <c r="T781" s="6">
        <v>1</v>
      </c>
    </row>
    <row r="782" spans="19:20" x14ac:dyDescent="0.3">
      <c r="S782" s="5">
        <v>779</v>
      </c>
      <c r="T782" s="6">
        <v>1</v>
      </c>
    </row>
    <row r="783" spans="19:20" x14ac:dyDescent="0.3">
      <c r="S783" s="5">
        <v>780</v>
      </c>
      <c r="T783" s="6">
        <v>1</v>
      </c>
    </row>
    <row r="784" spans="19:20" x14ac:dyDescent="0.3">
      <c r="S784" s="5">
        <v>781</v>
      </c>
      <c r="T784" s="6">
        <v>1</v>
      </c>
    </row>
    <row r="785" spans="19:20" x14ac:dyDescent="0.3">
      <c r="S785" s="5">
        <v>782</v>
      </c>
      <c r="T785" s="6">
        <v>1</v>
      </c>
    </row>
    <row r="786" spans="19:20" x14ac:dyDescent="0.3">
      <c r="S786" s="5">
        <v>783</v>
      </c>
      <c r="T786" s="6">
        <v>1</v>
      </c>
    </row>
    <row r="787" spans="19:20" x14ac:dyDescent="0.3">
      <c r="S787" s="5">
        <v>784</v>
      </c>
      <c r="T787" s="6">
        <v>1</v>
      </c>
    </row>
    <row r="788" spans="19:20" x14ac:dyDescent="0.3">
      <c r="S788" s="5">
        <v>785</v>
      </c>
      <c r="T788" s="6">
        <v>1</v>
      </c>
    </row>
    <row r="789" spans="19:20" x14ac:dyDescent="0.3">
      <c r="S789" s="5">
        <v>786</v>
      </c>
      <c r="T789" s="6">
        <v>1</v>
      </c>
    </row>
    <row r="790" spans="19:20" x14ac:dyDescent="0.3">
      <c r="S790" s="5">
        <v>787</v>
      </c>
      <c r="T790" s="6">
        <v>1</v>
      </c>
    </row>
    <row r="791" spans="19:20" x14ac:dyDescent="0.3">
      <c r="S791" s="5">
        <v>788</v>
      </c>
      <c r="T791" s="6">
        <v>1</v>
      </c>
    </row>
    <row r="792" spans="19:20" x14ac:dyDescent="0.3">
      <c r="S792" s="5">
        <v>789</v>
      </c>
      <c r="T792" s="6">
        <v>1</v>
      </c>
    </row>
    <row r="793" spans="19:20" x14ac:dyDescent="0.3">
      <c r="S793" s="5">
        <v>790</v>
      </c>
      <c r="T793" s="6">
        <v>1</v>
      </c>
    </row>
    <row r="794" spans="19:20" x14ac:dyDescent="0.3">
      <c r="S794" s="5">
        <v>791</v>
      </c>
      <c r="T794" s="6">
        <v>1</v>
      </c>
    </row>
    <row r="795" spans="19:20" x14ac:dyDescent="0.3">
      <c r="S795" s="5">
        <v>792</v>
      </c>
      <c r="T795" s="6">
        <v>1</v>
      </c>
    </row>
    <row r="796" spans="19:20" x14ac:dyDescent="0.3">
      <c r="S796" s="5">
        <v>793</v>
      </c>
      <c r="T796" s="6">
        <v>1</v>
      </c>
    </row>
    <row r="797" spans="19:20" x14ac:dyDescent="0.3">
      <c r="S797" s="5">
        <v>794</v>
      </c>
      <c r="T797" s="6">
        <v>1</v>
      </c>
    </row>
    <row r="798" spans="19:20" x14ac:dyDescent="0.3">
      <c r="S798" s="5">
        <v>795</v>
      </c>
      <c r="T798" s="6">
        <v>1</v>
      </c>
    </row>
    <row r="799" spans="19:20" x14ac:dyDescent="0.3">
      <c r="S799" s="5">
        <v>796</v>
      </c>
      <c r="T799" s="6">
        <v>1</v>
      </c>
    </row>
    <row r="800" spans="19:20" x14ac:dyDescent="0.3">
      <c r="S800" s="5">
        <v>797</v>
      </c>
      <c r="T800" s="6">
        <v>1</v>
      </c>
    </row>
    <row r="801" spans="19:20" x14ac:dyDescent="0.3">
      <c r="S801" s="5">
        <v>798</v>
      </c>
      <c r="T801" s="6">
        <v>1</v>
      </c>
    </row>
    <row r="802" spans="19:20" x14ac:dyDescent="0.3">
      <c r="S802" s="5">
        <v>799</v>
      </c>
      <c r="T802" s="6">
        <v>1</v>
      </c>
    </row>
    <row r="803" spans="19:20" x14ac:dyDescent="0.3">
      <c r="S803" s="5">
        <v>800</v>
      </c>
      <c r="T803" s="6">
        <v>1</v>
      </c>
    </row>
    <row r="804" spans="19:20" x14ac:dyDescent="0.3">
      <c r="S804" s="5">
        <v>801</v>
      </c>
      <c r="T804" s="6">
        <v>1</v>
      </c>
    </row>
    <row r="805" spans="19:20" x14ac:dyDescent="0.3">
      <c r="S805" s="5">
        <v>802</v>
      </c>
      <c r="T805" s="6">
        <v>1</v>
      </c>
    </row>
    <row r="806" spans="19:20" x14ac:dyDescent="0.3">
      <c r="S806" s="5">
        <v>803</v>
      </c>
      <c r="T806" s="6">
        <v>1</v>
      </c>
    </row>
    <row r="807" spans="19:20" x14ac:dyDescent="0.3">
      <c r="S807" s="5">
        <v>804</v>
      </c>
      <c r="T807" s="6">
        <v>1</v>
      </c>
    </row>
    <row r="808" spans="19:20" x14ac:dyDescent="0.3">
      <c r="S808" s="5">
        <v>805</v>
      </c>
      <c r="T808" s="6">
        <v>1</v>
      </c>
    </row>
    <row r="809" spans="19:20" x14ac:dyDescent="0.3">
      <c r="S809" s="5">
        <v>806</v>
      </c>
      <c r="T809" s="6">
        <v>1</v>
      </c>
    </row>
    <row r="810" spans="19:20" x14ac:dyDescent="0.3">
      <c r="S810" s="5">
        <v>807</v>
      </c>
      <c r="T810" s="6">
        <v>1</v>
      </c>
    </row>
    <row r="811" spans="19:20" x14ac:dyDescent="0.3">
      <c r="S811" s="5">
        <v>808</v>
      </c>
      <c r="T811" s="6">
        <v>1</v>
      </c>
    </row>
    <row r="812" spans="19:20" x14ac:dyDescent="0.3">
      <c r="S812" s="5">
        <v>809</v>
      </c>
      <c r="T812" s="6">
        <v>1</v>
      </c>
    </row>
    <row r="813" spans="19:20" x14ac:dyDescent="0.3">
      <c r="S813" s="5">
        <v>810</v>
      </c>
      <c r="T813" s="6">
        <v>1</v>
      </c>
    </row>
    <row r="814" spans="19:20" x14ac:dyDescent="0.3">
      <c r="S814" s="5">
        <v>811</v>
      </c>
      <c r="T814" s="6">
        <v>1</v>
      </c>
    </row>
    <row r="815" spans="19:20" x14ac:dyDescent="0.3">
      <c r="S815" s="5">
        <v>812</v>
      </c>
      <c r="T815" s="6">
        <v>1</v>
      </c>
    </row>
    <row r="816" spans="19:20" x14ac:dyDescent="0.3">
      <c r="S816" s="5">
        <v>813</v>
      </c>
      <c r="T816" s="6">
        <v>1</v>
      </c>
    </row>
    <row r="817" spans="19:20" x14ac:dyDescent="0.3">
      <c r="S817" s="5">
        <v>814</v>
      </c>
      <c r="T817" s="6">
        <v>1</v>
      </c>
    </row>
    <row r="818" spans="19:20" x14ac:dyDescent="0.3">
      <c r="S818" s="5">
        <v>815</v>
      </c>
      <c r="T818" s="6">
        <v>1</v>
      </c>
    </row>
    <row r="819" spans="19:20" x14ac:dyDescent="0.3">
      <c r="S819" s="5">
        <v>816</v>
      </c>
      <c r="T819" s="6">
        <v>1</v>
      </c>
    </row>
    <row r="820" spans="19:20" x14ac:dyDescent="0.3">
      <c r="S820" s="5">
        <v>817</v>
      </c>
      <c r="T820" s="6">
        <v>1</v>
      </c>
    </row>
    <row r="821" spans="19:20" x14ac:dyDescent="0.3">
      <c r="S821" s="5">
        <v>818</v>
      </c>
      <c r="T821" s="6">
        <v>1</v>
      </c>
    </row>
    <row r="822" spans="19:20" x14ac:dyDescent="0.3">
      <c r="S822" s="5">
        <v>819</v>
      </c>
      <c r="T822" s="6">
        <v>1</v>
      </c>
    </row>
    <row r="823" spans="19:20" x14ac:dyDescent="0.3">
      <c r="S823" s="5">
        <v>820</v>
      </c>
      <c r="T823" s="6">
        <v>1</v>
      </c>
    </row>
    <row r="824" spans="19:20" x14ac:dyDescent="0.3">
      <c r="S824" s="5">
        <v>821</v>
      </c>
      <c r="T824" s="6">
        <v>1</v>
      </c>
    </row>
    <row r="825" spans="19:20" x14ac:dyDescent="0.3">
      <c r="S825" s="5">
        <v>822</v>
      </c>
      <c r="T825" s="6">
        <v>1</v>
      </c>
    </row>
    <row r="826" spans="19:20" x14ac:dyDescent="0.3">
      <c r="S826" s="5">
        <v>823</v>
      </c>
      <c r="T826" s="6">
        <v>1</v>
      </c>
    </row>
    <row r="827" spans="19:20" x14ac:dyDescent="0.3">
      <c r="S827" s="5">
        <v>824</v>
      </c>
      <c r="T827" s="6">
        <v>1</v>
      </c>
    </row>
    <row r="828" spans="19:20" x14ac:dyDescent="0.3">
      <c r="S828" s="5">
        <v>825</v>
      </c>
      <c r="T828" s="6">
        <v>1</v>
      </c>
    </row>
    <row r="829" spans="19:20" x14ac:dyDescent="0.3">
      <c r="S829" s="5">
        <v>826</v>
      </c>
      <c r="T829" s="6">
        <v>1</v>
      </c>
    </row>
    <row r="830" spans="19:20" x14ac:dyDescent="0.3">
      <c r="S830" s="5">
        <v>827</v>
      </c>
      <c r="T830" s="6">
        <v>1</v>
      </c>
    </row>
    <row r="831" spans="19:20" x14ac:dyDescent="0.3">
      <c r="S831" s="5">
        <v>828</v>
      </c>
      <c r="T831" s="6">
        <v>1</v>
      </c>
    </row>
    <row r="832" spans="19:20" x14ac:dyDescent="0.3">
      <c r="S832" s="5">
        <v>829</v>
      </c>
      <c r="T832" s="6">
        <v>1</v>
      </c>
    </row>
    <row r="833" spans="19:20" x14ac:dyDescent="0.3">
      <c r="S833" s="5">
        <v>830</v>
      </c>
      <c r="T833" s="6">
        <v>1</v>
      </c>
    </row>
    <row r="834" spans="19:20" x14ac:dyDescent="0.3">
      <c r="S834" s="5">
        <v>831</v>
      </c>
      <c r="T834" s="6">
        <v>1</v>
      </c>
    </row>
    <row r="835" spans="19:20" x14ac:dyDescent="0.3">
      <c r="S835" s="5">
        <v>832</v>
      </c>
      <c r="T835" s="6">
        <v>1</v>
      </c>
    </row>
    <row r="836" spans="19:20" x14ac:dyDescent="0.3">
      <c r="S836" s="5">
        <v>833</v>
      </c>
      <c r="T836" s="6">
        <v>1</v>
      </c>
    </row>
    <row r="837" spans="19:20" x14ac:dyDescent="0.3">
      <c r="S837" s="5">
        <v>834</v>
      </c>
      <c r="T837" s="6">
        <v>1</v>
      </c>
    </row>
    <row r="838" spans="19:20" x14ac:dyDescent="0.3">
      <c r="S838" s="5">
        <v>835</v>
      </c>
      <c r="T838" s="6">
        <v>1</v>
      </c>
    </row>
    <row r="839" spans="19:20" x14ac:dyDescent="0.3">
      <c r="S839" s="5">
        <v>836</v>
      </c>
      <c r="T839" s="6">
        <v>1</v>
      </c>
    </row>
    <row r="840" spans="19:20" x14ac:dyDescent="0.3">
      <c r="S840" s="5">
        <v>837</v>
      </c>
      <c r="T840" s="6">
        <v>1</v>
      </c>
    </row>
    <row r="841" spans="19:20" x14ac:dyDescent="0.3">
      <c r="S841" s="5">
        <v>838</v>
      </c>
      <c r="T841" s="6">
        <v>1</v>
      </c>
    </row>
    <row r="842" spans="19:20" x14ac:dyDescent="0.3">
      <c r="S842" s="5">
        <v>839</v>
      </c>
      <c r="T842" s="6">
        <v>1</v>
      </c>
    </row>
    <row r="843" spans="19:20" x14ac:dyDescent="0.3">
      <c r="S843" s="5">
        <v>840</v>
      </c>
      <c r="T843" s="6">
        <v>1</v>
      </c>
    </row>
    <row r="844" spans="19:20" x14ac:dyDescent="0.3">
      <c r="S844" s="5">
        <v>841</v>
      </c>
      <c r="T844" s="6">
        <v>1</v>
      </c>
    </row>
    <row r="845" spans="19:20" x14ac:dyDescent="0.3">
      <c r="S845" s="5">
        <v>842</v>
      </c>
      <c r="T845" s="6">
        <v>1</v>
      </c>
    </row>
    <row r="846" spans="19:20" x14ac:dyDescent="0.3">
      <c r="S846" s="5">
        <v>843</v>
      </c>
      <c r="T846" s="6">
        <v>1</v>
      </c>
    </row>
    <row r="847" spans="19:20" x14ac:dyDescent="0.3">
      <c r="S847" s="5">
        <v>844</v>
      </c>
      <c r="T847" s="6">
        <v>1</v>
      </c>
    </row>
    <row r="848" spans="19:20" x14ac:dyDescent="0.3">
      <c r="S848" s="5">
        <v>845</v>
      </c>
      <c r="T848" s="6">
        <v>1</v>
      </c>
    </row>
    <row r="849" spans="19:20" x14ac:dyDescent="0.3">
      <c r="S849" s="5">
        <v>846</v>
      </c>
      <c r="T849" s="6">
        <v>1</v>
      </c>
    </row>
    <row r="850" spans="19:20" x14ac:dyDescent="0.3">
      <c r="S850" s="5">
        <v>847</v>
      </c>
      <c r="T850" s="6">
        <v>1</v>
      </c>
    </row>
    <row r="851" spans="19:20" x14ac:dyDescent="0.3">
      <c r="S851" s="5">
        <v>848</v>
      </c>
      <c r="T851" s="6">
        <v>1</v>
      </c>
    </row>
    <row r="852" spans="19:20" x14ac:dyDescent="0.3">
      <c r="S852" s="5">
        <v>849</v>
      </c>
      <c r="T852" s="6">
        <v>1</v>
      </c>
    </row>
    <row r="853" spans="19:20" x14ac:dyDescent="0.3">
      <c r="S853" s="5">
        <v>850</v>
      </c>
      <c r="T853" s="6">
        <v>1</v>
      </c>
    </row>
    <row r="854" spans="19:20" x14ac:dyDescent="0.3">
      <c r="S854" s="5">
        <v>851</v>
      </c>
      <c r="T854" s="6">
        <v>1</v>
      </c>
    </row>
    <row r="855" spans="19:20" x14ac:dyDescent="0.3">
      <c r="S855" s="5">
        <v>852</v>
      </c>
      <c r="T855" s="6">
        <v>1</v>
      </c>
    </row>
    <row r="856" spans="19:20" x14ac:dyDescent="0.3">
      <c r="S856" s="5">
        <v>853</v>
      </c>
      <c r="T856" s="6">
        <v>1</v>
      </c>
    </row>
    <row r="857" spans="19:20" x14ac:dyDescent="0.3">
      <c r="S857" s="5">
        <v>854</v>
      </c>
      <c r="T857" s="6">
        <v>1</v>
      </c>
    </row>
    <row r="858" spans="19:20" x14ac:dyDescent="0.3">
      <c r="S858" s="5">
        <v>855</v>
      </c>
      <c r="T858" s="6">
        <v>1</v>
      </c>
    </row>
    <row r="859" spans="19:20" x14ac:dyDescent="0.3">
      <c r="S859" s="5">
        <v>856</v>
      </c>
      <c r="T859" s="6">
        <v>1</v>
      </c>
    </row>
    <row r="860" spans="19:20" x14ac:dyDescent="0.3">
      <c r="S860" s="5">
        <v>857</v>
      </c>
      <c r="T860" s="6">
        <v>1</v>
      </c>
    </row>
    <row r="861" spans="19:20" x14ac:dyDescent="0.3">
      <c r="S861" s="5">
        <v>858</v>
      </c>
      <c r="T861" s="6">
        <v>1</v>
      </c>
    </row>
    <row r="862" spans="19:20" x14ac:dyDescent="0.3">
      <c r="S862" s="5">
        <v>859</v>
      </c>
      <c r="T862" s="6">
        <v>1</v>
      </c>
    </row>
    <row r="863" spans="19:20" x14ac:dyDescent="0.3">
      <c r="S863" s="5">
        <v>860</v>
      </c>
      <c r="T863" s="6">
        <v>1</v>
      </c>
    </row>
    <row r="864" spans="19:20" x14ac:dyDescent="0.3">
      <c r="S864" s="5">
        <v>861</v>
      </c>
      <c r="T864" s="6">
        <v>1</v>
      </c>
    </row>
    <row r="865" spans="19:20" x14ac:dyDescent="0.3">
      <c r="S865" s="5">
        <v>862</v>
      </c>
      <c r="T865" s="6">
        <v>1</v>
      </c>
    </row>
    <row r="866" spans="19:20" x14ac:dyDescent="0.3">
      <c r="S866" s="5">
        <v>863</v>
      </c>
      <c r="T866" s="6">
        <v>1</v>
      </c>
    </row>
    <row r="867" spans="19:20" x14ac:dyDescent="0.3">
      <c r="S867" s="5">
        <v>864</v>
      </c>
      <c r="T867" s="6">
        <v>1</v>
      </c>
    </row>
    <row r="868" spans="19:20" x14ac:dyDescent="0.3">
      <c r="S868" s="5">
        <v>865</v>
      </c>
      <c r="T868" s="6">
        <v>1</v>
      </c>
    </row>
    <row r="869" spans="19:20" x14ac:dyDescent="0.3">
      <c r="S869" s="5">
        <v>866</v>
      </c>
      <c r="T869" s="6">
        <v>1</v>
      </c>
    </row>
    <row r="870" spans="19:20" x14ac:dyDescent="0.3">
      <c r="S870" s="5">
        <v>867</v>
      </c>
      <c r="T870" s="6">
        <v>1</v>
      </c>
    </row>
    <row r="871" spans="19:20" x14ac:dyDescent="0.3">
      <c r="S871" s="5">
        <v>868</v>
      </c>
      <c r="T871" s="6">
        <v>1</v>
      </c>
    </row>
    <row r="872" spans="19:20" x14ac:dyDescent="0.3">
      <c r="S872" s="5">
        <v>869</v>
      </c>
      <c r="T872" s="6">
        <v>1</v>
      </c>
    </row>
    <row r="873" spans="19:20" x14ac:dyDescent="0.3">
      <c r="S873" s="5">
        <v>870</v>
      </c>
      <c r="T873" s="6">
        <v>1</v>
      </c>
    </row>
    <row r="874" spans="19:20" x14ac:dyDescent="0.3">
      <c r="S874" s="5">
        <v>871</v>
      </c>
      <c r="T874" s="6">
        <v>1</v>
      </c>
    </row>
    <row r="875" spans="19:20" x14ac:dyDescent="0.3">
      <c r="S875" s="5">
        <v>872</v>
      </c>
      <c r="T875" s="6">
        <v>1</v>
      </c>
    </row>
    <row r="876" spans="19:20" x14ac:dyDescent="0.3">
      <c r="S876" s="5">
        <v>873</v>
      </c>
      <c r="T876" s="6">
        <v>1</v>
      </c>
    </row>
    <row r="877" spans="19:20" x14ac:dyDescent="0.3">
      <c r="S877" s="5">
        <v>874</v>
      </c>
      <c r="T877" s="6">
        <v>1</v>
      </c>
    </row>
    <row r="878" spans="19:20" x14ac:dyDescent="0.3">
      <c r="S878" s="5">
        <v>875</v>
      </c>
      <c r="T878" s="6">
        <v>1</v>
      </c>
    </row>
    <row r="879" spans="19:20" x14ac:dyDescent="0.3">
      <c r="S879" s="5">
        <v>876</v>
      </c>
      <c r="T879" s="6">
        <v>1</v>
      </c>
    </row>
    <row r="880" spans="19:20" x14ac:dyDescent="0.3">
      <c r="S880" s="5">
        <v>877</v>
      </c>
      <c r="T880" s="6">
        <v>1</v>
      </c>
    </row>
    <row r="881" spans="19:20" x14ac:dyDescent="0.3">
      <c r="S881" s="5">
        <v>878</v>
      </c>
      <c r="T881" s="6">
        <v>1</v>
      </c>
    </row>
    <row r="882" spans="19:20" x14ac:dyDescent="0.3">
      <c r="S882" s="5">
        <v>879</v>
      </c>
      <c r="T882" s="6">
        <v>1</v>
      </c>
    </row>
    <row r="883" spans="19:20" x14ac:dyDescent="0.3">
      <c r="S883" s="5">
        <v>880</v>
      </c>
      <c r="T883" s="6">
        <v>1</v>
      </c>
    </row>
    <row r="884" spans="19:20" x14ac:dyDescent="0.3">
      <c r="S884" s="5">
        <v>881</v>
      </c>
      <c r="T884" s="6">
        <v>1</v>
      </c>
    </row>
    <row r="885" spans="19:20" x14ac:dyDescent="0.3">
      <c r="S885" s="5">
        <v>882</v>
      </c>
      <c r="T885" s="6">
        <v>1</v>
      </c>
    </row>
    <row r="886" spans="19:20" x14ac:dyDescent="0.3">
      <c r="S886" s="5">
        <v>883</v>
      </c>
      <c r="T886" s="6">
        <v>1</v>
      </c>
    </row>
    <row r="887" spans="19:20" x14ac:dyDescent="0.3">
      <c r="S887" s="5">
        <v>884</v>
      </c>
      <c r="T887" s="6">
        <v>1</v>
      </c>
    </row>
    <row r="888" spans="19:20" x14ac:dyDescent="0.3">
      <c r="S888" s="5">
        <v>885</v>
      </c>
      <c r="T888" s="6">
        <v>1</v>
      </c>
    </row>
    <row r="889" spans="19:20" x14ac:dyDescent="0.3">
      <c r="S889" s="5">
        <v>886</v>
      </c>
      <c r="T889" s="6">
        <v>1</v>
      </c>
    </row>
    <row r="890" spans="19:20" x14ac:dyDescent="0.3">
      <c r="S890" s="5">
        <v>887</v>
      </c>
      <c r="T890" s="6">
        <v>1</v>
      </c>
    </row>
    <row r="891" spans="19:20" x14ac:dyDescent="0.3">
      <c r="S891" s="5">
        <v>888</v>
      </c>
      <c r="T891" s="6">
        <v>1</v>
      </c>
    </row>
    <row r="892" spans="19:20" x14ac:dyDescent="0.3">
      <c r="S892" s="5">
        <v>889</v>
      </c>
      <c r="T892" s="6">
        <v>1</v>
      </c>
    </row>
    <row r="893" spans="19:20" x14ac:dyDescent="0.3">
      <c r="S893" s="5">
        <v>890</v>
      </c>
      <c r="T893" s="6">
        <v>1</v>
      </c>
    </row>
    <row r="894" spans="19:20" x14ac:dyDescent="0.3">
      <c r="S894" s="5">
        <v>891</v>
      </c>
      <c r="T894" s="6">
        <v>1</v>
      </c>
    </row>
    <row r="895" spans="19:20" x14ac:dyDescent="0.3">
      <c r="S895" s="5">
        <v>892</v>
      </c>
      <c r="T895" s="6">
        <v>1</v>
      </c>
    </row>
    <row r="896" spans="19:20" x14ac:dyDescent="0.3">
      <c r="S896" s="5">
        <v>893</v>
      </c>
      <c r="T896" s="6">
        <v>1</v>
      </c>
    </row>
    <row r="897" spans="19:20" x14ac:dyDescent="0.3">
      <c r="S897" s="5">
        <v>894</v>
      </c>
      <c r="T897" s="6">
        <v>1</v>
      </c>
    </row>
    <row r="898" spans="19:20" x14ac:dyDescent="0.3">
      <c r="S898" s="5">
        <v>895</v>
      </c>
      <c r="T898" s="6">
        <v>1</v>
      </c>
    </row>
    <row r="899" spans="19:20" x14ac:dyDescent="0.3">
      <c r="S899" s="5">
        <v>896</v>
      </c>
      <c r="T899" s="6">
        <v>1</v>
      </c>
    </row>
    <row r="900" spans="19:20" x14ac:dyDescent="0.3">
      <c r="S900" s="5">
        <v>897</v>
      </c>
      <c r="T900" s="6">
        <v>1</v>
      </c>
    </row>
    <row r="901" spans="19:20" x14ac:dyDescent="0.3">
      <c r="S901" s="5">
        <v>898</v>
      </c>
      <c r="T901" s="6">
        <v>1</v>
      </c>
    </row>
    <row r="902" spans="19:20" x14ac:dyDescent="0.3">
      <c r="S902" s="5">
        <v>899</v>
      </c>
      <c r="T902" s="6">
        <v>1</v>
      </c>
    </row>
    <row r="903" spans="19:20" x14ac:dyDescent="0.3">
      <c r="S903" s="5">
        <v>900</v>
      </c>
      <c r="T903" s="6">
        <v>1</v>
      </c>
    </row>
    <row r="904" spans="19:20" x14ac:dyDescent="0.3">
      <c r="S904" s="5">
        <v>901</v>
      </c>
      <c r="T904" s="6">
        <v>1</v>
      </c>
    </row>
    <row r="905" spans="19:20" x14ac:dyDescent="0.3">
      <c r="S905" s="5">
        <v>902</v>
      </c>
      <c r="T905" s="6">
        <v>1</v>
      </c>
    </row>
    <row r="906" spans="19:20" x14ac:dyDescent="0.3">
      <c r="S906" s="5">
        <v>903</v>
      </c>
      <c r="T906" s="6">
        <v>1</v>
      </c>
    </row>
    <row r="907" spans="19:20" x14ac:dyDescent="0.3">
      <c r="S907" s="5">
        <v>904</v>
      </c>
      <c r="T907" s="6">
        <v>1</v>
      </c>
    </row>
    <row r="908" spans="19:20" x14ac:dyDescent="0.3">
      <c r="S908" s="5">
        <v>905</v>
      </c>
      <c r="T908" s="6">
        <v>1</v>
      </c>
    </row>
    <row r="909" spans="19:20" x14ac:dyDescent="0.3">
      <c r="S909" s="5">
        <v>906</v>
      </c>
      <c r="T909" s="6">
        <v>1</v>
      </c>
    </row>
    <row r="910" spans="19:20" x14ac:dyDescent="0.3">
      <c r="S910" s="5">
        <v>907</v>
      </c>
      <c r="T910" s="6">
        <v>1</v>
      </c>
    </row>
    <row r="911" spans="19:20" x14ac:dyDescent="0.3">
      <c r="S911" s="5">
        <v>908</v>
      </c>
      <c r="T911" s="6">
        <v>1</v>
      </c>
    </row>
    <row r="912" spans="19:20" x14ac:dyDescent="0.3">
      <c r="S912" s="5">
        <v>909</v>
      </c>
      <c r="T912" s="6">
        <v>1</v>
      </c>
    </row>
    <row r="913" spans="19:20" x14ac:dyDescent="0.3">
      <c r="S913" s="5">
        <v>910</v>
      </c>
      <c r="T913" s="6">
        <v>1</v>
      </c>
    </row>
    <row r="914" spans="19:20" x14ac:dyDescent="0.3">
      <c r="S914" s="5">
        <v>911</v>
      </c>
      <c r="T914" s="6">
        <v>1</v>
      </c>
    </row>
    <row r="915" spans="19:20" x14ac:dyDescent="0.3">
      <c r="S915" s="5">
        <v>912</v>
      </c>
      <c r="T915" s="6">
        <v>1</v>
      </c>
    </row>
    <row r="916" spans="19:20" x14ac:dyDescent="0.3">
      <c r="S916" s="5">
        <v>913</v>
      </c>
      <c r="T916" s="6">
        <v>1</v>
      </c>
    </row>
    <row r="917" spans="19:20" x14ac:dyDescent="0.3">
      <c r="S917" s="5">
        <v>914</v>
      </c>
      <c r="T917" s="6">
        <v>1</v>
      </c>
    </row>
    <row r="918" spans="19:20" x14ac:dyDescent="0.3">
      <c r="S918" s="5">
        <v>915</v>
      </c>
      <c r="T918" s="6">
        <v>1</v>
      </c>
    </row>
    <row r="919" spans="19:20" x14ac:dyDescent="0.3">
      <c r="S919" s="5">
        <v>916</v>
      </c>
      <c r="T919" s="6">
        <v>1</v>
      </c>
    </row>
    <row r="920" spans="19:20" x14ac:dyDescent="0.3">
      <c r="S920" s="5">
        <v>917</v>
      </c>
      <c r="T920" s="6">
        <v>1</v>
      </c>
    </row>
    <row r="921" spans="19:20" x14ac:dyDescent="0.3">
      <c r="S921" s="5">
        <v>918</v>
      </c>
      <c r="T921" s="6">
        <v>1</v>
      </c>
    </row>
    <row r="922" spans="19:20" x14ac:dyDescent="0.3">
      <c r="S922" s="5">
        <v>919</v>
      </c>
      <c r="T922" s="6">
        <v>1</v>
      </c>
    </row>
    <row r="923" spans="19:20" x14ac:dyDescent="0.3">
      <c r="S923" s="5">
        <v>920</v>
      </c>
      <c r="T923" s="6">
        <v>1</v>
      </c>
    </row>
    <row r="924" spans="19:20" x14ac:dyDescent="0.3">
      <c r="S924" s="5">
        <v>921</v>
      </c>
      <c r="T924" s="6">
        <v>1</v>
      </c>
    </row>
    <row r="925" spans="19:20" x14ac:dyDescent="0.3">
      <c r="S925" s="5">
        <v>922</v>
      </c>
      <c r="T925" s="6">
        <v>1</v>
      </c>
    </row>
    <row r="926" spans="19:20" x14ac:dyDescent="0.3">
      <c r="S926" s="5">
        <v>923</v>
      </c>
      <c r="T926" s="6">
        <v>1</v>
      </c>
    </row>
    <row r="927" spans="19:20" x14ac:dyDescent="0.3">
      <c r="S927" s="5">
        <v>924</v>
      </c>
      <c r="T927" s="6">
        <v>1</v>
      </c>
    </row>
    <row r="928" spans="19:20" x14ac:dyDescent="0.3">
      <c r="S928" s="5">
        <v>925</v>
      </c>
      <c r="T928" s="6">
        <v>1</v>
      </c>
    </row>
    <row r="929" spans="19:20" x14ac:dyDescent="0.3">
      <c r="S929" s="5">
        <v>926</v>
      </c>
      <c r="T929" s="6">
        <v>1</v>
      </c>
    </row>
    <row r="930" spans="19:20" x14ac:dyDescent="0.3">
      <c r="S930" s="5">
        <v>927</v>
      </c>
      <c r="T930" s="6">
        <v>1</v>
      </c>
    </row>
    <row r="931" spans="19:20" x14ac:dyDescent="0.3">
      <c r="S931" s="5">
        <v>928</v>
      </c>
      <c r="T931" s="6">
        <v>1</v>
      </c>
    </row>
    <row r="932" spans="19:20" x14ac:dyDescent="0.3">
      <c r="S932" s="5">
        <v>929</v>
      </c>
      <c r="T932" s="6">
        <v>1</v>
      </c>
    </row>
    <row r="933" spans="19:20" x14ac:dyDescent="0.3">
      <c r="S933" s="5">
        <v>930</v>
      </c>
      <c r="T933" s="6">
        <v>1</v>
      </c>
    </row>
    <row r="934" spans="19:20" x14ac:dyDescent="0.3">
      <c r="S934" s="5">
        <v>931</v>
      </c>
      <c r="T934" s="6">
        <v>1</v>
      </c>
    </row>
    <row r="935" spans="19:20" x14ac:dyDescent="0.3">
      <c r="S935" s="5">
        <v>932</v>
      </c>
      <c r="T935" s="6">
        <v>1</v>
      </c>
    </row>
    <row r="936" spans="19:20" x14ac:dyDescent="0.3">
      <c r="S936" s="5">
        <v>933</v>
      </c>
      <c r="T936" s="6">
        <v>1</v>
      </c>
    </row>
    <row r="937" spans="19:20" x14ac:dyDescent="0.3">
      <c r="S937" s="5">
        <v>934</v>
      </c>
      <c r="T937" s="6">
        <v>1</v>
      </c>
    </row>
    <row r="938" spans="19:20" x14ac:dyDescent="0.3">
      <c r="S938" s="5">
        <v>935</v>
      </c>
      <c r="T938" s="6">
        <v>1</v>
      </c>
    </row>
    <row r="939" spans="19:20" x14ac:dyDescent="0.3">
      <c r="S939" s="5">
        <v>936</v>
      </c>
      <c r="T939" s="6">
        <v>1</v>
      </c>
    </row>
    <row r="940" spans="19:20" x14ac:dyDescent="0.3">
      <c r="S940" s="5">
        <v>937</v>
      </c>
      <c r="T940" s="6">
        <v>1</v>
      </c>
    </row>
    <row r="941" spans="19:20" x14ac:dyDescent="0.3">
      <c r="S941" s="5">
        <v>938</v>
      </c>
      <c r="T941" s="6">
        <v>1</v>
      </c>
    </row>
    <row r="942" spans="19:20" x14ac:dyDescent="0.3">
      <c r="S942" s="5">
        <v>939</v>
      </c>
      <c r="T942" s="6">
        <v>1</v>
      </c>
    </row>
    <row r="943" spans="19:20" x14ac:dyDescent="0.3">
      <c r="S943" s="5">
        <v>940</v>
      </c>
      <c r="T943" s="6">
        <v>1</v>
      </c>
    </row>
    <row r="944" spans="19:20" x14ac:dyDescent="0.3">
      <c r="S944" s="5">
        <v>941</v>
      </c>
      <c r="T944" s="6">
        <v>1</v>
      </c>
    </row>
    <row r="945" spans="19:20" x14ac:dyDescent="0.3">
      <c r="S945" s="5">
        <v>942</v>
      </c>
      <c r="T945" s="6">
        <v>1</v>
      </c>
    </row>
    <row r="946" spans="19:20" x14ac:dyDescent="0.3">
      <c r="S946" s="5">
        <v>943</v>
      </c>
      <c r="T946" s="6">
        <v>1</v>
      </c>
    </row>
    <row r="947" spans="19:20" x14ac:dyDescent="0.3">
      <c r="S947" s="5">
        <v>944</v>
      </c>
      <c r="T947" s="6">
        <v>1</v>
      </c>
    </row>
    <row r="948" spans="19:20" x14ac:dyDescent="0.3">
      <c r="S948" s="5">
        <v>945</v>
      </c>
      <c r="T948" s="6">
        <v>1</v>
      </c>
    </row>
    <row r="949" spans="19:20" x14ac:dyDescent="0.3">
      <c r="S949" s="5">
        <v>946</v>
      </c>
      <c r="T949" s="6">
        <v>1</v>
      </c>
    </row>
    <row r="950" spans="19:20" x14ac:dyDescent="0.3">
      <c r="S950" s="5">
        <v>947</v>
      </c>
      <c r="T950" s="6">
        <v>1</v>
      </c>
    </row>
    <row r="951" spans="19:20" x14ac:dyDescent="0.3">
      <c r="S951" s="5">
        <v>948</v>
      </c>
      <c r="T951" s="6">
        <v>1</v>
      </c>
    </row>
    <row r="952" spans="19:20" x14ac:dyDescent="0.3">
      <c r="S952" s="5">
        <v>949</v>
      </c>
      <c r="T952" s="6">
        <v>1</v>
      </c>
    </row>
    <row r="953" spans="19:20" x14ac:dyDescent="0.3">
      <c r="S953" s="5">
        <v>950</v>
      </c>
      <c r="T953" s="6">
        <v>1</v>
      </c>
    </row>
    <row r="954" spans="19:20" x14ac:dyDescent="0.3">
      <c r="S954" s="5">
        <v>951</v>
      </c>
      <c r="T954" s="6">
        <v>1</v>
      </c>
    </row>
    <row r="955" spans="19:20" x14ac:dyDescent="0.3">
      <c r="S955" s="5">
        <v>952</v>
      </c>
      <c r="T955" s="6">
        <v>1</v>
      </c>
    </row>
    <row r="956" spans="19:20" x14ac:dyDescent="0.3">
      <c r="S956" s="5">
        <v>953</v>
      </c>
      <c r="T956" s="6">
        <v>1</v>
      </c>
    </row>
    <row r="957" spans="19:20" x14ac:dyDescent="0.3">
      <c r="S957" s="5">
        <v>954</v>
      </c>
      <c r="T957" s="6">
        <v>1</v>
      </c>
    </row>
    <row r="958" spans="19:20" x14ac:dyDescent="0.3">
      <c r="S958" s="5">
        <v>955</v>
      </c>
      <c r="T958" s="6">
        <v>1</v>
      </c>
    </row>
    <row r="959" spans="19:20" x14ac:dyDescent="0.3">
      <c r="S959" s="5">
        <v>956</v>
      </c>
      <c r="T959" s="6">
        <v>1</v>
      </c>
    </row>
    <row r="960" spans="19:20" x14ac:dyDescent="0.3">
      <c r="S960" s="5">
        <v>957</v>
      </c>
      <c r="T960" s="6">
        <v>1</v>
      </c>
    </row>
    <row r="961" spans="19:20" x14ac:dyDescent="0.3">
      <c r="S961" s="5">
        <v>958</v>
      </c>
      <c r="T961" s="6">
        <v>1</v>
      </c>
    </row>
    <row r="962" spans="19:20" x14ac:dyDescent="0.3">
      <c r="S962" s="5">
        <v>959</v>
      </c>
      <c r="T962" s="6">
        <v>1</v>
      </c>
    </row>
    <row r="963" spans="19:20" x14ac:dyDescent="0.3">
      <c r="S963" s="5">
        <v>960</v>
      </c>
      <c r="T963" s="6">
        <v>1</v>
      </c>
    </row>
    <row r="964" spans="19:20" x14ac:dyDescent="0.3">
      <c r="S964" s="5">
        <v>961</v>
      </c>
      <c r="T964" s="6">
        <v>1</v>
      </c>
    </row>
    <row r="965" spans="19:20" x14ac:dyDescent="0.3">
      <c r="S965" s="5">
        <v>962</v>
      </c>
      <c r="T965" s="6">
        <v>1</v>
      </c>
    </row>
    <row r="966" spans="19:20" x14ac:dyDescent="0.3">
      <c r="S966" s="5">
        <v>963</v>
      </c>
      <c r="T966" s="6">
        <v>1</v>
      </c>
    </row>
    <row r="967" spans="19:20" x14ac:dyDescent="0.3">
      <c r="S967" s="5">
        <v>964</v>
      </c>
      <c r="T967" s="6">
        <v>1</v>
      </c>
    </row>
    <row r="968" spans="19:20" x14ac:dyDescent="0.3">
      <c r="S968" s="5">
        <v>965</v>
      </c>
      <c r="T968" s="6">
        <v>1</v>
      </c>
    </row>
    <row r="969" spans="19:20" x14ac:dyDescent="0.3">
      <c r="S969" s="5">
        <v>966</v>
      </c>
      <c r="T969" s="6">
        <v>1</v>
      </c>
    </row>
    <row r="970" spans="19:20" x14ac:dyDescent="0.3">
      <c r="S970" s="5">
        <v>967</v>
      </c>
      <c r="T970" s="6">
        <v>1</v>
      </c>
    </row>
    <row r="971" spans="19:20" x14ac:dyDescent="0.3">
      <c r="S971" s="5">
        <v>968</v>
      </c>
      <c r="T971" s="6">
        <v>1</v>
      </c>
    </row>
    <row r="972" spans="19:20" x14ac:dyDescent="0.3">
      <c r="S972" s="5">
        <v>969</v>
      </c>
      <c r="T972" s="6">
        <v>1</v>
      </c>
    </row>
    <row r="973" spans="19:20" x14ac:dyDescent="0.3">
      <c r="S973" s="5">
        <v>970</v>
      </c>
      <c r="T973" s="6">
        <v>1</v>
      </c>
    </row>
    <row r="974" spans="19:20" x14ac:dyDescent="0.3">
      <c r="S974" s="5">
        <v>971</v>
      </c>
      <c r="T974" s="6">
        <v>1</v>
      </c>
    </row>
    <row r="975" spans="19:20" x14ac:dyDescent="0.3">
      <c r="S975" s="5">
        <v>972</v>
      </c>
      <c r="T975" s="6">
        <v>1</v>
      </c>
    </row>
    <row r="976" spans="19:20" x14ac:dyDescent="0.3">
      <c r="S976" s="5">
        <v>973</v>
      </c>
      <c r="T976" s="6">
        <v>1</v>
      </c>
    </row>
    <row r="977" spans="19:20" x14ac:dyDescent="0.3">
      <c r="S977" s="5">
        <v>974</v>
      </c>
      <c r="T977" s="6">
        <v>1</v>
      </c>
    </row>
    <row r="978" spans="19:20" x14ac:dyDescent="0.3">
      <c r="S978" s="5">
        <v>975</v>
      </c>
      <c r="T978" s="6">
        <v>1</v>
      </c>
    </row>
    <row r="979" spans="19:20" x14ac:dyDescent="0.3">
      <c r="S979" s="5">
        <v>976</v>
      </c>
      <c r="T979" s="6">
        <v>1</v>
      </c>
    </row>
    <row r="980" spans="19:20" x14ac:dyDescent="0.3">
      <c r="S980" s="5">
        <v>977</v>
      </c>
      <c r="T980" s="6">
        <v>1</v>
      </c>
    </row>
    <row r="981" spans="19:20" x14ac:dyDescent="0.3">
      <c r="S981" s="5">
        <v>978</v>
      </c>
      <c r="T981" s="6">
        <v>1</v>
      </c>
    </row>
    <row r="982" spans="19:20" x14ac:dyDescent="0.3">
      <c r="S982" s="5">
        <v>979</v>
      </c>
      <c r="T982" s="6">
        <v>1</v>
      </c>
    </row>
    <row r="983" spans="19:20" x14ac:dyDescent="0.3">
      <c r="S983" s="5">
        <v>980</v>
      </c>
      <c r="T983" s="6">
        <v>1</v>
      </c>
    </row>
    <row r="984" spans="19:20" x14ac:dyDescent="0.3">
      <c r="S984" s="5">
        <v>981</v>
      </c>
      <c r="T984" s="6">
        <v>1</v>
      </c>
    </row>
    <row r="985" spans="19:20" x14ac:dyDescent="0.3">
      <c r="S985" s="5">
        <v>982</v>
      </c>
      <c r="T985" s="6">
        <v>1</v>
      </c>
    </row>
    <row r="986" spans="19:20" x14ac:dyDescent="0.3">
      <c r="S986" s="5">
        <v>983</v>
      </c>
      <c r="T986" s="6">
        <v>1</v>
      </c>
    </row>
    <row r="987" spans="19:20" x14ac:dyDescent="0.3">
      <c r="S987" s="5">
        <v>984</v>
      </c>
      <c r="T987" s="6">
        <v>1</v>
      </c>
    </row>
    <row r="988" spans="19:20" x14ac:dyDescent="0.3">
      <c r="S988" s="5">
        <v>985</v>
      </c>
      <c r="T988" s="6">
        <v>1</v>
      </c>
    </row>
    <row r="989" spans="19:20" x14ac:dyDescent="0.3">
      <c r="S989" s="5">
        <v>986</v>
      </c>
      <c r="T989" s="6">
        <v>1</v>
      </c>
    </row>
    <row r="990" spans="19:20" x14ac:dyDescent="0.3">
      <c r="S990" s="5">
        <v>987</v>
      </c>
      <c r="T990" s="6">
        <v>1</v>
      </c>
    </row>
    <row r="991" spans="19:20" x14ac:dyDescent="0.3">
      <c r="S991" s="5">
        <v>988</v>
      </c>
      <c r="T991" s="6">
        <v>1</v>
      </c>
    </row>
    <row r="992" spans="19:20" x14ac:dyDescent="0.3">
      <c r="S992" s="5">
        <v>989</v>
      </c>
      <c r="T992" s="6">
        <v>1</v>
      </c>
    </row>
    <row r="993" spans="19:20" x14ac:dyDescent="0.3">
      <c r="S993" s="5">
        <v>990</v>
      </c>
      <c r="T993" s="6">
        <v>1</v>
      </c>
    </row>
    <row r="994" spans="19:20" x14ac:dyDescent="0.3">
      <c r="S994" s="5">
        <v>991</v>
      </c>
      <c r="T994" s="6">
        <v>1</v>
      </c>
    </row>
    <row r="995" spans="19:20" x14ac:dyDescent="0.3">
      <c r="S995" s="5">
        <v>992</v>
      </c>
      <c r="T995" s="6">
        <v>1</v>
      </c>
    </row>
    <row r="996" spans="19:20" x14ac:dyDescent="0.3">
      <c r="S996" s="5">
        <v>993</v>
      </c>
      <c r="T996" s="6">
        <v>1</v>
      </c>
    </row>
    <row r="997" spans="19:20" x14ac:dyDescent="0.3">
      <c r="S997" s="5">
        <v>994</v>
      </c>
      <c r="T997" s="6">
        <v>1</v>
      </c>
    </row>
    <row r="998" spans="19:20" x14ac:dyDescent="0.3">
      <c r="S998" s="5">
        <v>995</v>
      </c>
      <c r="T998" s="6">
        <v>1</v>
      </c>
    </row>
    <row r="999" spans="19:20" x14ac:dyDescent="0.3">
      <c r="S999" s="5">
        <v>996</v>
      </c>
      <c r="T999" s="6">
        <v>1</v>
      </c>
    </row>
    <row r="1000" spans="19:20" x14ac:dyDescent="0.3">
      <c r="S1000" s="5">
        <v>997</v>
      </c>
      <c r="T1000" s="6">
        <v>1</v>
      </c>
    </row>
    <row r="1001" spans="19:20" x14ac:dyDescent="0.3">
      <c r="S1001" s="5">
        <v>998</v>
      </c>
      <c r="T1001" s="6">
        <v>1</v>
      </c>
    </row>
    <row r="1002" spans="19:20" x14ac:dyDescent="0.3">
      <c r="S1002" s="5">
        <v>999</v>
      </c>
      <c r="T1002" s="6">
        <v>1</v>
      </c>
    </row>
    <row r="1003" spans="19:20" x14ac:dyDescent="0.3">
      <c r="S1003" s="5">
        <v>1000</v>
      </c>
      <c r="T1003" s="6">
        <v>1</v>
      </c>
    </row>
    <row r="1004" spans="19:20" x14ac:dyDescent="0.3">
      <c r="S1004" s="5">
        <v>1001</v>
      </c>
      <c r="T1004" s="6">
        <v>1</v>
      </c>
    </row>
    <row r="1005" spans="19:20" x14ac:dyDescent="0.3">
      <c r="S1005" s="5">
        <v>1002</v>
      </c>
      <c r="T1005" s="6">
        <v>1</v>
      </c>
    </row>
    <row r="1006" spans="19:20" x14ac:dyDescent="0.3">
      <c r="S1006" s="5">
        <v>1003</v>
      </c>
      <c r="T1006" s="6">
        <v>1</v>
      </c>
    </row>
    <row r="1007" spans="19:20" x14ac:dyDescent="0.3">
      <c r="S1007" s="5">
        <v>1004</v>
      </c>
      <c r="T1007" s="6">
        <v>1</v>
      </c>
    </row>
    <row r="1008" spans="19:20" x14ac:dyDescent="0.3">
      <c r="S1008" s="5">
        <v>1005</v>
      </c>
      <c r="T1008" s="6">
        <v>1</v>
      </c>
    </row>
    <row r="1009" spans="19:20" x14ac:dyDescent="0.3">
      <c r="S1009" s="5">
        <v>1006</v>
      </c>
      <c r="T1009" s="6">
        <v>1</v>
      </c>
    </row>
    <row r="1010" spans="19:20" x14ac:dyDescent="0.3">
      <c r="S1010" s="5">
        <v>1007</v>
      </c>
      <c r="T1010" s="6">
        <v>1</v>
      </c>
    </row>
    <row r="1011" spans="19:20" x14ac:dyDescent="0.3">
      <c r="S1011" s="5">
        <v>1008</v>
      </c>
      <c r="T1011" s="6">
        <v>1</v>
      </c>
    </row>
    <row r="1012" spans="19:20" x14ac:dyDescent="0.3">
      <c r="S1012" s="5">
        <v>1009</v>
      </c>
      <c r="T1012" s="6">
        <v>1</v>
      </c>
    </row>
    <row r="1013" spans="19:20" x14ac:dyDescent="0.3">
      <c r="S1013" s="5">
        <v>1010</v>
      </c>
      <c r="T1013" s="6">
        <v>1</v>
      </c>
    </row>
    <row r="1014" spans="19:20" x14ac:dyDescent="0.3">
      <c r="S1014" s="5">
        <v>1011</v>
      </c>
      <c r="T1014" s="6">
        <v>1</v>
      </c>
    </row>
    <row r="1015" spans="19:20" x14ac:dyDescent="0.3">
      <c r="S1015" s="5">
        <v>1012</v>
      </c>
      <c r="T1015" s="6">
        <v>1</v>
      </c>
    </row>
    <row r="1016" spans="19:20" x14ac:dyDescent="0.3">
      <c r="S1016" s="5">
        <v>1013</v>
      </c>
      <c r="T1016" s="6">
        <v>1</v>
      </c>
    </row>
    <row r="1017" spans="19:20" x14ac:dyDescent="0.3">
      <c r="S1017" s="5">
        <v>1014</v>
      </c>
      <c r="T1017" s="6">
        <v>1</v>
      </c>
    </row>
    <row r="1018" spans="19:20" x14ac:dyDescent="0.3">
      <c r="S1018" s="5">
        <v>1015</v>
      </c>
      <c r="T1018" s="6">
        <v>1</v>
      </c>
    </row>
    <row r="1019" spans="19:20" x14ac:dyDescent="0.3">
      <c r="S1019" s="5">
        <v>1016</v>
      </c>
      <c r="T1019" s="6">
        <v>1</v>
      </c>
    </row>
    <row r="1020" spans="19:20" x14ac:dyDescent="0.3">
      <c r="S1020" s="5">
        <v>1017</v>
      </c>
      <c r="T1020" s="6">
        <v>1</v>
      </c>
    </row>
    <row r="1021" spans="19:20" x14ac:dyDescent="0.3">
      <c r="S1021" s="5">
        <v>1018</v>
      </c>
      <c r="T1021" s="6">
        <v>1</v>
      </c>
    </row>
    <row r="1022" spans="19:20" x14ac:dyDescent="0.3">
      <c r="S1022" s="5">
        <v>1019</v>
      </c>
      <c r="T1022" s="6">
        <v>1</v>
      </c>
    </row>
    <row r="1023" spans="19:20" x14ac:dyDescent="0.3">
      <c r="S1023" s="5">
        <v>1020</v>
      </c>
      <c r="T1023" s="6">
        <v>1</v>
      </c>
    </row>
    <row r="1024" spans="19:20" x14ac:dyDescent="0.3">
      <c r="S1024" s="5">
        <v>1021</v>
      </c>
      <c r="T1024" s="6">
        <v>1</v>
      </c>
    </row>
    <row r="1025" spans="19:20" x14ac:dyDescent="0.3">
      <c r="S1025" s="5">
        <v>1022</v>
      </c>
      <c r="T1025" s="6">
        <v>1</v>
      </c>
    </row>
    <row r="1026" spans="19:20" x14ac:dyDescent="0.3">
      <c r="S1026" s="5">
        <v>1023</v>
      </c>
      <c r="T1026" s="6">
        <v>1</v>
      </c>
    </row>
    <row r="1027" spans="19:20" x14ac:dyDescent="0.3">
      <c r="S1027" s="5">
        <v>1024</v>
      </c>
      <c r="T1027" s="6">
        <v>1</v>
      </c>
    </row>
    <row r="1028" spans="19:20" x14ac:dyDescent="0.3">
      <c r="S1028" s="5">
        <v>1025</v>
      </c>
      <c r="T1028" s="6">
        <v>1</v>
      </c>
    </row>
    <row r="1029" spans="19:20" x14ac:dyDescent="0.3">
      <c r="S1029" s="5">
        <v>1026</v>
      </c>
      <c r="T1029" s="6">
        <v>1</v>
      </c>
    </row>
    <row r="1030" spans="19:20" x14ac:dyDescent="0.3">
      <c r="S1030" s="5">
        <v>1027</v>
      </c>
      <c r="T1030" s="6">
        <v>1</v>
      </c>
    </row>
    <row r="1031" spans="19:20" x14ac:dyDescent="0.3">
      <c r="S1031" s="5">
        <v>1028</v>
      </c>
      <c r="T1031" s="6">
        <v>1</v>
      </c>
    </row>
    <row r="1032" spans="19:20" x14ac:dyDescent="0.3">
      <c r="S1032" s="5">
        <v>1029</v>
      </c>
      <c r="T1032" s="6">
        <v>1</v>
      </c>
    </row>
    <row r="1033" spans="19:20" x14ac:dyDescent="0.3">
      <c r="S1033" s="5">
        <v>1030</v>
      </c>
      <c r="T1033" s="6">
        <v>1</v>
      </c>
    </row>
    <row r="1034" spans="19:20" x14ac:dyDescent="0.3">
      <c r="S1034" s="5">
        <v>1031</v>
      </c>
      <c r="T1034" s="6">
        <v>1</v>
      </c>
    </row>
    <row r="1035" spans="19:20" x14ac:dyDescent="0.3">
      <c r="S1035" s="5">
        <v>1032</v>
      </c>
      <c r="T1035" s="6">
        <v>1</v>
      </c>
    </row>
    <row r="1036" spans="19:20" x14ac:dyDescent="0.3">
      <c r="S1036" s="5">
        <v>1033</v>
      </c>
      <c r="T1036" s="6">
        <v>1</v>
      </c>
    </row>
    <row r="1037" spans="19:20" x14ac:dyDescent="0.3">
      <c r="S1037" s="5">
        <v>1034</v>
      </c>
      <c r="T1037" s="6">
        <v>1</v>
      </c>
    </row>
    <row r="1038" spans="19:20" x14ac:dyDescent="0.3">
      <c r="S1038" s="5">
        <v>1035</v>
      </c>
      <c r="T1038" s="6">
        <v>1</v>
      </c>
    </row>
    <row r="1039" spans="19:20" x14ac:dyDescent="0.3">
      <c r="S1039" s="5">
        <v>1036</v>
      </c>
      <c r="T1039" s="6">
        <v>1</v>
      </c>
    </row>
    <row r="1040" spans="19:20" x14ac:dyDescent="0.3">
      <c r="S1040" s="5">
        <v>1037</v>
      </c>
      <c r="T1040" s="6">
        <v>1</v>
      </c>
    </row>
    <row r="1041" spans="19:20" x14ac:dyDescent="0.3">
      <c r="S1041" s="5">
        <v>1038</v>
      </c>
      <c r="T1041" s="6">
        <v>1</v>
      </c>
    </row>
    <row r="1042" spans="19:20" x14ac:dyDescent="0.3">
      <c r="S1042" s="5">
        <v>1039</v>
      </c>
      <c r="T1042" s="6">
        <v>1</v>
      </c>
    </row>
    <row r="1043" spans="19:20" x14ac:dyDescent="0.3">
      <c r="S1043" s="5">
        <v>1040</v>
      </c>
      <c r="T1043" s="6">
        <v>1</v>
      </c>
    </row>
    <row r="1044" spans="19:20" x14ac:dyDescent="0.3">
      <c r="S1044" s="5">
        <v>1041</v>
      </c>
      <c r="T1044" s="6">
        <v>1</v>
      </c>
    </row>
    <row r="1045" spans="19:20" x14ac:dyDescent="0.3">
      <c r="S1045" s="5">
        <v>1042</v>
      </c>
      <c r="T1045" s="6">
        <v>1</v>
      </c>
    </row>
    <row r="1046" spans="19:20" x14ac:dyDescent="0.3">
      <c r="S1046" s="5">
        <v>1043</v>
      </c>
      <c r="T1046" s="6">
        <v>1</v>
      </c>
    </row>
    <row r="1047" spans="19:20" x14ac:dyDescent="0.3">
      <c r="S1047" s="5">
        <v>1044</v>
      </c>
      <c r="T1047" s="6">
        <v>1</v>
      </c>
    </row>
    <row r="1048" spans="19:20" x14ac:dyDescent="0.3">
      <c r="S1048" s="5">
        <v>1045</v>
      </c>
      <c r="T1048" s="6">
        <v>1</v>
      </c>
    </row>
    <row r="1049" spans="19:20" x14ac:dyDescent="0.3">
      <c r="S1049" s="5">
        <v>1046</v>
      </c>
      <c r="T1049" s="6">
        <v>1</v>
      </c>
    </row>
    <row r="1050" spans="19:20" x14ac:dyDescent="0.3">
      <c r="S1050" s="5">
        <v>1047</v>
      </c>
      <c r="T1050" s="6">
        <v>1</v>
      </c>
    </row>
    <row r="1051" spans="19:20" x14ac:dyDescent="0.3">
      <c r="S1051" s="5">
        <v>1048</v>
      </c>
      <c r="T1051" s="6">
        <v>1</v>
      </c>
    </row>
    <row r="1052" spans="19:20" x14ac:dyDescent="0.3">
      <c r="S1052" s="5">
        <v>1049</v>
      </c>
      <c r="T1052" s="6">
        <v>1</v>
      </c>
    </row>
    <row r="1053" spans="19:20" x14ac:dyDescent="0.3">
      <c r="S1053" s="5">
        <v>1050</v>
      </c>
      <c r="T1053" s="6">
        <v>1</v>
      </c>
    </row>
    <row r="1054" spans="19:20" x14ac:dyDescent="0.3">
      <c r="S1054" s="5">
        <v>1051</v>
      </c>
      <c r="T1054" s="6">
        <v>1</v>
      </c>
    </row>
    <row r="1055" spans="19:20" x14ac:dyDescent="0.3">
      <c r="S1055" s="5">
        <v>1052</v>
      </c>
      <c r="T1055" s="6">
        <v>1</v>
      </c>
    </row>
    <row r="1056" spans="19:20" x14ac:dyDescent="0.3">
      <c r="S1056" s="5">
        <v>1053</v>
      </c>
      <c r="T1056" s="6">
        <v>1</v>
      </c>
    </row>
    <row r="1057" spans="19:20" x14ac:dyDescent="0.3">
      <c r="S1057" s="5">
        <v>1054</v>
      </c>
      <c r="T1057" s="6">
        <v>1</v>
      </c>
    </row>
    <row r="1058" spans="19:20" x14ac:dyDescent="0.3">
      <c r="S1058" s="5">
        <v>1055</v>
      </c>
      <c r="T1058" s="6">
        <v>1</v>
      </c>
    </row>
    <row r="1059" spans="19:20" x14ac:dyDescent="0.3">
      <c r="S1059" s="5">
        <v>1056</v>
      </c>
      <c r="T1059" s="6">
        <v>1</v>
      </c>
    </row>
    <row r="1060" spans="19:20" x14ac:dyDescent="0.3">
      <c r="S1060" s="5">
        <v>1057</v>
      </c>
      <c r="T1060" s="6">
        <v>1</v>
      </c>
    </row>
    <row r="1061" spans="19:20" x14ac:dyDescent="0.3">
      <c r="S1061" s="5">
        <v>1058</v>
      </c>
      <c r="T1061" s="6">
        <v>1</v>
      </c>
    </row>
    <row r="1062" spans="19:20" x14ac:dyDescent="0.3">
      <c r="S1062" s="5">
        <v>1059</v>
      </c>
      <c r="T1062" s="6">
        <v>1</v>
      </c>
    </row>
    <row r="1063" spans="19:20" x14ac:dyDescent="0.3">
      <c r="S1063" s="5">
        <v>1060</v>
      </c>
      <c r="T1063" s="6">
        <v>1</v>
      </c>
    </row>
    <row r="1064" spans="19:20" x14ac:dyDescent="0.3">
      <c r="S1064" s="5">
        <v>1061</v>
      </c>
      <c r="T1064" s="6">
        <v>1</v>
      </c>
    </row>
    <row r="1065" spans="19:20" x14ac:dyDescent="0.3">
      <c r="S1065" s="5">
        <v>1062</v>
      </c>
      <c r="T1065" s="6">
        <v>1</v>
      </c>
    </row>
    <row r="1066" spans="19:20" x14ac:dyDescent="0.3">
      <c r="S1066" s="5">
        <v>1063</v>
      </c>
      <c r="T1066" s="6">
        <v>1</v>
      </c>
    </row>
    <row r="1067" spans="19:20" x14ac:dyDescent="0.3">
      <c r="S1067" s="5">
        <v>1064</v>
      </c>
      <c r="T1067" s="6">
        <v>1</v>
      </c>
    </row>
    <row r="1068" spans="19:20" x14ac:dyDescent="0.3">
      <c r="S1068" s="5">
        <v>1065</v>
      </c>
      <c r="T1068" s="6">
        <v>1</v>
      </c>
    </row>
    <row r="1069" spans="19:20" x14ac:dyDescent="0.3">
      <c r="S1069" s="5">
        <v>1066</v>
      </c>
      <c r="T1069" s="6">
        <v>1</v>
      </c>
    </row>
    <row r="1070" spans="19:20" x14ac:dyDescent="0.3">
      <c r="S1070" s="5">
        <v>1067</v>
      </c>
      <c r="T1070" s="6">
        <v>1</v>
      </c>
    </row>
    <row r="1071" spans="19:20" x14ac:dyDescent="0.3">
      <c r="S1071" s="5">
        <v>1068</v>
      </c>
      <c r="T1071" s="6">
        <v>1</v>
      </c>
    </row>
    <row r="1072" spans="19:20" x14ac:dyDescent="0.3">
      <c r="S1072" s="5">
        <v>1069</v>
      </c>
      <c r="T1072" s="6">
        <v>1</v>
      </c>
    </row>
    <row r="1073" spans="19:20" x14ac:dyDescent="0.3">
      <c r="S1073" s="5">
        <v>1070</v>
      </c>
      <c r="T1073" s="6">
        <v>1</v>
      </c>
    </row>
    <row r="1074" spans="19:20" x14ac:dyDescent="0.3">
      <c r="S1074" s="5">
        <v>1071</v>
      </c>
      <c r="T1074" s="6">
        <v>1</v>
      </c>
    </row>
    <row r="1075" spans="19:20" x14ac:dyDescent="0.3">
      <c r="S1075" s="5">
        <v>1072</v>
      </c>
      <c r="T1075" s="6">
        <v>1</v>
      </c>
    </row>
    <row r="1076" spans="19:20" x14ac:dyDescent="0.3">
      <c r="S1076" s="5">
        <v>1073</v>
      </c>
      <c r="T1076" s="6">
        <v>1</v>
      </c>
    </row>
    <row r="1077" spans="19:20" x14ac:dyDescent="0.3">
      <c r="S1077" s="5">
        <v>1074</v>
      </c>
      <c r="T1077" s="6">
        <v>1</v>
      </c>
    </row>
    <row r="1078" spans="19:20" x14ac:dyDescent="0.3">
      <c r="S1078" s="5">
        <v>1075</v>
      </c>
      <c r="T1078" s="6">
        <v>1</v>
      </c>
    </row>
    <row r="1079" spans="19:20" x14ac:dyDescent="0.3">
      <c r="S1079" s="5">
        <v>1076</v>
      </c>
      <c r="T1079" s="6">
        <v>1</v>
      </c>
    </row>
    <row r="1080" spans="19:20" x14ac:dyDescent="0.3">
      <c r="S1080" s="5">
        <v>1077</v>
      </c>
      <c r="T1080" s="6">
        <v>1</v>
      </c>
    </row>
    <row r="1081" spans="19:20" x14ac:dyDescent="0.3">
      <c r="S1081" s="5">
        <v>1078</v>
      </c>
      <c r="T1081" s="6">
        <v>1</v>
      </c>
    </row>
    <row r="1082" spans="19:20" x14ac:dyDescent="0.3">
      <c r="S1082" s="5">
        <v>1079</v>
      </c>
      <c r="T1082" s="6">
        <v>1</v>
      </c>
    </row>
    <row r="1083" spans="19:20" x14ac:dyDescent="0.3">
      <c r="S1083" s="5">
        <v>1080</v>
      </c>
      <c r="T1083" s="6">
        <v>1</v>
      </c>
    </row>
    <row r="1084" spans="19:20" x14ac:dyDescent="0.3">
      <c r="S1084" s="5">
        <v>1081</v>
      </c>
      <c r="T1084" s="6">
        <v>1</v>
      </c>
    </row>
    <row r="1085" spans="19:20" x14ac:dyDescent="0.3">
      <c r="S1085" s="5">
        <v>1082</v>
      </c>
      <c r="T1085" s="6">
        <v>1</v>
      </c>
    </row>
    <row r="1086" spans="19:20" x14ac:dyDescent="0.3">
      <c r="S1086" s="5">
        <v>1083</v>
      </c>
      <c r="T1086" s="6">
        <v>1</v>
      </c>
    </row>
    <row r="1087" spans="19:20" x14ac:dyDescent="0.3">
      <c r="S1087" s="5">
        <v>1084</v>
      </c>
      <c r="T1087" s="6">
        <v>1</v>
      </c>
    </row>
    <row r="1088" spans="19:20" x14ac:dyDescent="0.3">
      <c r="S1088" s="5">
        <v>1085</v>
      </c>
      <c r="T1088" s="6">
        <v>1</v>
      </c>
    </row>
    <row r="1089" spans="19:20" x14ac:dyDescent="0.3">
      <c r="S1089" s="5">
        <v>1086</v>
      </c>
      <c r="T1089" s="6">
        <v>1</v>
      </c>
    </row>
    <row r="1090" spans="19:20" x14ac:dyDescent="0.3">
      <c r="S1090" s="5">
        <v>1087</v>
      </c>
      <c r="T1090" s="6">
        <v>1</v>
      </c>
    </row>
    <row r="1091" spans="19:20" x14ac:dyDescent="0.3">
      <c r="S1091" s="5">
        <v>1088</v>
      </c>
      <c r="T1091" s="6">
        <v>1</v>
      </c>
    </row>
    <row r="1092" spans="19:20" x14ac:dyDescent="0.3">
      <c r="S1092" s="5">
        <v>1089</v>
      </c>
      <c r="T1092" s="6">
        <v>1</v>
      </c>
    </row>
    <row r="1093" spans="19:20" x14ac:dyDescent="0.3">
      <c r="S1093" s="5">
        <v>1090</v>
      </c>
      <c r="T1093" s="6">
        <v>1</v>
      </c>
    </row>
    <row r="1094" spans="19:20" x14ac:dyDescent="0.3">
      <c r="S1094" s="5">
        <v>1091</v>
      </c>
      <c r="T1094" s="6">
        <v>1</v>
      </c>
    </row>
    <row r="1095" spans="19:20" x14ac:dyDescent="0.3">
      <c r="S1095" s="5">
        <v>1092</v>
      </c>
      <c r="T1095" s="6">
        <v>1</v>
      </c>
    </row>
    <row r="1096" spans="19:20" x14ac:dyDescent="0.3">
      <c r="S1096" s="5">
        <v>1093</v>
      </c>
      <c r="T1096" s="6">
        <v>1</v>
      </c>
    </row>
    <row r="1097" spans="19:20" x14ac:dyDescent="0.3">
      <c r="S1097" s="5">
        <v>1094</v>
      </c>
      <c r="T1097" s="6">
        <v>1</v>
      </c>
    </row>
    <row r="1098" spans="19:20" x14ac:dyDescent="0.3">
      <c r="S1098" s="5">
        <v>1095</v>
      </c>
      <c r="T1098" s="6">
        <v>1</v>
      </c>
    </row>
    <row r="1099" spans="19:20" x14ac:dyDescent="0.3">
      <c r="S1099" s="5">
        <v>1096</v>
      </c>
      <c r="T1099" s="6">
        <v>1</v>
      </c>
    </row>
    <row r="1100" spans="19:20" x14ac:dyDescent="0.3">
      <c r="S1100" s="5">
        <v>1097</v>
      </c>
      <c r="T1100" s="6">
        <v>1</v>
      </c>
    </row>
    <row r="1101" spans="19:20" x14ac:dyDescent="0.3">
      <c r="S1101" s="5">
        <v>1098</v>
      </c>
      <c r="T1101" s="6">
        <v>1</v>
      </c>
    </row>
    <row r="1102" spans="19:20" x14ac:dyDescent="0.3">
      <c r="S1102" s="5">
        <v>1099</v>
      </c>
      <c r="T1102" s="6">
        <v>1</v>
      </c>
    </row>
    <row r="1103" spans="19:20" x14ac:dyDescent="0.3">
      <c r="S1103" s="5">
        <v>1100</v>
      </c>
      <c r="T1103" s="6">
        <v>1</v>
      </c>
    </row>
    <row r="1104" spans="19:20" x14ac:dyDescent="0.3">
      <c r="S1104" s="5">
        <v>1101</v>
      </c>
      <c r="T1104" s="6">
        <v>1</v>
      </c>
    </row>
    <row r="1105" spans="19:20" x14ac:dyDescent="0.3">
      <c r="S1105" s="5">
        <v>1102</v>
      </c>
      <c r="T1105" s="6">
        <v>1</v>
      </c>
    </row>
    <row r="1106" spans="19:20" x14ac:dyDescent="0.3">
      <c r="S1106" s="5">
        <v>1103</v>
      </c>
      <c r="T1106" s="6">
        <v>1</v>
      </c>
    </row>
    <row r="1107" spans="19:20" x14ac:dyDescent="0.3">
      <c r="S1107" s="5">
        <v>1104</v>
      </c>
      <c r="T1107" s="6">
        <v>1</v>
      </c>
    </row>
    <row r="1108" spans="19:20" x14ac:dyDescent="0.3">
      <c r="S1108" s="5">
        <v>1105</v>
      </c>
      <c r="T1108" s="6">
        <v>1</v>
      </c>
    </row>
    <row r="1109" spans="19:20" x14ac:dyDescent="0.3">
      <c r="S1109" s="5">
        <v>1106</v>
      </c>
      <c r="T1109" s="6">
        <v>1</v>
      </c>
    </row>
    <row r="1110" spans="19:20" x14ac:dyDescent="0.3">
      <c r="S1110" s="5">
        <v>1107</v>
      </c>
      <c r="T1110" s="6">
        <v>1</v>
      </c>
    </row>
    <row r="1111" spans="19:20" x14ac:dyDescent="0.3">
      <c r="S1111" s="5">
        <v>1108</v>
      </c>
      <c r="T1111" s="6">
        <v>1</v>
      </c>
    </row>
    <row r="1112" spans="19:20" x14ac:dyDescent="0.3">
      <c r="S1112" s="5">
        <v>1109</v>
      </c>
      <c r="T1112" s="6">
        <v>1</v>
      </c>
    </row>
    <row r="1113" spans="19:20" x14ac:dyDescent="0.3">
      <c r="S1113" s="5">
        <v>1110</v>
      </c>
      <c r="T1113" s="6">
        <v>1</v>
      </c>
    </row>
    <row r="1114" spans="19:20" x14ac:dyDescent="0.3">
      <c r="S1114" s="5">
        <v>1111</v>
      </c>
      <c r="T1114" s="6">
        <v>1</v>
      </c>
    </row>
    <row r="1115" spans="19:20" x14ac:dyDescent="0.3">
      <c r="S1115" s="5">
        <v>1112</v>
      </c>
      <c r="T1115" s="6">
        <v>1</v>
      </c>
    </row>
    <row r="1116" spans="19:20" x14ac:dyDescent="0.3">
      <c r="S1116" s="5">
        <v>1113</v>
      </c>
      <c r="T1116" s="6">
        <v>1</v>
      </c>
    </row>
    <row r="1117" spans="19:20" x14ac:dyDescent="0.3">
      <c r="S1117" s="5">
        <v>1114</v>
      </c>
      <c r="T1117" s="6">
        <v>1</v>
      </c>
    </row>
    <row r="1118" spans="19:20" x14ac:dyDescent="0.3">
      <c r="S1118" s="5">
        <v>1115</v>
      </c>
      <c r="T1118" s="6">
        <v>1</v>
      </c>
    </row>
    <row r="1119" spans="19:20" x14ac:dyDescent="0.3">
      <c r="S1119" s="5">
        <v>1116</v>
      </c>
      <c r="T1119" s="6">
        <v>1</v>
      </c>
    </row>
    <row r="1120" spans="19:20" x14ac:dyDescent="0.3">
      <c r="S1120" s="5">
        <v>1117</v>
      </c>
      <c r="T1120" s="6">
        <v>1</v>
      </c>
    </row>
    <row r="1121" spans="19:20" x14ac:dyDescent="0.3">
      <c r="S1121" s="5">
        <v>1118</v>
      </c>
      <c r="T1121" s="6">
        <v>1</v>
      </c>
    </row>
    <row r="1122" spans="19:20" x14ac:dyDescent="0.3">
      <c r="S1122" s="5">
        <v>1119</v>
      </c>
      <c r="T1122" s="6">
        <v>1</v>
      </c>
    </row>
    <row r="1123" spans="19:20" x14ac:dyDescent="0.3">
      <c r="S1123" s="5">
        <v>1120</v>
      </c>
      <c r="T1123" s="6">
        <v>1</v>
      </c>
    </row>
    <row r="1124" spans="19:20" x14ac:dyDescent="0.3">
      <c r="S1124" s="5">
        <v>1121</v>
      </c>
      <c r="T1124" s="6">
        <v>1</v>
      </c>
    </row>
    <row r="1125" spans="19:20" x14ac:dyDescent="0.3">
      <c r="S1125" s="5">
        <v>1122</v>
      </c>
      <c r="T1125" s="6">
        <v>1</v>
      </c>
    </row>
    <row r="1126" spans="19:20" x14ac:dyDescent="0.3">
      <c r="S1126" s="5">
        <v>1123</v>
      </c>
      <c r="T1126" s="6">
        <v>1</v>
      </c>
    </row>
    <row r="1127" spans="19:20" x14ac:dyDescent="0.3">
      <c r="S1127" s="5">
        <v>1124</v>
      </c>
      <c r="T1127" s="6">
        <v>1</v>
      </c>
    </row>
    <row r="1128" spans="19:20" x14ac:dyDescent="0.3">
      <c r="S1128" s="5">
        <v>1125</v>
      </c>
      <c r="T1128" s="6">
        <v>1</v>
      </c>
    </row>
    <row r="1129" spans="19:20" x14ac:dyDescent="0.3">
      <c r="S1129" s="5">
        <v>1126</v>
      </c>
      <c r="T1129" s="6">
        <v>1</v>
      </c>
    </row>
    <row r="1130" spans="19:20" x14ac:dyDescent="0.3">
      <c r="S1130" s="5">
        <v>1127</v>
      </c>
      <c r="T1130" s="6">
        <v>1</v>
      </c>
    </row>
    <row r="1131" spans="19:20" x14ac:dyDescent="0.3">
      <c r="S1131" s="5">
        <v>1128</v>
      </c>
      <c r="T1131" s="6">
        <v>1</v>
      </c>
    </row>
    <row r="1132" spans="19:20" x14ac:dyDescent="0.3">
      <c r="S1132" s="5">
        <v>1129</v>
      </c>
      <c r="T1132" s="6">
        <v>1</v>
      </c>
    </row>
    <row r="1133" spans="19:20" x14ac:dyDescent="0.3">
      <c r="S1133" s="5">
        <v>1130</v>
      </c>
      <c r="T1133" s="6">
        <v>1</v>
      </c>
    </row>
    <row r="1134" spans="19:20" x14ac:dyDescent="0.3">
      <c r="S1134" s="5">
        <v>1131</v>
      </c>
      <c r="T1134" s="6">
        <v>1</v>
      </c>
    </row>
    <row r="1135" spans="19:20" x14ac:dyDescent="0.3">
      <c r="S1135" s="5">
        <v>1132</v>
      </c>
      <c r="T1135" s="6">
        <v>1</v>
      </c>
    </row>
    <row r="1136" spans="19:20" x14ac:dyDescent="0.3">
      <c r="S1136" s="5">
        <v>1133</v>
      </c>
      <c r="T1136" s="6">
        <v>1</v>
      </c>
    </row>
    <row r="1137" spans="19:20" x14ac:dyDescent="0.3">
      <c r="S1137" s="5">
        <v>1134</v>
      </c>
      <c r="T1137" s="6">
        <v>1</v>
      </c>
    </row>
    <row r="1138" spans="19:20" x14ac:dyDescent="0.3">
      <c r="S1138" s="5">
        <v>1135</v>
      </c>
      <c r="T1138" s="6">
        <v>1</v>
      </c>
    </row>
    <row r="1139" spans="19:20" x14ac:dyDescent="0.3">
      <c r="S1139" s="5">
        <v>1136</v>
      </c>
      <c r="T1139" s="6">
        <v>1</v>
      </c>
    </row>
    <row r="1140" spans="19:20" x14ac:dyDescent="0.3">
      <c r="S1140" s="5">
        <v>1137</v>
      </c>
      <c r="T1140" s="6">
        <v>1</v>
      </c>
    </row>
    <row r="1141" spans="19:20" x14ac:dyDescent="0.3">
      <c r="S1141" s="5">
        <v>1138</v>
      </c>
      <c r="T1141" s="6">
        <v>1</v>
      </c>
    </row>
    <row r="1142" spans="19:20" x14ac:dyDescent="0.3">
      <c r="S1142" s="5">
        <v>1139</v>
      </c>
      <c r="T1142" s="6">
        <v>1</v>
      </c>
    </row>
    <row r="1143" spans="19:20" x14ac:dyDescent="0.3">
      <c r="S1143" s="5">
        <v>1140</v>
      </c>
      <c r="T1143" s="6">
        <v>1</v>
      </c>
    </row>
    <row r="1144" spans="19:20" x14ac:dyDescent="0.3">
      <c r="S1144" s="5">
        <v>1141</v>
      </c>
      <c r="T1144" s="6">
        <v>1</v>
      </c>
    </row>
    <row r="1145" spans="19:20" x14ac:dyDescent="0.3">
      <c r="S1145" s="5">
        <v>1142</v>
      </c>
      <c r="T1145" s="6">
        <v>1</v>
      </c>
    </row>
    <row r="1146" spans="19:20" x14ac:dyDescent="0.3">
      <c r="S1146" s="5">
        <v>1143</v>
      </c>
      <c r="T1146" s="6">
        <v>1</v>
      </c>
    </row>
    <row r="1147" spans="19:20" x14ac:dyDescent="0.3">
      <c r="S1147" s="5">
        <v>1144</v>
      </c>
      <c r="T1147" s="6">
        <v>1</v>
      </c>
    </row>
    <row r="1148" spans="19:20" x14ac:dyDescent="0.3">
      <c r="S1148" s="5">
        <v>1145</v>
      </c>
      <c r="T1148" s="6">
        <v>1</v>
      </c>
    </row>
    <row r="1149" spans="19:20" x14ac:dyDescent="0.3">
      <c r="S1149" s="5">
        <v>1146</v>
      </c>
      <c r="T1149" s="6">
        <v>1</v>
      </c>
    </row>
    <row r="1150" spans="19:20" x14ac:dyDescent="0.3">
      <c r="S1150" s="5">
        <v>1147</v>
      </c>
      <c r="T1150" s="6">
        <v>1</v>
      </c>
    </row>
    <row r="1151" spans="19:20" x14ac:dyDescent="0.3">
      <c r="S1151" s="5">
        <v>1148</v>
      </c>
      <c r="T1151" s="6">
        <v>1</v>
      </c>
    </row>
    <row r="1152" spans="19:20" x14ac:dyDescent="0.3">
      <c r="S1152" s="5">
        <v>1149</v>
      </c>
      <c r="T1152" s="6">
        <v>1</v>
      </c>
    </row>
    <row r="1153" spans="19:20" x14ac:dyDescent="0.3">
      <c r="S1153" s="5">
        <v>1150</v>
      </c>
      <c r="T1153" s="6">
        <v>1</v>
      </c>
    </row>
    <row r="1154" spans="19:20" x14ac:dyDescent="0.3">
      <c r="S1154" s="5">
        <v>1151</v>
      </c>
      <c r="T1154" s="6">
        <v>1</v>
      </c>
    </row>
    <row r="1155" spans="19:20" x14ac:dyDescent="0.3">
      <c r="S1155" s="5">
        <v>1152</v>
      </c>
      <c r="T1155" s="6">
        <v>1</v>
      </c>
    </row>
    <row r="1156" spans="19:20" x14ac:dyDescent="0.3">
      <c r="S1156" s="5">
        <v>1153</v>
      </c>
      <c r="T1156" s="6">
        <v>1</v>
      </c>
    </row>
    <row r="1157" spans="19:20" x14ac:dyDescent="0.3">
      <c r="S1157" s="5">
        <v>1154</v>
      </c>
      <c r="T1157" s="6">
        <v>1</v>
      </c>
    </row>
    <row r="1158" spans="19:20" x14ac:dyDescent="0.3">
      <c r="S1158" s="5">
        <v>1155</v>
      </c>
      <c r="T1158" s="6">
        <v>1</v>
      </c>
    </row>
    <row r="1159" spans="19:20" x14ac:dyDescent="0.3">
      <c r="S1159" s="5">
        <v>1156</v>
      </c>
      <c r="T1159" s="6">
        <v>1</v>
      </c>
    </row>
    <row r="1160" spans="19:20" x14ac:dyDescent="0.3">
      <c r="S1160" s="5">
        <v>1157</v>
      </c>
      <c r="T1160" s="6">
        <v>1</v>
      </c>
    </row>
    <row r="1161" spans="19:20" x14ac:dyDescent="0.3">
      <c r="S1161" s="5">
        <v>1158</v>
      </c>
      <c r="T1161" s="6">
        <v>1</v>
      </c>
    </row>
    <row r="1162" spans="19:20" x14ac:dyDescent="0.3">
      <c r="S1162" s="5">
        <v>1159</v>
      </c>
      <c r="T1162" s="6">
        <v>1</v>
      </c>
    </row>
    <row r="1163" spans="19:20" x14ac:dyDescent="0.3">
      <c r="S1163" s="5">
        <v>1160</v>
      </c>
      <c r="T1163" s="6">
        <v>1</v>
      </c>
    </row>
    <row r="1164" spans="19:20" x14ac:dyDescent="0.3">
      <c r="S1164" s="5">
        <v>1161</v>
      </c>
      <c r="T1164" s="6">
        <v>1</v>
      </c>
    </row>
    <row r="1165" spans="19:20" x14ac:dyDescent="0.3">
      <c r="S1165" s="5">
        <v>1162</v>
      </c>
      <c r="T1165" s="6">
        <v>1</v>
      </c>
    </row>
    <row r="1166" spans="19:20" x14ac:dyDescent="0.3">
      <c r="S1166" s="5">
        <v>1163</v>
      </c>
      <c r="T1166" s="6">
        <v>1</v>
      </c>
    </row>
    <row r="1167" spans="19:20" x14ac:dyDescent="0.3">
      <c r="S1167" s="5">
        <v>1164</v>
      </c>
      <c r="T1167" s="6">
        <v>1</v>
      </c>
    </row>
    <row r="1168" spans="19:20" x14ac:dyDescent="0.3">
      <c r="S1168" s="5">
        <v>1165</v>
      </c>
      <c r="T1168" s="6">
        <v>1</v>
      </c>
    </row>
    <row r="1169" spans="19:20" x14ac:dyDescent="0.3">
      <c r="S1169" s="5">
        <v>1166</v>
      </c>
      <c r="T1169" s="6">
        <v>1</v>
      </c>
    </row>
    <row r="1170" spans="19:20" x14ac:dyDescent="0.3">
      <c r="S1170" s="5">
        <v>1167</v>
      </c>
      <c r="T1170" s="6">
        <v>1</v>
      </c>
    </row>
    <row r="1171" spans="19:20" x14ac:dyDescent="0.3">
      <c r="S1171" s="5">
        <v>1168</v>
      </c>
      <c r="T1171" s="6">
        <v>1</v>
      </c>
    </row>
    <row r="1172" spans="19:20" x14ac:dyDescent="0.3">
      <c r="S1172" s="5">
        <v>1169</v>
      </c>
      <c r="T1172" s="6">
        <v>1</v>
      </c>
    </row>
    <row r="1173" spans="19:20" x14ac:dyDescent="0.3">
      <c r="S1173" s="5">
        <v>1170</v>
      </c>
      <c r="T1173" s="6">
        <v>1</v>
      </c>
    </row>
    <row r="1174" spans="19:20" x14ac:dyDescent="0.3">
      <c r="S1174" s="5">
        <v>1171</v>
      </c>
      <c r="T1174" s="6">
        <v>1</v>
      </c>
    </row>
    <row r="1175" spans="19:20" x14ac:dyDescent="0.3">
      <c r="S1175" s="5">
        <v>1172</v>
      </c>
      <c r="T1175" s="6">
        <v>1</v>
      </c>
    </row>
    <row r="1176" spans="19:20" x14ac:dyDescent="0.3">
      <c r="S1176" s="5">
        <v>1173</v>
      </c>
      <c r="T1176" s="6">
        <v>1</v>
      </c>
    </row>
    <row r="1177" spans="19:20" x14ac:dyDescent="0.3">
      <c r="S1177" s="5">
        <v>1174</v>
      </c>
      <c r="T1177" s="6">
        <v>1</v>
      </c>
    </row>
    <row r="1178" spans="19:20" x14ac:dyDescent="0.3">
      <c r="S1178" s="5">
        <v>1175</v>
      </c>
      <c r="T1178" s="6">
        <v>1</v>
      </c>
    </row>
    <row r="1179" spans="19:20" x14ac:dyDescent="0.3">
      <c r="S1179" s="5">
        <v>1176</v>
      </c>
      <c r="T1179" s="6">
        <v>1</v>
      </c>
    </row>
    <row r="1180" spans="19:20" x14ac:dyDescent="0.3">
      <c r="S1180" s="5">
        <v>1177</v>
      </c>
      <c r="T1180" s="6">
        <v>1</v>
      </c>
    </row>
    <row r="1181" spans="19:20" x14ac:dyDescent="0.3">
      <c r="S1181" s="5">
        <v>1178</v>
      </c>
      <c r="T1181" s="6">
        <v>1</v>
      </c>
    </row>
    <row r="1182" spans="19:20" x14ac:dyDescent="0.3">
      <c r="S1182" s="5">
        <v>1179</v>
      </c>
      <c r="T1182" s="6">
        <v>1</v>
      </c>
    </row>
    <row r="1183" spans="19:20" x14ac:dyDescent="0.3">
      <c r="S1183" s="5">
        <v>1180</v>
      </c>
      <c r="T1183" s="6">
        <v>1</v>
      </c>
    </row>
    <row r="1184" spans="19:20" x14ac:dyDescent="0.3">
      <c r="S1184" s="5">
        <v>1181</v>
      </c>
      <c r="T1184" s="6">
        <v>1</v>
      </c>
    </row>
    <row r="1185" spans="19:20" x14ac:dyDescent="0.3">
      <c r="S1185" s="5">
        <v>1182</v>
      </c>
      <c r="T1185" s="6">
        <v>1</v>
      </c>
    </row>
    <row r="1186" spans="19:20" x14ac:dyDescent="0.3">
      <c r="S1186" s="5">
        <v>1183</v>
      </c>
      <c r="T1186" s="6">
        <v>1</v>
      </c>
    </row>
    <row r="1187" spans="19:20" x14ac:dyDescent="0.3">
      <c r="S1187" s="5">
        <v>1184</v>
      </c>
      <c r="T1187" s="6">
        <v>1</v>
      </c>
    </row>
    <row r="1188" spans="19:20" x14ac:dyDescent="0.3">
      <c r="S1188" s="5">
        <v>1185</v>
      </c>
      <c r="T1188" s="6">
        <v>1</v>
      </c>
    </row>
    <row r="1189" spans="19:20" x14ac:dyDescent="0.3">
      <c r="S1189" s="5">
        <v>1186</v>
      </c>
      <c r="T1189" s="6">
        <v>1</v>
      </c>
    </row>
    <row r="1190" spans="19:20" x14ac:dyDescent="0.3">
      <c r="S1190" s="5">
        <v>1187</v>
      </c>
      <c r="T1190" s="6">
        <v>1</v>
      </c>
    </row>
    <row r="1191" spans="19:20" x14ac:dyDescent="0.3">
      <c r="S1191" s="5">
        <v>1188</v>
      </c>
      <c r="T1191" s="6">
        <v>1</v>
      </c>
    </row>
    <row r="1192" spans="19:20" x14ac:dyDescent="0.3">
      <c r="S1192" s="5">
        <v>1189</v>
      </c>
      <c r="T1192" s="6">
        <v>1</v>
      </c>
    </row>
    <row r="1193" spans="19:20" x14ac:dyDescent="0.3">
      <c r="S1193" s="5">
        <v>1190</v>
      </c>
      <c r="T1193" s="6">
        <v>1</v>
      </c>
    </row>
    <row r="1194" spans="19:20" x14ac:dyDescent="0.3">
      <c r="S1194" s="5">
        <v>1191</v>
      </c>
      <c r="T1194" s="6">
        <v>1</v>
      </c>
    </row>
    <row r="1195" spans="19:20" x14ac:dyDescent="0.3">
      <c r="S1195" s="5">
        <v>1192</v>
      </c>
      <c r="T1195" s="6">
        <v>1</v>
      </c>
    </row>
    <row r="1196" spans="19:20" x14ac:dyDescent="0.3">
      <c r="S1196" s="5">
        <v>1193</v>
      </c>
      <c r="T1196" s="6">
        <v>1</v>
      </c>
    </row>
    <row r="1197" spans="19:20" x14ac:dyDescent="0.3">
      <c r="S1197" s="5">
        <v>1194</v>
      </c>
      <c r="T1197" s="6">
        <v>1</v>
      </c>
    </row>
    <row r="1198" spans="19:20" x14ac:dyDescent="0.3">
      <c r="S1198" s="5">
        <v>1195</v>
      </c>
      <c r="T1198" s="6">
        <v>1</v>
      </c>
    </row>
    <row r="1199" spans="19:20" x14ac:dyDescent="0.3">
      <c r="S1199" s="5">
        <v>1196</v>
      </c>
      <c r="T1199" s="6">
        <v>1</v>
      </c>
    </row>
    <row r="1200" spans="19:20" x14ac:dyDescent="0.3">
      <c r="S1200" s="5">
        <v>1197</v>
      </c>
      <c r="T1200" s="6">
        <v>1</v>
      </c>
    </row>
    <row r="1201" spans="19:20" x14ac:dyDescent="0.3">
      <c r="S1201" s="5">
        <v>1198</v>
      </c>
      <c r="T1201" s="6">
        <v>1</v>
      </c>
    </row>
    <row r="1202" spans="19:20" x14ac:dyDescent="0.3">
      <c r="S1202" s="5">
        <v>1199</v>
      </c>
      <c r="T1202" s="6">
        <v>1</v>
      </c>
    </row>
    <row r="1203" spans="19:20" x14ac:dyDescent="0.3">
      <c r="S1203" s="5">
        <v>1200</v>
      </c>
      <c r="T1203" s="6">
        <v>1</v>
      </c>
    </row>
    <row r="1204" spans="19:20" x14ac:dyDescent="0.3">
      <c r="S1204" s="5">
        <v>1201</v>
      </c>
      <c r="T1204" s="6">
        <v>1</v>
      </c>
    </row>
    <row r="1205" spans="19:20" x14ac:dyDescent="0.3">
      <c r="S1205" s="5">
        <v>1202</v>
      </c>
      <c r="T1205" s="6">
        <v>1</v>
      </c>
    </row>
    <row r="1206" spans="19:20" x14ac:dyDescent="0.3">
      <c r="S1206" s="5">
        <v>1203</v>
      </c>
      <c r="T1206" s="6">
        <v>1</v>
      </c>
    </row>
    <row r="1207" spans="19:20" x14ac:dyDescent="0.3">
      <c r="S1207" s="5">
        <v>1204</v>
      </c>
      <c r="T1207" s="6">
        <v>1</v>
      </c>
    </row>
    <row r="1208" spans="19:20" x14ac:dyDescent="0.3">
      <c r="S1208" s="5">
        <v>1205</v>
      </c>
      <c r="T1208" s="6">
        <v>1</v>
      </c>
    </row>
    <row r="1209" spans="19:20" x14ac:dyDescent="0.3">
      <c r="S1209" s="5">
        <v>1206</v>
      </c>
      <c r="T1209" s="6">
        <v>1</v>
      </c>
    </row>
    <row r="1210" spans="19:20" x14ac:dyDescent="0.3">
      <c r="S1210" s="5">
        <v>1207</v>
      </c>
      <c r="T1210" s="6">
        <v>1</v>
      </c>
    </row>
    <row r="1211" spans="19:20" x14ac:dyDescent="0.3">
      <c r="S1211" s="5">
        <v>1208</v>
      </c>
      <c r="T1211" s="6">
        <v>1</v>
      </c>
    </row>
    <row r="1212" spans="19:20" x14ac:dyDescent="0.3">
      <c r="S1212" s="5">
        <v>1209</v>
      </c>
      <c r="T1212" s="6">
        <v>1</v>
      </c>
    </row>
    <row r="1213" spans="19:20" x14ac:dyDescent="0.3">
      <c r="S1213" s="5">
        <v>1210</v>
      </c>
      <c r="T1213" s="6">
        <v>1</v>
      </c>
    </row>
    <row r="1214" spans="19:20" x14ac:dyDescent="0.3">
      <c r="S1214" s="5">
        <v>1211</v>
      </c>
      <c r="T1214" s="6">
        <v>1</v>
      </c>
    </row>
    <row r="1215" spans="19:20" x14ac:dyDescent="0.3">
      <c r="S1215" s="5">
        <v>1212</v>
      </c>
      <c r="T1215" s="6">
        <v>1</v>
      </c>
    </row>
    <row r="1216" spans="19:20" x14ac:dyDescent="0.3">
      <c r="S1216" s="5">
        <v>1213</v>
      </c>
      <c r="T1216" s="6">
        <v>1</v>
      </c>
    </row>
    <row r="1217" spans="19:20" x14ac:dyDescent="0.3">
      <c r="S1217" s="5">
        <v>1214</v>
      </c>
      <c r="T1217" s="6">
        <v>1</v>
      </c>
    </row>
    <row r="1218" spans="19:20" x14ac:dyDescent="0.3">
      <c r="S1218" s="5">
        <v>1215</v>
      </c>
      <c r="T1218" s="6">
        <v>1</v>
      </c>
    </row>
    <row r="1219" spans="19:20" x14ac:dyDescent="0.3">
      <c r="S1219" s="5">
        <v>1216</v>
      </c>
      <c r="T1219" s="6">
        <v>1</v>
      </c>
    </row>
    <row r="1220" spans="19:20" x14ac:dyDescent="0.3">
      <c r="S1220" s="5">
        <v>1217</v>
      </c>
      <c r="T1220" s="6">
        <v>1</v>
      </c>
    </row>
    <row r="1221" spans="19:20" x14ac:dyDescent="0.3">
      <c r="S1221" s="5">
        <v>1218</v>
      </c>
      <c r="T1221" s="6">
        <v>1</v>
      </c>
    </row>
    <row r="1222" spans="19:20" x14ac:dyDescent="0.3">
      <c r="S1222" s="5">
        <v>1219</v>
      </c>
      <c r="T1222" s="6">
        <v>1</v>
      </c>
    </row>
    <row r="1223" spans="19:20" x14ac:dyDescent="0.3">
      <c r="S1223" s="5">
        <v>1220</v>
      </c>
      <c r="T1223" s="6">
        <v>1</v>
      </c>
    </row>
    <row r="1224" spans="19:20" x14ac:dyDescent="0.3">
      <c r="S1224" s="5">
        <v>1221</v>
      </c>
      <c r="T1224" s="6">
        <v>1</v>
      </c>
    </row>
    <row r="1225" spans="19:20" x14ac:dyDescent="0.3">
      <c r="S1225" s="5">
        <v>1222</v>
      </c>
      <c r="T1225" s="6">
        <v>1</v>
      </c>
    </row>
    <row r="1226" spans="19:20" x14ac:dyDescent="0.3">
      <c r="S1226" s="5">
        <v>1223</v>
      </c>
      <c r="T1226" s="6">
        <v>1</v>
      </c>
    </row>
    <row r="1227" spans="19:20" x14ac:dyDescent="0.3">
      <c r="S1227" s="5">
        <v>1224</v>
      </c>
      <c r="T1227" s="6">
        <v>1</v>
      </c>
    </row>
    <row r="1228" spans="19:20" x14ac:dyDescent="0.3">
      <c r="S1228" s="5">
        <v>1225</v>
      </c>
      <c r="T1228" s="6">
        <v>1</v>
      </c>
    </row>
    <row r="1229" spans="19:20" x14ac:dyDescent="0.3">
      <c r="S1229" s="5">
        <v>1226</v>
      </c>
      <c r="T1229" s="6">
        <v>1</v>
      </c>
    </row>
    <row r="1230" spans="19:20" x14ac:dyDescent="0.3">
      <c r="S1230" s="5">
        <v>1227</v>
      </c>
      <c r="T1230" s="6">
        <v>1</v>
      </c>
    </row>
    <row r="1231" spans="19:20" x14ac:dyDescent="0.3">
      <c r="S1231" s="5">
        <v>1228</v>
      </c>
      <c r="T1231" s="6">
        <v>1</v>
      </c>
    </row>
    <row r="1232" spans="19:20" x14ac:dyDescent="0.3">
      <c r="S1232" s="5">
        <v>1229</v>
      </c>
      <c r="T1232" s="6">
        <v>1</v>
      </c>
    </row>
    <row r="1233" spans="19:20" x14ac:dyDescent="0.3">
      <c r="S1233" s="5">
        <v>1230</v>
      </c>
      <c r="T1233" s="6">
        <v>1</v>
      </c>
    </row>
    <row r="1234" spans="19:20" x14ac:dyDescent="0.3">
      <c r="S1234" s="5">
        <v>1231</v>
      </c>
      <c r="T1234" s="6">
        <v>1</v>
      </c>
    </row>
    <row r="1235" spans="19:20" x14ac:dyDescent="0.3">
      <c r="S1235" s="5">
        <v>1232</v>
      </c>
      <c r="T1235" s="6">
        <v>1</v>
      </c>
    </row>
    <row r="1236" spans="19:20" x14ac:dyDescent="0.3">
      <c r="S1236" s="5">
        <v>1233</v>
      </c>
      <c r="T1236" s="6">
        <v>1</v>
      </c>
    </row>
    <row r="1237" spans="19:20" x14ac:dyDescent="0.3">
      <c r="S1237" s="5">
        <v>1234</v>
      </c>
      <c r="T1237" s="6">
        <v>1</v>
      </c>
    </row>
    <row r="1238" spans="19:20" x14ac:dyDescent="0.3">
      <c r="S1238" s="5">
        <v>1235</v>
      </c>
      <c r="T1238" s="6">
        <v>1</v>
      </c>
    </row>
    <row r="1239" spans="19:20" x14ac:dyDescent="0.3">
      <c r="S1239" s="5">
        <v>1236</v>
      </c>
      <c r="T1239" s="6">
        <v>1</v>
      </c>
    </row>
    <row r="1240" spans="19:20" x14ac:dyDescent="0.3">
      <c r="S1240" s="5">
        <v>1237</v>
      </c>
      <c r="T1240" s="6">
        <v>1</v>
      </c>
    </row>
    <row r="1241" spans="19:20" x14ac:dyDescent="0.3">
      <c r="S1241" s="5">
        <v>1238</v>
      </c>
      <c r="T1241" s="6">
        <v>1</v>
      </c>
    </row>
    <row r="1242" spans="19:20" x14ac:dyDescent="0.3">
      <c r="S1242" s="5">
        <v>1239</v>
      </c>
      <c r="T1242" s="6">
        <v>1</v>
      </c>
    </row>
    <row r="1243" spans="19:20" x14ac:dyDescent="0.3">
      <c r="S1243" s="5">
        <v>1240</v>
      </c>
      <c r="T1243" s="6">
        <v>1</v>
      </c>
    </row>
    <row r="1244" spans="19:20" x14ac:dyDescent="0.3">
      <c r="S1244" s="5">
        <v>1241</v>
      </c>
      <c r="T1244" s="6">
        <v>1</v>
      </c>
    </row>
    <row r="1245" spans="19:20" x14ac:dyDescent="0.3">
      <c r="S1245" s="5">
        <v>1242</v>
      </c>
      <c r="T1245" s="6">
        <v>1</v>
      </c>
    </row>
    <row r="1246" spans="19:20" x14ac:dyDescent="0.3">
      <c r="S1246" s="5">
        <v>1243</v>
      </c>
      <c r="T1246" s="6">
        <v>1</v>
      </c>
    </row>
    <row r="1247" spans="19:20" x14ac:dyDescent="0.3">
      <c r="S1247" s="5">
        <v>1244</v>
      </c>
      <c r="T1247" s="6">
        <v>1</v>
      </c>
    </row>
    <row r="1248" spans="19:20" x14ac:dyDescent="0.3">
      <c r="S1248" s="5">
        <v>1245</v>
      </c>
      <c r="T1248" s="6">
        <v>1</v>
      </c>
    </row>
    <row r="1249" spans="19:20" x14ac:dyDescent="0.3">
      <c r="S1249" s="5">
        <v>1246</v>
      </c>
      <c r="T1249" s="6">
        <v>1</v>
      </c>
    </row>
    <row r="1250" spans="19:20" x14ac:dyDescent="0.3">
      <c r="S1250" s="5">
        <v>1247</v>
      </c>
      <c r="T1250" s="6">
        <v>1</v>
      </c>
    </row>
    <row r="1251" spans="19:20" x14ac:dyDescent="0.3">
      <c r="S1251" s="5">
        <v>1248</v>
      </c>
      <c r="T1251" s="6">
        <v>1</v>
      </c>
    </row>
    <row r="1252" spans="19:20" x14ac:dyDescent="0.3">
      <c r="S1252" s="5">
        <v>1249</v>
      </c>
      <c r="T1252" s="6">
        <v>1</v>
      </c>
    </row>
    <row r="1253" spans="19:20" x14ac:dyDescent="0.3">
      <c r="S1253" s="5">
        <v>1250</v>
      </c>
      <c r="T1253" s="6">
        <v>1</v>
      </c>
    </row>
    <row r="1254" spans="19:20" x14ac:dyDescent="0.3">
      <c r="S1254" s="5">
        <v>1251</v>
      </c>
      <c r="T1254" s="6">
        <v>1</v>
      </c>
    </row>
    <row r="1255" spans="19:20" x14ac:dyDescent="0.3">
      <c r="S1255" s="5">
        <v>1252</v>
      </c>
      <c r="T1255" s="6">
        <v>1</v>
      </c>
    </row>
    <row r="1256" spans="19:20" x14ac:dyDescent="0.3">
      <c r="S1256" s="5">
        <v>1253</v>
      </c>
      <c r="T1256" s="6">
        <v>1</v>
      </c>
    </row>
    <row r="1257" spans="19:20" x14ac:dyDescent="0.3">
      <c r="S1257" s="5">
        <v>1254</v>
      </c>
      <c r="T1257" s="6">
        <v>1</v>
      </c>
    </row>
    <row r="1258" spans="19:20" x14ac:dyDescent="0.3">
      <c r="S1258" s="5">
        <v>1255</v>
      </c>
      <c r="T1258" s="6">
        <v>1</v>
      </c>
    </row>
    <row r="1259" spans="19:20" x14ac:dyDescent="0.3">
      <c r="S1259" s="5">
        <v>1256</v>
      </c>
      <c r="T1259" s="6">
        <v>1</v>
      </c>
    </row>
    <row r="1260" spans="19:20" x14ac:dyDescent="0.3">
      <c r="S1260" s="5">
        <v>1257</v>
      </c>
      <c r="T1260" s="6">
        <v>1</v>
      </c>
    </row>
    <row r="1261" spans="19:20" x14ac:dyDescent="0.3">
      <c r="S1261" s="5">
        <v>1258</v>
      </c>
      <c r="T1261" s="6">
        <v>1</v>
      </c>
    </row>
    <row r="1262" spans="19:20" x14ac:dyDescent="0.3">
      <c r="S1262" s="5">
        <v>1259</v>
      </c>
      <c r="T1262" s="6">
        <v>1</v>
      </c>
    </row>
    <row r="1263" spans="19:20" x14ac:dyDescent="0.3">
      <c r="S1263" s="5">
        <v>1260</v>
      </c>
      <c r="T1263" s="6">
        <v>1</v>
      </c>
    </row>
    <row r="1264" spans="19:20" x14ac:dyDescent="0.3">
      <c r="S1264" s="5">
        <v>1261</v>
      </c>
      <c r="T1264" s="6">
        <v>1</v>
      </c>
    </row>
    <row r="1265" spans="19:20" x14ac:dyDescent="0.3">
      <c r="S1265" s="5">
        <v>1262</v>
      </c>
      <c r="T1265" s="6">
        <v>1</v>
      </c>
    </row>
    <row r="1266" spans="19:20" x14ac:dyDescent="0.3">
      <c r="S1266" s="5">
        <v>1263</v>
      </c>
      <c r="T1266" s="6">
        <v>1</v>
      </c>
    </row>
    <row r="1267" spans="19:20" x14ac:dyDescent="0.3">
      <c r="S1267" s="5">
        <v>1264</v>
      </c>
      <c r="T1267" s="6">
        <v>1</v>
      </c>
    </row>
    <row r="1268" spans="19:20" x14ac:dyDescent="0.3">
      <c r="S1268" s="5">
        <v>1265</v>
      </c>
      <c r="T1268" s="6">
        <v>1</v>
      </c>
    </row>
    <row r="1269" spans="19:20" x14ac:dyDescent="0.3">
      <c r="S1269" s="5">
        <v>1266</v>
      </c>
      <c r="T1269" s="6">
        <v>1</v>
      </c>
    </row>
    <row r="1270" spans="19:20" x14ac:dyDescent="0.3">
      <c r="S1270" s="5">
        <v>1267</v>
      </c>
      <c r="T1270" s="6">
        <v>1</v>
      </c>
    </row>
    <row r="1271" spans="19:20" x14ac:dyDescent="0.3">
      <c r="S1271" s="5">
        <v>1268</v>
      </c>
      <c r="T1271" s="6">
        <v>1</v>
      </c>
    </row>
    <row r="1272" spans="19:20" x14ac:dyDescent="0.3">
      <c r="S1272" s="5">
        <v>1269</v>
      </c>
      <c r="T1272" s="6">
        <v>1</v>
      </c>
    </row>
    <row r="1273" spans="19:20" x14ac:dyDescent="0.3">
      <c r="S1273" s="5">
        <v>1270</v>
      </c>
      <c r="T1273" s="6">
        <v>1</v>
      </c>
    </row>
    <row r="1274" spans="19:20" x14ac:dyDescent="0.3">
      <c r="S1274" s="5">
        <v>1271</v>
      </c>
      <c r="T1274" s="6">
        <v>1</v>
      </c>
    </row>
    <row r="1275" spans="19:20" x14ac:dyDescent="0.3">
      <c r="S1275" s="5">
        <v>1272</v>
      </c>
      <c r="T1275" s="6">
        <v>1</v>
      </c>
    </row>
    <row r="1276" spans="19:20" x14ac:dyDescent="0.3">
      <c r="S1276" s="5">
        <v>1273</v>
      </c>
      <c r="T1276" s="6">
        <v>1</v>
      </c>
    </row>
    <row r="1277" spans="19:20" x14ac:dyDescent="0.3">
      <c r="S1277" s="5">
        <v>1274</v>
      </c>
      <c r="T1277" s="6">
        <v>1</v>
      </c>
    </row>
    <row r="1278" spans="19:20" x14ac:dyDescent="0.3">
      <c r="S1278" s="5">
        <v>1275</v>
      </c>
      <c r="T1278" s="6">
        <v>1</v>
      </c>
    </row>
    <row r="1279" spans="19:20" x14ac:dyDescent="0.3">
      <c r="S1279" s="5">
        <v>1276</v>
      </c>
      <c r="T1279" s="6">
        <v>1</v>
      </c>
    </row>
    <row r="1280" spans="19:20" x14ac:dyDescent="0.3">
      <c r="S1280" s="5">
        <v>1277</v>
      </c>
      <c r="T1280" s="6">
        <v>1</v>
      </c>
    </row>
    <row r="1281" spans="19:20" x14ac:dyDescent="0.3">
      <c r="S1281" s="5">
        <v>1278</v>
      </c>
      <c r="T1281" s="6">
        <v>1</v>
      </c>
    </row>
    <row r="1282" spans="19:20" x14ac:dyDescent="0.3">
      <c r="S1282" s="5">
        <v>1279</v>
      </c>
      <c r="T1282" s="6">
        <v>1</v>
      </c>
    </row>
    <row r="1283" spans="19:20" x14ac:dyDescent="0.3">
      <c r="S1283" s="5">
        <v>1280</v>
      </c>
      <c r="T1283" s="6">
        <v>1</v>
      </c>
    </row>
    <row r="1284" spans="19:20" x14ac:dyDescent="0.3">
      <c r="S1284" s="5">
        <v>1281</v>
      </c>
      <c r="T1284" s="6">
        <v>1</v>
      </c>
    </row>
    <row r="1285" spans="19:20" x14ac:dyDescent="0.3">
      <c r="S1285" s="5">
        <v>1282</v>
      </c>
      <c r="T1285" s="6">
        <v>1</v>
      </c>
    </row>
    <row r="1286" spans="19:20" x14ac:dyDescent="0.3">
      <c r="S1286" s="5">
        <v>1283</v>
      </c>
      <c r="T1286" s="6">
        <v>1</v>
      </c>
    </row>
    <row r="1287" spans="19:20" x14ac:dyDescent="0.3">
      <c r="S1287" s="5">
        <v>1284</v>
      </c>
      <c r="T1287" s="6">
        <v>1</v>
      </c>
    </row>
    <row r="1288" spans="19:20" x14ac:dyDescent="0.3">
      <c r="S1288" s="5">
        <v>1285</v>
      </c>
      <c r="T1288" s="6">
        <v>1</v>
      </c>
    </row>
    <row r="1289" spans="19:20" x14ac:dyDescent="0.3">
      <c r="S1289" s="5">
        <v>1286</v>
      </c>
      <c r="T1289" s="6">
        <v>1</v>
      </c>
    </row>
    <row r="1290" spans="19:20" x14ac:dyDescent="0.3">
      <c r="S1290" s="5">
        <v>1287</v>
      </c>
      <c r="T1290" s="6">
        <v>1</v>
      </c>
    </row>
    <row r="1291" spans="19:20" x14ac:dyDescent="0.3">
      <c r="S1291" s="5">
        <v>1288</v>
      </c>
      <c r="T1291" s="6">
        <v>1</v>
      </c>
    </row>
    <row r="1292" spans="19:20" x14ac:dyDescent="0.3">
      <c r="S1292" s="5">
        <v>1289</v>
      </c>
      <c r="T1292" s="6">
        <v>1</v>
      </c>
    </row>
    <row r="1293" spans="19:20" x14ac:dyDescent="0.3">
      <c r="S1293" s="5">
        <v>1290</v>
      </c>
      <c r="T1293" s="6">
        <v>1</v>
      </c>
    </row>
    <row r="1294" spans="19:20" x14ac:dyDescent="0.3">
      <c r="S1294" s="5">
        <v>1291</v>
      </c>
      <c r="T1294" s="6">
        <v>1</v>
      </c>
    </row>
    <row r="1295" spans="19:20" x14ac:dyDescent="0.3">
      <c r="S1295" s="5">
        <v>1292</v>
      </c>
      <c r="T1295" s="6">
        <v>1</v>
      </c>
    </row>
    <row r="1296" spans="19:20" x14ac:dyDescent="0.3">
      <c r="S1296" s="5">
        <v>1293</v>
      </c>
      <c r="T1296" s="6">
        <v>1</v>
      </c>
    </row>
    <row r="1297" spans="19:20" x14ac:dyDescent="0.3">
      <c r="S1297" s="5">
        <v>1294</v>
      </c>
      <c r="T1297" s="6">
        <v>1</v>
      </c>
    </row>
    <row r="1298" spans="19:20" x14ac:dyDescent="0.3">
      <c r="S1298" s="5">
        <v>1295</v>
      </c>
      <c r="T1298" s="6">
        <v>1</v>
      </c>
    </row>
    <row r="1299" spans="19:20" x14ac:dyDescent="0.3">
      <c r="S1299" s="5">
        <v>1296</v>
      </c>
      <c r="T1299" s="6">
        <v>1</v>
      </c>
    </row>
    <row r="1300" spans="19:20" x14ac:dyDescent="0.3">
      <c r="S1300" s="5">
        <v>1297</v>
      </c>
      <c r="T1300" s="6">
        <v>1</v>
      </c>
    </row>
    <row r="1301" spans="19:20" x14ac:dyDescent="0.3">
      <c r="S1301" s="5">
        <v>1298</v>
      </c>
      <c r="T1301" s="6">
        <v>1</v>
      </c>
    </row>
    <row r="1302" spans="19:20" x14ac:dyDescent="0.3">
      <c r="S1302" s="5">
        <v>1299</v>
      </c>
      <c r="T1302" s="6">
        <v>1</v>
      </c>
    </row>
    <row r="1303" spans="19:20" x14ac:dyDescent="0.3">
      <c r="S1303" s="5">
        <v>1300</v>
      </c>
      <c r="T1303" s="6">
        <v>1</v>
      </c>
    </row>
    <row r="1304" spans="19:20" x14ac:dyDescent="0.3">
      <c r="S1304" s="5">
        <v>1301</v>
      </c>
      <c r="T1304" s="6">
        <v>1</v>
      </c>
    </row>
    <row r="1305" spans="19:20" x14ac:dyDescent="0.3">
      <c r="S1305" s="5">
        <v>1302</v>
      </c>
      <c r="T1305" s="6">
        <v>1</v>
      </c>
    </row>
    <row r="1306" spans="19:20" x14ac:dyDescent="0.3">
      <c r="S1306" s="5">
        <v>1303</v>
      </c>
      <c r="T1306" s="6">
        <v>1</v>
      </c>
    </row>
    <row r="1307" spans="19:20" x14ac:dyDescent="0.3">
      <c r="S1307" s="5">
        <v>1304</v>
      </c>
      <c r="T1307" s="6">
        <v>1</v>
      </c>
    </row>
    <row r="1308" spans="19:20" x14ac:dyDescent="0.3">
      <c r="S1308" s="5">
        <v>1305</v>
      </c>
      <c r="T1308" s="6">
        <v>1</v>
      </c>
    </row>
    <row r="1309" spans="19:20" x14ac:dyDescent="0.3">
      <c r="S1309" s="5">
        <v>1306</v>
      </c>
      <c r="T1309" s="6">
        <v>1</v>
      </c>
    </row>
    <row r="1310" spans="19:20" x14ac:dyDescent="0.3">
      <c r="S1310" s="5">
        <v>1307</v>
      </c>
      <c r="T1310" s="6">
        <v>1</v>
      </c>
    </row>
    <row r="1311" spans="19:20" x14ac:dyDescent="0.3">
      <c r="S1311" s="5">
        <v>1308</v>
      </c>
      <c r="T1311" s="6">
        <v>1</v>
      </c>
    </row>
    <row r="1312" spans="19:20" x14ac:dyDescent="0.3">
      <c r="S1312" s="5">
        <v>1309</v>
      </c>
      <c r="T1312" s="6">
        <v>1</v>
      </c>
    </row>
    <row r="1313" spans="19:20" x14ac:dyDescent="0.3">
      <c r="S1313" s="5">
        <v>1310</v>
      </c>
      <c r="T1313" s="6">
        <v>1</v>
      </c>
    </row>
    <row r="1314" spans="19:20" x14ac:dyDescent="0.3">
      <c r="S1314" s="5">
        <v>1311</v>
      </c>
      <c r="T1314" s="6">
        <v>1</v>
      </c>
    </row>
    <row r="1315" spans="19:20" x14ac:dyDescent="0.3">
      <c r="S1315" s="5">
        <v>1312</v>
      </c>
      <c r="T1315" s="6">
        <v>1</v>
      </c>
    </row>
    <row r="1316" spans="19:20" x14ac:dyDescent="0.3">
      <c r="S1316" s="5">
        <v>1313</v>
      </c>
      <c r="T1316" s="6">
        <v>1</v>
      </c>
    </row>
    <row r="1317" spans="19:20" x14ac:dyDescent="0.3">
      <c r="S1317" s="5">
        <v>1314</v>
      </c>
      <c r="T1317" s="6">
        <v>1</v>
      </c>
    </row>
    <row r="1318" spans="19:20" x14ac:dyDescent="0.3">
      <c r="S1318" s="5">
        <v>1315</v>
      </c>
      <c r="T1318" s="6">
        <v>1</v>
      </c>
    </row>
    <row r="1319" spans="19:20" x14ac:dyDescent="0.3">
      <c r="S1319" s="5">
        <v>1316</v>
      </c>
      <c r="T1319" s="6">
        <v>1</v>
      </c>
    </row>
    <row r="1320" spans="19:20" x14ac:dyDescent="0.3">
      <c r="S1320" s="5">
        <v>1317</v>
      </c>
      <c r="T1320" s="6">
        <v>1</v>
      </c>
    </row>
    <row r="1321" spans="19:20" x14ac:dyDescent="0.3">
      <c r="S1321" s="5">
        <v>1318</v>
      </c>
      <c r="T1321" s="6">
        <v>1</v>
      </c>
    </row>
    <row r="1322" spans="19:20" x14ac:dyDescent="0.3">
      <c r="S1322" s="5">
        <v>1319</v>
      </c>
      <c r="T1322" s="6">
        <v>1</v>
      </c>
    </row>
    <row r="1323" spans="19:20" x14ac:dyDescent="0.3">
      <c r="S1323" s="5">
        <v>1320</v>
      </c>
      <c r="T1323" s="6">
        <v>1</v>
      </c>
    </row>
    <row r="1324" spans="19:20" x14ac:dyDescent="0.3">
      <c r="S1324" s="5">
        <v>1321</v>
      </c>
      <c r="T1324" s="6">
        <v>1</v>
      </c>
    </row>
    <row r="1325" spans="19:20" x14ac:dyDescent="0.3">
      <c r="S1325" s="5">
        <v>1322</v>
      </c>
      <c r="T1325" s="6">
        <v>1</v>
      </c>
    </row>
    <row r="1326" spans="19:20" x14ac:dyDescent="0.3">
      <c r="S1326" s="5">
        <v>1323</v>
      </c>
      <c r="T1326" s="6">
        <v>1</v>
      </c>
    </row>
    <row r="1327" spans="19:20" x14ac:dyDescent="0.3">
      <c r="S1327" s="5">
        <v>1324</v>
      </c>
      <c r="T1327" s="6">
        <v>1</v>
      </c>
    </row>
    <row r="1328" spans="19:20" x14ac:dyDescent="0.3">
      <c r="S1328" s="5">
        <v>1325</v>
      </c>
      <c r="T1328" s="6">
        <v>1</v>
      </c>
    </row>
    <row r="1329" spans="19:20" x14ac:dyDescent="0.3">
      <c r="S1329" s="5">
        <v>1326</v>
      </c>
      <c r="T1329" s="6">
        <v>1</v>
      </c>
    </row>
    <row r="1330" spans="19:20" x14ac:dyDescent="0.3">
      <c r="S1330" s="5">
        <v>1327</v>
      </c>
      <c r="T1330" s="6">
        <v>1</v>
      </c>
    </row>
    <row r="1331" spans="19:20" x14ac:dyDescent="0.3">
      <c r="S1331" s="5">
        <v>1328</v>
      </c>
      <c r="T1331" s="6">
        <v>1</v>
      </c>
    </row>
    <row r="1332" spans="19:20" x14ac:dyDescent="0.3">
      <c r="S1332" s="5">
        <v>1329</v>
      </c>
      <c r="T1332" s="6">
        <v>1</v>
      </c>
    </row>
    <row r="1333" spans="19:20" x14ac:dyDescent="0.3">
      <c r="S1333" s="5">
        <v>1330</v>
      </c>
      <c r="T1333" s="6">
        <v>1</v>
      </c>
    </row>
    <row r="1334" spans="19:20" x14ac:dyDescent="0.3">
      <c r="S1334" s="5">
        <v>1331</v>
      </c>
      <c r="T1334" s="6">
        <v>1</v>
      </c>
    </row>
    <row r="1335" spans="19:20" x14ac:dyDescent="0.3">
      <c r="S1335" s="5">
        <v>1332</v>
      </c>
      <c r="T1335" s="6">
        <v>1</v>
      </c>
    </row>
    <row r="1336" spans="19:20" x14ac:dyDescent="0.3">
      <c r="S1336" s="5">
        <v>1333</v>
      </c>
      <c r="T1336" s="6">
        <v>1</v>
      </c>
    </row>
    <row r="1337" spans="19:20" x14ac:dyDescent="0.3">
      <c r="S1337" s="5">
        <v>1334</v>
      </c>
      <c r="T1337" s="6">
        <v>1</v>
      </c>
    </row>
    <row r="1338" spans="19:20" x14ac:dyDescent="0.3">
      <c r="S1338" s="5">
        <v>1335</v>
      </c>
      <c r="T1338" s="6">
        <v>1</v>
      </c>
    </row>
    <row r="1339" spans="19:20" x14ac:dyDescent="0.3">
      <c r="S1339" s="5">
        <v>1336</v>
      </c>
      <c r="T1339" s="6">
        <v>1</v>
      </c>
    </row>
    <row r="1340" spans="19:20" x14ac:dyDescent="0.3">
      <c r="S1340" s="5">
        <v>1337</v>
      </c>
      <c r="T1340" s="6">
        <v>1</v>
      </c>
    </row>
    <row r="1341" spans="19:20" x14ac:dyDescent="0.3">
      <c r="S1341" s="5">
        <v>1338</v>
      </c>
      <c r="T1341" s="6">
        <v>1</v>
      </c>
    </row>
    <row r="1342" spans="19:20" x14ac:dyDescent="0.3">
      <c r="S1342" s="5">
        <v>1339</v>
      </c>
      <c r="T1342" s="6">
        <v>1</v>
      </c>
    </row>
    <row r="1343" spans="19:20" x14ac:dyDescent="0.3">
      <c r="S1343" s="5">
        <v>1340</v>
      </c>
      <c r="T1343" s="6">
        <v>1</v>
      </c>
    </row>
    <row r="1344" spans="19:20" x14ac:dyDescent="0.3">
      <c r="S1344" s="5">
        <v>1341</v>
      </c>
      <c r="T1344" s="6">
        <v>1</v>
      </c>
    </row>
    <row r="1345" spans="19:20" x14ac:dyDescent="0.3">
      <c r="S1345" s="5">
        <v>1342</v>
      </c>
      <c r="T1345" s="6">
        <v>1</v>
      </c>
    </row>
    <row r="1346" spans="19:20" x14ac:dyDescent="0.3">
      <c r="S1346" s="5">
        <v>1343</v>
      </c>
      <c r="T1346" s="6">
        <v>1</v>
      </c>
    </row>
    <row r="1347" spans="19:20" x14ac:dyDescent="0.3">
      <c r="S1347" s="5">
        <v>1344</v>
      </c>
      <c r="T1347" s="6">
        <v>1</v>
      </c>
    </row>
    <row r="1348" spans="19:20" x14ac:dyDescent="0.3">
      <c r="S1348" s="5">
        <v>1345</v>
      </c>
      <c r="T1348" s="6">
        <v>1</v>
      </c>
    </row>
    <row r="1349" spans="19:20" x14ac:dyDescent="0.3">
      <c r="S1349" s="5">
        <v>1346</v>
      </c>
      <c r="T1349" s="6">
        <v>1</v>
      </c>
    </row>
    <row r="1350" spans="19:20" x14ac:dyDescent="0.3">
      <c r="S1350" s="5">
        <v>1347</v>
      </c>
      <c r="T1350" s="6">
        <v>1</v>
      </c>
    </row>
    <row r="1351" spans="19:20" x14ac:dyDescent="0.3">
      <c r="S1351" s="5">
        <v>1348</v>
      </c>
      <c r="T1351" s="6">
        <v>1</v>
      </c>
    </row>
    <row r="1352" spans="19:20" x14ac:dyDescent="0.3">
      <c r="S1352" s="5">
        <v>1349</v>
      </c>
      <c r="T1352" s="6">
        <v>1</v>
      </c>
    </row>
    <row r="1353" spans="19:20" x14ac:dyDescent="0.3">
      <c r="S1353" s="5">
        <v>1350</v>
      </c>
      <c r="T1353" s="6">
        <v>1</v>
      </c>
    </row>
    <row r="1354" spans="19:20" x14ac:dyDescent="0.3">
      <c r="S1354" s="5">
        <v>1351</v>
      </c>
      <c r="T1354" s="6">
        <v>1</v>
      </c>
    </row>
    <row r="1355" spans="19:20" x14ac:dyDescent="0.3">
      <c r="S1355" s="5">
        <v>1352</v>
      </c>
      <c r="T1355" s="6">
        <v>1</v>
      </c>
    </row>
    <row r="1356" spans="19:20" x14ac:dyDescent="0.3">
      <c r="S1356" s="5">
        <v>1353</v>
      </c>
      <c r="T1356" s="6">
        <v>1</v>
      </c>
    </row>
    <row r="1357" spans="19:20" x14ac:dyDescent="0.3">
      <c r="S1357" s="5">
        <v>1354</v>
      </c>
      <c r="T1357" s="6">
        <v>1</v>
      </c>
    </row>
    <row r="1358" spans="19:20" x14ac:dyDescent="0.3">
      <c r="S1358" s="5">
        <v>1355</v>
      </c>
      <c r="T1358" s="6">
        <v>1</v>
      </c>
    </row>
    <row r="1359" spans="19:20" x14ac:dyDescent="0.3">
      <c r="S1359" s="5">
        <v>1356</v>
      </c>
      <c r="T1359" s="6">
        <v>1</v>
      </c>
    </row>
    <row r="1360" spans="19:20" x14ac:dyDescent="0.3">
      <c r="S1360" s="5">
        <v>1357</v>
      </c>
      <c r="T1360" s="6">
        <v>1</v>
      </c>
    </row>
    <row r="1361" spans="19:20" x14ac:dyDescent="0.3">
      <c r="S1361" s="5">
        <v>1358</v>
      </c>
      <c r="T1361" s="6">
        <v>1</v>
      </c>
    </row>
    <row r="1362" spans="19:20" x14ac:dyDescent="0.3">
      <c r="S1362" s="5">
        <v>1359</v>
      </c>
      <c r="T1362" s="6">
        <v>1</v>
      </c>
    </row>
    <row r="1363" spans="19:20" x14ac:dyDescent="0.3">
      <c r="S1363" s="5">
        <v>1360</v>
      </c>
      <c r="T1363" s="6">
        <v>1</v>
      </c>
    </row>
    <row r="1364" spans="19:20" x14ac:dyDescent="0.3">
      <c r="S1364" s="5">
        <v>1361</v>
      </c>
      <c r="T1364" s="6">
        <v>1</v>
      </c>
    </row>
    <row r="1365" spans="19:20" x14ac:dyDescent="0.3">
      <c r="S1365" s="5">
        <v>1362</v>
      </c>
      <c r="T1365" s="6">
        <v>1</v>
      </c>
    </row>
    <row r="1366" spans="19:20" x14ac:dyDescent="0.3">
      <c r="S1366" s="5">
        <v>1363</v>
      </c>
      <c r="T1366" s="6">
        <v>1</v>
      </c>
    </row>
    <row r="1367" spans="19:20" x14ac:dyDescent="0.3">
      <c r="S1367" s="5">
        <v>1364</v>
      </c>
      <c r="T1367" s="6">
        <v>1</v>
      </c>
    </row>
    <row r="1368" spans="19:20" x14ac:dyDescent="0.3">
      <c r="S1368" s="5">
        <v>1365</v>
      </c>
      <c r="T1368" s="6">
        <v>1</v>
      </c>
    </row>
    <row r="1369" spans="19:20" x14ac:dyDescent="0.3">
      <c r="S1369" s="5">
        <v>1366</v>
      </c>
      <c r="T1369" s="6">
        <v>1</v>
      </c>
    </row>
    <row r="1370" spans="19:20" x14ac:dyDescent="0.3">
      <c r="S1370" s="5">
        <v>1367</v>
      </c>
      <c r="T1370" s="6">
        <v>1</v>
      </c>
    </row>
    <row r="1371" spans="19:20" x14ac:dyDescent="0.3">
      <c r="S1371" s="5">
        <v>1368</v>
      </c>
      <c r="T1371" s="6">
        <v>1</v>
      </c>
    </row>
    <row r="1372" spans="19:20" x14ac:dyDescent="0.3">
      <c r="S1372" s="5">
        <v>1369</v>
      </c>
      <c r="T1372" s="6">
        <v>1</v>
      </c>
    </row>
    <row r="1373" spans="19:20" x14ac:dyDescent="0.3">
      <c r="S1373" s="5">
        <v>1370</v>
      </c>
      <c r="T1373" s="6">
        <v>1</v>
      </c>
    </row>
    <row r="1374" spans="19:20" x14ac:dyDescent="0.3">
      <c r="S1374" s="5">
        <v>1371</v>
      </c>
      <c r="T1374" s="6">
        <v>1</v>
      </c>
    </row>
    <row r="1375" spans="19:20" x14ac:dyDescent="0.3">
      <c r="S1375" s="5">
        <v>1372</v>
      </c>
      <c r="T1375" s="6">
        <v>1</v>
      </c>
    </row>
    <row r="1376" spans="19:20" x14ac:dyDescent="0.3">
      <c r="S1376" s="5">
        <v>1373</v>
      </c>
      <c r="T1376" s="6">
        <v>1</v>
      </c>
    </row>
    <row r="1377" spans="19:20" x14ac:dyDescent="0.3">
      <c r="S1377" s="5">
        <v>1374</v>
      </c>
      <c r="T1377" s="6">
        <v>1</v>
      </c>
    </row>
    <row r="1378" spans="19:20" x14ac:dyDescent="0.3">
      <c r="S1378" s="5">
        <v>1375</v>
      </c>
      <c r="T1378" s="6">
        <v>1</v>
      </c>
    </row>
    <row r="1379" spans="19:20" x14ac:dyDescent="0.3">
      <c r="S1379" s="5">
        <v>1376</v>
      </c>
      <c r="T1379" s="6">
        <v>1</v>
      </c>
    </row>
    <row r="1380" spans="19:20" x14ac:dyDescent="0.3">
      <c r="S1380" s="5">
        <v>1377</v>
      </c>
      <c r="T1380" s="6">
        <v>1</v>
      </c>
    </row>
    <row r="1381" spans="19:20" x14ac:dyDescent="0.3">
      <c r="S1381" s="5">
        <v>1378</v>
      </c>
      <c r="T1381" s="6">
        <v>1</v>
      </c>
    </row>
    <row r="1382" spans="19:20" x14ac:dyDescent="0.3">
      <c r="S1382" s="5">
        <v>1379</v>
      </c>
      <c r="T1382" s="6">
        <v>1</v>
      </c>
    </row>
    <row r="1383" spans="19:20" x14ac:dyDescent="0.3">
      <c r="S1383" s="5">
        <v>1380</v>
      </c>
      <c r="T1383" s="6">
        <v>1</v>
      </c>
    </row>
    <row r="1384" spans="19:20" x14ac:dyDescent="0.3">
      <c r="S1384" s="5">
        <v>1381</v>
      </c>
      <c r="T1384" s="6">
        <v>1</v>
      </c>
    </row>
    <row r="1385" spans="19:20" x14ac:dyDescent="0.3">
      <c r="S1385" s="5">
        <v>1382</v>
      </c>
      <c r="T1385" s="6">
        <v>1</v>
      </c>
    </row>
    <row r="1386" spans="19:20" x14ac:dyDescent="0.3">
      <c r="S1386" s="5">
        <v>1383</v>
      </c>
      <c r="T1386" s="6">
        <v>1</v>
      </c>
    </row>
    <row r="1387" spans="19:20" x14ac:dyDescent="0.3">
      <c r="S1387" s="5">
        <v>1384</v>
      </c>
      <c r="T1387" s="6">
        <v>1</v>
      </c>
    </row>
    <row r="1388" spans="19:20" x14ac:dyDescent="0.3">
      <c r="S1388" s="5">
        <v>1385</v>
      </c>
      <c r="T1388" s="6">
        <v>1</v>
      </c>
    </row>
    <row r="1389" spans="19:20" x14ac:dyDescent="0.3">
      <c r="S1389" s="5">
        <v>1386</v>
      </c>
      <c r="T1389" s="6">
        <v>1</v>
      </c>
    </row>
    <row r="1390" spans="19:20" x14ac:dyDescent="0.3">
      <c r="S1390" s="5">
        <v>1387</v>
      </c>
      <c r="T1390" s="6">
        <v>1</v>
      </c>
    </row>
    <row r="1391" spans="19:20" x14ac:dyDescent="0.3">
      <c r="S1391" s="5">
        <v>1388</v>
      </c>
      <c r="T1391" s="6">
        <v>1</v>
      </c>
    </row>
    <row r="1392" spans="19:20" x14ac:dyDescent="0.3">
      <c r="S1392" s="5">
        <v>1389</v>
      </c>
      <c r="T1392" s="6">
        <v>1</v>
      </c>
    </row>
    <row r="1393" spans="19:20" x14ac:dyDescent="0.3">
      <c r="S1393" s="5">
        <v>1390</v>
      </c>
      <c r="T1393" s="6">
        <v>1</v>
      </c>
    </row>
    <row r="1394" spans="19:20" x14ac:dyDescent="0.3">
      <c r="S1394" s="5">
        <v>1391</v>
      </c>
      <c r="T1394" s="6">
        <v>1</v>
      </c>
    </row>
    <row r="1395" spans="19:20" x14ac:dyDescent="0.3">
      <c r="S1395" s="5">
        <v>1392</v>
      </c>
      <c r="T1395" s="6">
        <v>1</v>
      </c>
    </row>
    <row r="1396" spans="19:20" x14ac:dyDescent="0.3">
      <c r="S1396" s="5">
        <v>1393</v>
      </c>
      <c r="T1396" s="6">
        <v>1</v>
      </c>
    </row>
    <row r="1397" spans="19:20" x14ac:dyDescent="0.3">
      <c r="S1397" s="5">
        <v>1394</v>
      </c>
      <c r="T1397" s="6">
        <v>1</v>
      </c>
    </row>
    <row r="1398" spans="19:20" x14ac:dyDescent="0.3">
      <c r="S1398" s="5">
        <v>1395</v>
      </c>
      <c r="T1398" s="6">
        <v>1</v>
      </c>
    </row>
    <row r="1399" spans="19:20" x14ac:dyDescent="0.3">
      <c r="S1399" s="5">
        <v>1396</v>
      </c>
      <c r="T1399" s="6">
        <v>1</v>
      </c>
    </row>
    <row r="1400" spans="19:20" x14ac:dyDescent="0.3">
      <c r="S1400" s="5">
        <v>1397</v>
      </c>
      <c r="T1400" s="6">
        <v>1</v>
      </c>
    </row>
    <row r="1401" spans="19:20" x14ac:dyDescent="0.3">
      <c r="S1401" s="5">
        <v>1398</v>
      </c>
      <c r="T1401" s="6">
        <v>1</v>
      </c>
    </row>
    <row r="1402" spans="19:20" x14ac:dyDescent="0.3">
      <c r="S1402" s="5">
        <v>1399</v>
      </c>
      <c r="T1402" s="6">
        <v>1</v>
      </c>
    </row>
    <row r="1403" spans="19:20" x14ac:dyDescent="0.3">
      <c r="S1403" s="5">
        <v>1400</v>
      </c>
      <c r="T1403" s="6">
        <v>1</v>
      </c>
    </row>
    <row r="1404" spans="19:20" x14ac:dyDescent="0.3">
      <c r="S1404" s="5">
        <v>1401</v>
      </c>
      <c r="T1404" s="6">
        <v>1</v>
      </c>
    </row>
    <row r="1405" spans="19:20" x14ac:dyDescent="0.3">
      <c r="S1405" s="5">
        <v>1402</v>
      </c>
      <c r="T1405" s="6">
        <v>1</v>
      </c>
    </row>
    <row r="1406" spans="19:20" x14ac:dyDescent="0.3">
      <c r="S1406" s="5">
        <v>1403</v>
      </c>
      <c r="T1406" s="6">
        <v>1</v>
      </c>
    </row>
    <row r="1407" spans="19:20" x14ac:dyDescent="0.3">
      <c r="S1407" s="5">
        <v>1404</v>
      </c>
      <c r="T1407" s="6">
        <v>1</v>
      </c>
    </row>
    <row r="1408" spans="19:20" x14ac:dyDescent="0.3">
      <c r="S1408" s="5">
        <v>1405</v>
      </c>
      <c r="T1408" s="6">
        <v>1</v>
      </c>
    </row>
    <row r="1409" spans="19:20" x14ac:dyDescent="0.3">
      <c r="S1409" s="5">
        <v>1406</v>
      </c>
      <c r="T1409" s="6">
        <v>1</v>
      </c>
    </row>
    <row r="1410" spans="19:20" x14ac:dyDescent="0.3">
      <c r="S1410" s="5">
        <v>1407</v>
      </c>
      <c r="T1410" s="6">
        <v>1</v>
      </c>
    </row>
    <row r="1411" spans="19:20" x14ac:dyDescent="0.3">
      <c r="S1411" s="5">
        <v>1408</v>
      </c>
      <c r="T1411" s="6">
        <v>1</v>
      </c>
    </row>
    <row r="1412" spans="19:20" x14ac:dyDescent="0.3">
      <c r="S1412" s="5">
        <v>1409</v>
      </c>
      <c r="T1412" s="6">
        <v>1</v>
      </c>
    </row>
    <row r="1413" spans="19:20" x14ac:dyDescent="0.3">
      <c r="S1413" s="5">
        <v>1410</v>
      </c>
      <c r="T1413" s="6">
        <v>1</v>
      </c>
    </row>
    <row r="1414" spans="19:20" x14ac:dyDescent="0.3">
      <c r="S1414" s="5">
        <v>1411</v>
      </c>
      <c r="T1414" s="6">
        <v>1</v>
      </c>
    </row>
    <row r="1415" spans="19:20" x14ac:dyDescent="0.3">
      <c r="S1415" s="5">
        <v>1412</v>
      </c>
      <c r="T1415" s="6">
        <v>1</v>
      </c>
    </row>
    <row r="1416" spans="19:20" x14ac:dyDescent="0.3">
      <c r="S1416" s="5">
        <v>1413</v>
      </c>
      <c r="T1416" s="6">
        <v>1</v>
      </c>
    </row>
    <row r="1417" spans="19:20" x14ac:dyDescent="0.3">
      <c r="S1417" s="5">
        <v>1414</v>
      </c>
      <c r="T1417" s="6">
        <v>1</v>
      </c>
    </row>
    <row r="1418" spans="19:20" x14ac:dyDescent="0.3">
      <c r="S1418" s="5">
        <v>1415</v>
      </c>
      <c r="T1418" s="6">
        <v>1</v>
      </c>
    </row>
    <row r="1419" spans="19:20" x14ac:dyDescent="0.3">
      <c r="S1419" s="5">
        <v>1416</v>
      </c>
      <c r="T1419" s="6">
        <v>1</v>
      </c>
    </row>
    <row r="1420" spans="19:20" x14ac:dyDescent="0.3">
      <c r="S1420" s="5">
        <v>1417</v>
      </c>
      <c r="T1420" s="6">
        <v>1</v>
      </c>
    </row>
    <row r="1421" spans="19:20" x14ac:dyDescent="0.3">
      <c r="S1421" s="5">
        <v>1418</v>
      </c>
      <c r="T1421" s="6">
        <v>1</v>
      </c>
    </row>
    <row r="1422" spans="19:20" x14ac:dyDescent="0.3">
      <c r="S1422" s="5">
        <v>1419</v>
      </c>
      <c r="T1422" s="6">
        <v>1</v>
      </c>
    </row>
    <row r="1423" spans="19:20" x14ac:dyDescent="0.3">
      <c r="S1423" s="5">
        <v>1420</v>
      </c>
      <c r="T1423" s="6">
        <v>1</v>
      </c>
    </row>
    <row r="1424" spans="19:20" x14ac:dyDescent="0.3">
      <c r="S1424" s="5">
        <v>1421</v>
      </c>
      <c r="T1424" s="6">
        <v>1</v>
      </c>
    </row>
    <row r="1425" spans="19:20" x14ac:dyDescent="0.3">
      <c r="S1425" s="5">
        <v>1422</v>
      </c>
      <c r="T1425" s="6">
        <v>1</v>
      </c>
    </row>
    <row r="1426" spans="19:20" x14ac:dyDescent="0.3">
      <c r="S1426" s="5">
        <v>1423</v>
      </c>
      <c r="T1426" s="6">
        <v>1</v>
      </c>
    </row>
    <row r="1427" spans="19:20" x14ac:dyDescent="0.3">
      <c r="S1427" s="5">
        <v>1424</v>
      </c>
      <c r="T1427" s="6">
        <v>1</v>
      </c>
    </row>
    <row r="1428" spans="19:20" x14ac:dyDescent="0.3">
      <c r="S1428" s="5">
        <v>1425</v>
      </c>
      <c r="T1428" s="6">
        <v>1</v>
      </c>
    </row>
    <row r="1429" spans="19:20" x14ac:dyDescent="0.3">
      <c r="S1429" s="5">
        <v>1426</v>
      </c>
      <c r="T1429" s="6">
        <v>1</v>
      </c>
    </row>
    <row r="1430" spans="19:20" x14ac:dyDescent="0.3">
      <c r="S1430" s="5">
        <v>1427</v>
      </c>
      <c r="T1430" s="6">
        <v>1</v>
      </c>
    </row>
    <row r="1431" spans="19:20" x14ac:dyDescent="0.3">
      <c r="S1431" s="5">
        <v>1428</v>
      </c>
      <c r="T1431" s="6">
        <v>1</v>
      </c>
    </row>
    <row r="1432" spans="19:20" x14ac:dyDescent="0.3">
      <c r="S1432" s="5">
        <v>1429</v>
      </c>
      <c r="T1432" s="6">
        <v>1</v>
      </c>
    </row>
    <row r="1433" spans="19:20" x14ac:dyDescent="0.3">
      <c r="S1433" s="5">
        <v>1430</v>
      </c>
      <c r="T1433" s="6">
        <v>1</v>
      </c>
    </row>
    <row r="1434" spans="19:20" x14ac:dyDescent="0.3">
      <c r="S1434" s="5">
        <v>1431</v>
      </c>
      <c r="T1434" s="6">
        <v>1</v>
      </c>
    </row>
    <row r="1435" spans="19:20" x14ac:dyDescent="0.3">
      <c r="S1435" s="5">
        <v>1432</v>
      </c>
      <c r="T1435" s="6">
        <v>1</v>
      </c>
    </row>
    <row r="1436" spans="19:20" x14ac:dyDescent="0.3">
      <c r="S1436" s="5">
        <v>1433</v>
      </c>
      <c r="T1436" s="6">
        <v>1</v>
      </c>
    </row>
    <row r="1437" spans="19:20" x14ac:dyDescent="0.3">
      <c r="S1437" s="5">
        <v>1434</v>
      </c>
      <c r="T1437" s="6">
        <v>1</v>
      </c>
    </row>
    <row r="1438" spans="19:20" x14ac:dyDescent="0.3">
      <c r="S1438" s="5">
        <v>1435</v>
      </c>
      <c r="T1438" s="6">
        <v>1</v>
      </c>
    </row>
    <row r="1439" spans="19:20" x14ac:dyDescent="0.3">
      <c r="S1439" s="5">
        <v>1436</v>
      </c>
      <c r="T1439" s="6">
        <v>1</v>
      </c>
    </row>
    <row r="1440" spans="19:20" x14ac:dyDescent="0.3">
      <c r="S1440" s="5">
        <v>1437</v>
      </c>
      <c r="T1440" s="6">
        <v>1</v>
      </c>
    </row>
    <row r="1441" spans="19:20" x14ac:dyDescent="0.3">
      <c r="S1441" s="5">
        <v>1438</v>
      </c>
      <c r="T1441" s="6">
        <v>1</v>
      </c>
    </row>
    <row r="1442" spans="19:20" x14ac:dyDescent="0.3">
      <c r="S1442" s="5">
        <v>1439</v>
      </c>
      <c r="T1442" s="6">
        <v>1</v>
      </c>
    </row>
    <row r="1443" spans="19:20" x14ac:dyDescent="0.3">
      <c r="S1443" s="5">
        <v>1440</v>
      </c>
      <c r="T1443" s="6">
        <v>1</v>
      </c>
    </row>
    <row r="1444" spans="19:20" x14ac:dyDescent="0.3">
      <c r="S1444" s="5">
        <v>1441</v>
      </c>
      <c r="T1444" s="6">
        <v>1</v>
      </c>
    </row>
    <row r="1445" spans="19:20" x14ac:dyDescent="0.3">
      <c r="S1445" s="5">
        <v>1442</v>
      </c>
      <c r="T1445" s="6">
        <v>1</v>
      </c>
    </row>
    <row r="1446" spans="19:20" x14ac:dyDescent="0.3">
      <c r="S1446" s="5">
        <v>1443</v>
      </c>
      <c r="T1446" s="6">
        <v>1</v>
      </c>
    </row>
    <row r="1447" spans="19:20" x14ac:dyDescent="0.3">
      <c r="S1447" s="5">
        <v>1444</v>
      </c>
      <c r="T1447" s="6">
        <v>1</v>
      </c>
    </row>
    <row r="1448" spans="19:20" x14ac:dyDescent="0.3">
      <c r="S1448" s="5">
        <v>1445</v>
      </c>
      <c r="T1448" s="6">
        <v>1</v>
      </c>
    </row>
    <row r="1449" spans="19:20" x14ac:dyDescent="0.3">
      <c r="S1449" s="5">
        <v>1446</v>
      </c>
      <c r="T1449" s="6">
        <v>1</v>
      </c>
    </row>
    <row r="1450" spans="19:20" x14ac:dyDescent="0.3">
      <c r="S1450" s="5">
        <v>1447</v>
      </c>
      <c r="T1450" s="6">
        <v>1</v>
      </c>
    </row>
    <row r="1451" spans="19:20" x14ac:dyDescent="0.3">
      <c r="S1451" s="5">
        <v>1448</v>
      </c>
      <c r="T1451" s="6">
        <v>1</v>
      </c>
    </row>
    <row r="1452" spans="19:20" x14ac:dyDescent="0.3">
      <c r="S1452" s="5">
        <v>1449</v>
      </c>
      <c r="T1452" s="6">
        <v>1</v>
      </c>
    </row>
    <row r="1453" spans="19:20" x14ac:dyDescent="0.3">
      <c r="S1453" s="5">
        <v>1450</v>
      </c>
      <c r="T1453" s="6">
        <v>1</v>
      </c>
    </row>
    <row r="1454" spans="19:20" x14ac:dyDescent="0.3">
      <c r="S1454" s="5">
        <v>1451</v>
      </c>
      <c r="T1454" s="6">
        <v>1</v>
      </c>
    </row>
    <row r="1455" spans="19:20" x14ac:dyDescent="0.3">
      <c r="S1455" s="5">
        <v>1452</v>
      </c>
      <c r="T1455" s="6">
        <v>1</v>
      </c>
    </row>
    <row r="1456" spans="19:20" x14ac:dyDescent="0.3">
      <c r="S1456" s="5">
        <v>1453</v>
      </c>
      <c r="T1456" s="6">
        <v>1</v>
      </c>
    </row>
    <row r="1457" spans="19:20" x14ac:dyDescent="0.3">
      <c r="S1457" s="5">
        <v>1454</v>
      </c>
      <c r="T1457" s="6">
        <v>1</v>
      </c>
    </row>
    <row r="1458" spans="19:20" x14ac:dyDescent="0.3">
      <c r="S1458" s="5">
        <v>1455</v>
      </c>
      <c r="T1458" s="6">
        <v>1</v>
      </c>
    </row>
    <row r="1459" spans="19:20" x14ac:dyDescent="0.3">
      <c r="S1459" s="5">
        <v>1456</v>
      </c>
      <c r="T1459" s="6">
        <v>1</v>
      </c>
    </row>
    <row r="1460" spans="19:20" x14ac:dyDescent="0.3">
      <c r="S1460" s="5">
        <v>1457</v>
      </c>
      <c r="T1460" s="6">
        <v>1</v>
      </c>
    </row>
    <row r="1461" spans="19:20" x14ac:dyDescent="0.3">
      <c r="S1461" s="5">
        <v>1458</v>
      </c>
      <c r="T1461" s="6">
        <v>1</v>
      </c>
    </row>
    <row r="1462" spans="19:20" x14ac:dyDescent="0.3">
      <c r="S1462" s="5">
        <v>1459</v>
      </c>
      <c r="T1462" s="6">
        <v>1</v>
      </c>
    </row>
    <row r="1463" spans="19:20" x14ac:dyDescent="0.3">
      <c r="S1463" s="5">
        <v>1460</v>
      </c>
      <c r="T1463" s="6">
        <v>1</v>
      </c>
    </row>
    <row r="1464" spans="19:20" x14ac:dyDescent="0.3">
      <c r="S1464" s="5">
        <v>1461</v>
      </c>
      <c r="T1464" s="6">
        <v>1</v>
      </c>
    </row>
    <row r="1465" spans="19:20" x14ac:dyDescent="0.3">
      <c r="S1465" s="5">
        <v>1462</v>
      </c>
      <c r="T1465" s="6">
        <v>1</v>
      </c>
    </row>
    <row r="1466" spans="19:20" x14ac:dyDescent="0.3">
      <c r="S1466" s="5">
        <v>1463</v>
      </c>
      <c r="T1466" s="6">
        <v>1</v>
      </c>
    </row>
    <row r="1467" spans="19:20" x14ac:dyDescent="0.3">
      <c r="S1467" s="5">
        <v>1464</v>
      </c>
      <c r="T1467" s="6">
        <v>1</v>
      </c>
    </row>
    <row r="1468" spans="19:20" x14ac:dyDescent="0.3">
      <c r="S1468" s="5">
        <v>1465</v>
      </c>
      <c r="T1468" s="6">
        <v>1</v>
      </c>
    </row>
    <row r="1469" spans="19:20" x14ac:dyDescent="0.3">
      <c r="S1469" s="5">
        <v>1466</v>
      </c>
      <c r="T1469" s="6">
        <v>1</v>
      </c>
    </row>
    <row r="1470" spans="19:20" x14ac:dyDescent="0.3">
      <c r="S1470" s="5">
        <v>1467</v>
      </c>
      <c r="T1470" s="6">
        <v>1</v>
      </c>
    </row>
    <row r="1471" spans="19:20" x14ac:dyDescent="0.3">
      <c r="S1471" s="5">
        <v>1468</v>
      </c>
      <c r="T1471" s="6">
        <v>1</v>
      </c>
    </row>
    <row r="1472" spans="19:20" x14ac:dyDescent="0.3">
      <c r="S1472" s="5">
        <v>1469</v>
      </c>
      <c r="T1472" s="6">
        <v>1</v>
      </c>
    </row>
    <row r="1473" spans="19:20" x14ac:dyDescent="0.3">
      <c r="S1473" s="5">
        <v>1470</v>
      </c>
      <c r="T1473" s="6">
        <v>1</v>
      </c>
    </row>
    <row r="1474" spans="19:20" x14ac:dyDescent="0.3">
      <c r="S1474" s="5">
        <v>1471</v>
      </c>
      <c r="T1474" s="6">
        <v>1</v>
      </c>
    </row>
    <row r="1475" spans="19:20" x14ac:dyDescent="0.3">
      <c r="S1475" s="5">
        <v>1472</v>
      </c>
      <c r="T1475" s="6">
        <v>1</v>
      </c>
    </row>
    <row r="1476" spans="19:20" x14ac:dyDescent="0.3">
      <c r="S1476" s="5">
        <v>1473</v>
      </c>
      <c r="T1476" s="6">
        <v>1</v>
      </c>
    </row>
    <row r="1477" spans="19:20" x14ac:dyDescent="0.3">
      <c r="S1477" s="5">
        <v>1474</v>
      </c>
      <c r="T1477" s="6">
        <v>1</v>
      </c>
    </row>
    <row r="1478" spans="19:20" x14ac:dyDescent="0.3">
      <c r="S1478" s="5">
        <v>1475</v>
      </c>
      <c r="T1478" s="6">
        <v>1</v>
      </c>
    </row>
    <row r="1479" spans="19:20" x14ac:dyDescent="0.3">
      <c r="S1479" s="5">
        <v>1476</v>
      </c>
      <c r="T1479" s="6">
        <v>1</v>
      </c>
    </row>
    <row r="1480" spans="19:20" x14ac:dyDescent="0.3">
      <c r="S1480" s="5">
        <v>1477</v>
      </c>
      <c r="T1480" s="6">
        <v>1</v>
      </c>
    </row>
    <row r="1481" spans="19:20" x14ac:dyDescent="0.3">
      <c r="S1481" s="5">
        <v>1478</v>
      </c>
      <c r="T1481" s="6">
        <v>1</v>
      </c>
    </row>
    <row r="1482" spans="19:20" x14ac:dyDescent="0.3">
      <c r="S1482" s="5">
        <v>1479</v>
      </c>
      <c r="T1482" s="6">
        <v>1</v>
      </c>
    </row>
    <row r="1483" spans="19:20" x14ac:dyDescent="0.3">
      <c r="S1483" s="5">
        <v>1480</v>
      </c>
      <c r="T1483" s="6">
        <v>1</v>
      </c>
    </row>
    <row r="1484" spans="19:20" x14ac:dyDescent="0.3">
      <c r="S1484" s="5">
        <v>1481</v>
      </c>
      <c r="T1484" s="6">
        <v>1</v>
      </c>
    </row>
    <row r="1485" spans="19:20" x14ac:dyDescent="0.3">
      <c r="S1485" s="5">
        <v>1482</v>
      </c>
      <c r="T1485" s="6">
        <v>1</v>
      </c>
    </row>
    <row r="1486" spans="19:20" x14ac:dyDescent="0.3">
      <c r="S1486" s="5">
        <v>1483</v>
      </c>
      <c r="T1486" s="6">
        <v>1</v>
      </c>
    </row>
    <row r="1487" spans="19:20" x14ac:dyDescent="0.3">
      <c r="S1487" s="5">
        <v>1484</v>
      </c>
      <c r="T1487" s="6">
        <v>1</v>
      </c>
    </row>
    <row r="1488" spans="19:20" x14ac:dyDescent="0.3">
      <c r="S1488" s="5">
        <v>1485</v>
      </c>
      <c r="T1488" s="6">
        <v>1</v>
      </c>
    </row>
    <row r="1489" spans="19:20" x14ac:dyDescent="0.3">
      <c r="S1489" s="5">
        <v>1486</v>
      </c>
      <c r="T1489" s="6">
        <v>1</v>
      </c>
    </row>
    <row r="1490" spans="19:20" x14ac:dyDescent="0.3">
      <c r="S1490" s="5">
        <v>1487</v>
      </c>
      <c r="T1490" s="6">
        <v>1</v>
      </c>
    </row>
    <row r="1491" spans="19:20" x14ac:dyDescent="0.3">
      <c r="S1491" s="5">
        <v>1488</v>
      </c>
      <c r="T1491" s="6">
        <v>1</v>
      </c>
    </row>
    <row r="1492" spans="19:20" x14ac:dyDescent="0.3">
      <c r="S1492" s="5">
        <v>1489</v>
      </c>
      <c r="T1492" s="6">
        <v>1</v>
      </c>
    </row>
    <row r="1493" spans="19:20" x14ac:dyDescent="0.3">
      <c r="S1493" s="5">
        <v>1490</v>
      </c>
      <c r="T1493" s="6">
        <v>1</v>
      </c>
    </row>
    <row r="1494" spans="19:20" x14ac:dyDescent="0.3">
      <c r="S1494" s="5">
        <v>1491</v>
      </c>
      <c r="T1494" s="6">
        <v>1</v>
      </c>
    </row>
    <row r="1495" spans="19:20" x14ac:dyDescent="0.3">
      <c r="S1495" s="5">
        <v>1492</v>
      </c>
      <c r="T1495" s="6">
        <v>1</v>
      </c>
    </row>
    <row r="1496" spans="19:20" x14ac:dyDescent="0.3">
      <c r="S1496" s="5">
        <v>1493</v>
      </c>
      <c r="T1496" s="6">
        <v>1</v>
      </c>
    </row>
    <row r="1497" spans="19:20" x14ac:dyDescent="0.3">
      <c r="S1497" s="5">
        <v>1494</v>
      </c>
      <c r="T1497" s="6">
        <v>1</v>
      </c>
    </row>
    <row r="1498" spans="19:20" x14ac:dyDescent="0.3">
      <c r="S1498" s="5">
        <v>1495</v>
      </c>
      <c r="T1498" s="6">
        <v>1</v>
      </c>
    </row>
    <row r="1499" spans="19:20" x14ac:dyDescent="0.3">
      <c r="S1499" s="5">
        <v>1496</v>
      </c>
      <c r="T1499" s="6">
        <v>1</v>
      </c>
    </row>
    <row r="1500" spans="19:20" x14ac:dyDescent="0.3">
      <c r="S1500" s="5">
        <v>1497</v>
      </c>
      <c r="T1500" s="6">
        <v>1</v>
      </c>
    </row>
    <row r="1501" spans="19:20" x14ac:dyDescent="0.3">
      <c r="S1501" s="5">
        <v>1498</v>
      </c>
      <c r="T1501" s="6">
        <v>1</v>
      </c>
    </row>
    <row r="1502" spans="19:20" x14ac:dyDescent="0.3">
      <c r="S1502" s="5">
        <v>1499</v>
      </c>
      <c r="T1502" s="6">
        <v>1</v>
      </c>
    </row>
    <row r="1503" spans="19:20" x14ac:dyDescent="0.3">
      <c r="S1503" s="5">
        <v>1500</v>
      </c>
      <c r="T1503" s="6">
        <v>1</v>
      </c>
    </row>
    <row r="1504" spans="19:20" x14ac:dyDescent="0.3">
      <c r="S1504" s="5">
        <v>1501</v>
      </c>
      <c r="T1504" s="6">
        <v>1</v>
      </c>
    </row>
    <row r="1505" spans="19:20" x14ac:dyDescent="0.3">
      <c r="S1505" s="5">
        <v>1502</v>
      </c>
      <c r="T1505" s="6">
        <v>1</v>
      </c>
    </row>
    <row r="1506" spans="19:20" x14ac:dyDescent="0.3">
      <c r="S1506" s="5">
        <v>1503</v>
      </c>
      <c r="T1506" s="6">
        <v>1</v>
      </c>
    </row>
    <row r="1507" spans="19:20" x14ac:dyDescent="0.3">
      <c r="S1507" s="5">
        <v>1504</v>
      </c>
      <c r="T1507" s="6">
        <v>1</v>
      </c>
    </row>
    <row r="1508" spans="19:20" x14ac:dyDescent="0.3">
      <c r="S1508" s="5">
        <v>1505</v>
      </c>
      <c r="T1508" s="6">
        <v>1</v>
      </c>
    </row>
    <row r="1509" spans="19:20" x14ac:dyDescent="0.3">
      <c r="S1509" s="5">
        <v>1506</v>
      </c>
      <c r="T1509" s="6">
        <v>1</v>
      </c>
    </row>
    <row r="1510" spans="19:20" x14ac:dyDescent="0.3">
      <c r="S1510" s="5">
        <v>1507</v>
      </c>
      <c r="T1510" s="6">
        <v>1</v>
      </c>
    </row>
    <row r="1511" spans="19:20" x14ac:dyDescent="0.3">
      <c r="S1511" s="5">
        <v>1508</v>
      </c>
      <c r="T1511" s="6">
        <v>1</v>
      </c>
    </row>
    <row r="1512" spans="19:20" x14ac:dyDescent="0.3">
      <c r="S1512" s="5">
        <v>1509</v>
      </c>
      <c r="T1512" s="6">
        <v>1</v>
      </c>
    </row>
    <row r="1513" spans="19:20" x14ac:dyDescent="0.3">
      <c r="S1513" s="5">
        <v>1510</v>
      </c>
      <c r="T1513" s="6">
        <v>1</v>
      </c>
    </row>
    <row r="1514" spans="19:20" x14ac:dyDescent="0.3">
      <c r="S1514" s="5">
        <v>1511</v>
      </c>
      <c r="T1514" s="6">
        <v>1</v>
      </c>
    </row>
    <row r="1515" spans="19:20" x14ac:dyDescent="0.3">
      <c r="S1515" s="5">
        <v>1512</v>
      </c>
      <c r="T1515" s="6">
        <v>1</v>
      </c>
    </row>
    <row r="1516" spans="19:20" x14ac:dyDescent="0.3">
      <c r="S1516" s="5">
        <v>1513</v>
      </c>
      <c r="T1516" s="6">
        <v>1</v>
      </c>
    </row>
    <row r="1517" spans="19:20" x14ac:dyDescent="0.3">
      <c r="S1517" s="5">
        <v>1514</v>
      </c>
      <c r="T1517" s="6">
        <v>1</v>
      </c>
    </row>
    <row r="1518" spans="19:20" x14ac:dyDescent="0.3">
      <c r="S1518" s="5">
        <v>1515</v>
      </c>
      <c r="T1518" s="6">
        <v>1</v>
      </c>
    </row>
    <row r="1519" spans="19:20" x14ac:dyDescent="0.3">
      <c r="S1519" s="5">
        <v>1516</v>
      </c>
      <c r="T1519" s="6">
        <v>1</v>
      </c>
    </row>
    <row r="1520" spans="19:20" x14ac:dyDescent="0.3">
      <c r="S1520" s="5">
        <v>1517</v>
      </c>
      <c r="T1520" s="6">
        <v>1</v>
      </c>
    </row>
    <row r="1521" spans="19:20" x14ac:dyDescent="0.3">
      <c r="S1521" s="5">
        <v>1518</v>
      </c>
      <c r="T1521" s="6">
        <v>1</v>
      </c>
    </row>
    <row r="1522" spans="19:20" x14ac:dyDescent="0.3">
      <c r="S1522" s="5">
        <v>1519</v>
      </c>
      <c r="T1522" s="6">
        <v>1</v>
      </c>
    </row>
    <row r="1523" spans="19:20" x14ac:dyDescent="0.3">
      <c r="S1523" s="5">
        <v>1520</v>
      </c>
      <c r="T1523" s="6">
        <v>1</v>
      </c>
    </row>
    <row r="1524" spans="19:20" x14ac:dyDescent="0.3">
      <c r="S1524" s="5">
        <v>1521</v>
      </c>
      <c r="T1524" s="6">
        <v>1</v>
      </c>
    </row>
    <row r="1525" spans="19:20" x14ac:dyDescent="0.3">
      <c r="S1525" s="5">
        <v>1522</v>
      </c>
      <c r="T1525" s="6">
        <v>1</v>
      </c>
    </row>
    <row r="1526" spans="19:20" x14ac:dyDescent="0.3">
      <c r="S1526" s="5">
        <v>1523</v>
      </c>
      <c r="T1526" s="6">
        <v>1</v>
      </c>
    </row>
    <row r="1527" spans="19:20" x14ac:dyDescent="0.3">
      <c r="S1527" s="5">
        <v>1524</v>
      </c>
      <c r="T1527" s="6">
        <v>1</v>
      </c>
    </row>
    <row r="1528" spans="19:20" x14ac:dyDescent="0.3">
      <c r="S1528" s="5">
        <v>1525</v>
      </c>
      <c r="T1528" s="6">
        <v>1</v>
      </c>
    </row>
    <row r="1529" spans="19:20" x14ac:dyDescent="0.3">
      <c r="S1529" s="5">
        <v>1526</v>
      </c>
      <c r="T1529" s="6">
        <v>1</v>
      </c>
    </row>
    <row r="1530" spans="19:20" x14ac:dyDescent="0.3">
      <c r="S1530" s="5">
        <v>1527</v>
      </c>
      <c r="T1530" s="6">
        <v>1</v>
      </c>
    </row>
    <row r="1531" spans="19:20" x14ac:dyDescent="0.3">
      <c r="S1531" s="5">
        <v>1528</v>
      </c>
      <c r="T1531" s="6">
        <v>1</v>
      </c>
    </row>
    <row r="1532" spans="19:20" x14ac:dyDescent="0.3">
      <c r="S1532" s="5">
        <v>1529</v>
      </c>
      <c r="T1532" s="6">
        <v>1</v>
      </c>
    </row>
    <row r="1533" spans="19:20" x14ac:dyDescent="0.3">
      <c r="S1533" s="5">
        <v>1530</v>
      </c>
      <c r="T1533" s="6">
        <v>1</v>
      </c>
    </row>
    <row r="1534" spans="19:20" x14ac:dyDescent="0.3">
      <c r="S1534" s="5">
        <v>1531</v>
      </c>
      <c r="T1534" s="6">
        <v>1</v>
      </c>
    </row>
    <row r="1535" spans="19:20" x14ac:dyDescent="0.3">
      <c r="S1535" s="5">
        <v>1532</v>
      </c>
      <c r="T1535" s="6">
        <v>1</v>
      </c>
    </row>
    <row r="1536" spans="19:20" x14ac:dyDescent="0.3">
      <c r="S1536" s="5">
        <v>1533</v>
      </c>
      <c r="T1536" s="6">
        <v>1</v>
      </c>
    </row>
    <row r="1537" spans="19:20" x14ac:dyDescent="0.3">
      <c r="S1537" s="5">
        <v>1534</v>
      </c>
      <c r="T1537" s="6">
        <v>1</v>
      </c>
    </row>
    <row r="1538" spans="19:20" x14ac:dyDescent="0.3">
      <c r="S1538" s="5">
        <v>1535</v>
      </c>
      <c r="T1538" s="6">
        <v>1</v>
      </c>
    </row>
    <row r="1539" spans="19:20" x14ac:dyDescent="0.3">
      <c r="S1539" s="5">
        <v>1536</v>
      </c>
      <c r="T1539" s="6">
        <v>1</v>
      </c>
    </row>
    <row r="1540" spans="19:20" x14ac:dyDescent="0.3">
      <c r="S1540" s="5">
        <v>1537</v>
      </c>
      <c r="T1540" s="6">
        <v>1</v>
      </c>
    </row>
    <row r="1541" spans="19:20" x14ac:dyDescent="0.3">
      <c r="S1541" s="5">
        <v>1538</v>
      </c>
      <c r="T1541" s="6">
        <v>1</v>
      </c>
    </row>
    <row r="1542" spans="19:20" x14ac:dyDescent="0.3">
      <c r="S1542" s="5">
        <v>1539</v>
      </c>
      <c r="T1542" s="6">
        <v>1</v>
      </c>
    </row>
    <row r="1543" spans="19:20" x14ac:dyDescent="0.3">
      <c r="S1543" s="5">
        <v>1540</v>
      </c>
      <c r="T1543" s="6">
        <v>1</v>
      </c>
    </row>
    <row r="1544" spans="19:20" x14ac:dyDescent="0.3">
      <c r="S1544" s="5">
        <v>1541</v>
      </c>
      <c r="T1544" s="6">
        <v>1</v>
      </c>
    </row>
    <row r="1545" spans="19:20" x14ac:dyDescent="0.3">
      <c r="S1545" s="5">
        <v>1542</v>
      </c>
      <c r="T1545" s="6">
        <v>1</v>
      </c>
    </row>
    <row r="1546" spans="19:20" x14ac:dyDescent="0.3">
      <c r="S1546" s="5">
        <v>1543</v>
      </c>
      <c r="T1546" s="6">
        <v>1</v>
      </c>
    </row>
    <row r="1547" spans="19:20" x14ac:dyDescent="0.3">
      <c r="S1547" s="5">
        <v>1544</v>
      </c>
      <c r="T1547" s="6">
        <v>1</v>
      </c>
    </row>
    <row r="1548" spans="19:20" x14ac:dyDescent="0.3">
      <c r="S1548" s="5">
        <v>1545</v>
      </c>
      <c r="T1548" s="6">
        <v>1</v>
      </c>
    </row>
    <row r="1549" spans="19:20" x14ac:dyDescent="0.3">
      <c r="S1549" s="5">
        <v>1546</v>
      </c>
      <c r="T1549" s="6">
        <v>1</v>
      </c>
    </row>
    <row r="1550" spans="19:20" x14ac:dyDescent="0.3">
      <c r="S1550" s="5">
        <v>1547</v>
      </c>
      <c r="T1550" s="6">
        <v>1</v>
      </c>
    </row>
    <row r="1551" spans="19:20" x14ac:dyDescent="0.3">
      <c r="S1551" s="5">
        <v>1548</v>
      </c>
      <c r="T1551" s="6">
        <v>1</v>
      </c>
    </row>
    <row r="1552" spans="19:20" x14ac:dyDescent="0.3">
      <c r="S1552" s="5">
        <v>1549</v>
      </c>
      <c r="T1552" s="6">
        <v>1</v>
      </c>
    </row>
    <row r="1553" spans="19:20" x14ac:dyDescent="0.3">
      <c r="S1553" s="5">
        <v>1550</v>
      </c>
      <c r="T1553" s="6">
        <v>1</v>
      </c>
    </row>
    <row r="1554" spans="19:20" x14ac:dyDescent="0.3">
      <c r="S1554" s="5">
        <v>1551</v>
      </c>
      <c r="T1554" s="6">
        <v>1</v>
      </c>
    </row>
    <row r="1555" spans="19:20" x14ac:dyDescent="0.3">
      <c r="S1555" s="5">
        <v>1552</v>
      </c>
      <c r="T1555" s="6">
        <v>1</v>
      </c>
    </row>
    <row r="1556" spans="19:20" x14ac:dyDescent="0.3">
      <c r="S1556" s="5">
        <v>1553</v>
      </c>
      <c r="T1556" s="6">
        <v>1</v>
      </c>
    </row>
    <row r="1557" spans="19:20" x14ac:dyDescent="0.3">
      <c r="S1557" s="5">
        <v>1554</v>
      </c>
      <c r="T1557" s="6">
        <v>1</v>
      </c>
    </row>
    <row r="1558" spans="19:20" x14ac:dyDescent="0.3">
      <c r="S1558" s="5">
        <v>1555</v>
      </c>
      <c r="T1558" s="6">
        <v>1</v>
      </c>
    </row>
    <row r="1559" spans="19:20" x14ac:dyDescent="0.3">
      <c r="S1559" s="5">
        <v>1556</v>
      </c>
      <c r="T1559" s="6">
        <v>1</v>
      </c>
    </row>
    <row r="1560" spans="19:20" x14ac:dyDescent="0.3">
      <c r="S1560" s="5">
        <v>1557</v>
      </c>
      <c r="T1560" s="6">
        <v>1</v>
      </c>
    </row>
    <row r="1561" spans="19:20" x14ac:dyDescent="0.3">
      <c r="S1561" s="5">
        <v>1558</v>
      </c>
      <c r="T1561" s="6">
        <v>1</v>
      </c>
    </row>
    <row r="1562" spans="19:20" x14ac:dyDescent="0.3">
      <c r="S1562" s="5">
        <v>1559</v>
      </c>
      <c r="T1562" s="6">
        <v>1</v>
      </c>
    </row>
    <row r="1563" spans="19:20" x14ac:dyDescent="0.3">
      <c r="S1563" s="5">
        <v>1560</v>
      </c>
      <c r="T1563" s="6">
        <v>1</v>
      </c>
    </row>
    <row r="1564" spans="19:20" x14ac:dyDescent="0.3">
      <c r="S1564" s="5">
        <v>1561</v>
      </c>
      <c r="T1564" s="6">
        <v>1</v>
      </c>
    </row>
    <row r="1565" spans="19:20" x14ac:dyDescent="0.3">
      <c r="S1565" s="5">
        <v>1562</v>
      </c>
      <c r="T1565" s="6">
        <v>1</v>
      </c>
    </row>
    <row r="1566" spans="19:20" x14ac:dyDescent="0.3">
      <c r="S1566" s="5">
        <v>1563</v>
      </c>
      <c r="T1566" s="6">
        <v>1</v>
      </c>
    </row>
    <row r="1567" spans="19:20" x14ac:dyDescent="0.3">
      <c r="S1567" s="5">
        <v>1564</v>
      </c>
      <c r="T1567" s="6">
        <v>1</v>
      </c>
    </row>
    <row r="1568" spans="19:20" x14ac:dyDescent="0.3">
      <c r="S1568" s="5">
        <v>1565</v>
      </c>
      <c r="T1568" s="6">
        <v>1</v>
      </c>
    </row>
    <row r="1569" spans="19:20" x14ac:dyDescent="0.3">
      <c r="S1569" s="5">
        <v>1566</v>
      </c>
      <c r="T1569" s="6">
        <v>1</v>
      </c>
    </row>
    <row r="1570" spans="19:20" x14ac:dyDescent="0.3">
      <c r="S1570" s="5">
        <v>1567</v>
      </c>
      <c r="T1570" s="6">
        <v>1</v>
      </c>
    </row>
    <row r="1571" spans="19:20" x14ac:dyDescent="0.3">
      <c r="S1571" s="5">
        <v>1568</v>
      </c>
      <c r="T1571" s="6">
        <v>1</v>
      </c>
    </row>
    <row r="1572" spans="19:20" x14ac:dyDescent="0.3">
      <c r="S1572" s="5">
        <v>1569</v>
      </c>
      <c r="T1572" s="6">
        <v>1</v>
      </c>
    </row>
    <row r="1573" spans="19:20" x14ac:dyDescent="0.3">
      <c r="S1573" s="5">
        <v>1570</v>
      </c>
      <c r="T1573" s="6">
        <v>1</v>
      </c>
    </row>
    <row r="1574" spans="19:20" x14ac:dyDescent="0.3">
      <c r="S1574" s="5">
        <v>1571</v>
      </c>
      <c r="T1574" s="6">
        <v>1</v>
      </c>
    </row>
    <row r="1575" spans="19:20" x14ac:dyDescent="0.3">
      <c r="S1575" s="5">
        <v>1572</v>
      </c>
      <c r="T1575" s="6">
        <v>1</v>
      </c>
    </row>
    <row r="1576" spans="19:20" x14ac:dyDescent="0.3">
      <c r="S1576" s="5">
        <v>1573</v>
      </c>
      <c r="T1576" s="6">
        <v>1</v>
      </c>
    </row>
    <row r="1577" spans="19:20" x14ac:dyDescent="0.3">
      <c r="S1577" s="5">
        <v>1574</v>
      </c>
      <c r="T1577" s="6">
        <v>1</v>
      </c>
    </row>
    <row r="1578" spans="19:20" x14ac:dyDescent="0.3">
      <c r="S1578" s="5">
        <v>1575</v>
      </c>
      <c r="T1578" s="6">
        <v>1</v>
      </c>
    </row>
    <row r="1579" spans="19:20" x14ac:dyDescent="0.3">
      <c r="S1579" s="5">
        <v>1576</v>
      </c>
      <c r="T1579" s="6">
        <v>1</v>
      </c>
    </row>
    <row r="1580" spans="19:20" x14ac:dyDescent="0.3">
      <c r="S1580" s="5">
        <v>1577</v>
      </c>
      <c r="T1580" s="6">
        <v>1</v>
      </c>
    </row>
    <row r="1581" spans="19:20" x14ac:dyDescent="0.3">
      <c r="S1581" s="5">
        <v>1578</v>
      </c>
      <c r="T1581" s="6">
        <v>1</v>
      </c>
    </row>
    <row r="1582" spans="19:20" x14ac:dyDescent="0.3">
      <c r="S1582" s="5">
        <v>1579</v>
      </c>
      <c r="T1582" s="6">
        <v>1</v>
      </c>
    </row>
    <row r="1583" spans="19:20" x14ac:dyDescent="0.3">
      <c r="S1583" s="5">
        <v>1580</v>
      </c>
      <c r="T1583" s="6">
        <v>1</v>
      </c>
    </row>
    <row r="1584" spans="19:20" x14ac:dyDescent="0.3">
      <c r="S1584" s="5">
        <v>1581</v>
      </c>
      <c r="T1584" s="6">
        <v>1</v>
      </c>
    </row>
    <row r="1585" spans="19:20" x14ac:dyDescent="0.3">
      <c r="S1585" s="5">
        <v>1582</v>
      </c>
      <c r="T1585" s="6">
        <v>1</v>
      </c>
    </row>
    <row r="1586" spans="19:20" x14ac:dyDescent="0.3">
      <c r="S1586" s="5">
        <v>1583</v>
      </c>
      <c r="T1586" s="6">
        <v>1</v>
      </c>
    </row>
    <row r="1587" spans="19:20" x14ac:dyDescent="0.3">
      <c r="S1587" s="5">
        <v>1584</v>
      </c>
      <c r="T1587" s="6">
        <v>1</v>
      </c>
    </row>
    <row r="1588" spans="19:20" x14ac:dyDescent="0.3">
      <c r="S1588" s="5">
        <v>1585</v>
      </c>
      <c r="T1588" s="6">
        <v>1</v>
      </c>
    </row>
    <row r="1589" spans="19:20" x14ac:dyDescent="0.3">
      <c r="S1589" s="5">
        <v>1586</v>
      </c>
      <c r="T1589" s="6">
        <v>1</v>
      </c>
    </row>
    <row r="1590" spans="19:20" x14ac:dyDescent="0.3">
      <c r="S1590" s="5">
        <v>1587</v>
      </c>
      <c r="T1590" s="6">
        <v>1</v>
      </c>
    </row>
    <row r="1591" spans="19:20" x14ac:dyDescent="0.3">
      <c r="S1591" s="5">
        <v>1588</v>
      </c>
      <c r="T1591" s="6">
        <v>1</v>
      </c>
    </row>
    <row r="1592" spans="19:20" x14ac:dyDescent="0.3">
      <c r="S1592" s="5">
        <v>1589</v>
      </c>
      <c r="T1592" s="6">
        <v>1</v>
      </c>
    </row>
    <row r="1593" spans="19:20" x14ac:dyDescent="0.3">
      <c r="S1593" s="5">
        <v>1590</v>
      </c>
      <c r="T1593" s="6">
        <v>1</v>
      </c>
    </row>
    <row r="1594" spans="19:20" x14ac:dyDescent="0.3">
      <c r="S1594" s="5">
        <v>1591</v>
      </c>
      <c r="T1594" s="6">
        <v>1</v>
      </c>
    </row>
    <row r="1595" spans="19:20" x14ac:dyDescent="0.3">
      <c r="S1595" s="5">
        <v>1592</v>
      </c>
      <c r="T1595" s="6">
        <v>1</v>
      </c>
    </row>
    <row r="1596" spans="19:20" x14ac:dyDescent="0.3">
      <c r="S1596" s="5">
        <v>1593</v>
      </c>
      <c r="T1596" s="6">
        <v>1</v>
      </c>
    </row>
    <row r="1597" spans="19:20" x14ac:dyDescent="0.3">
      <c r="S1597" s="5">
        <v>1594</v>
      </c>
      <c r="T1597" s="6">
        <v>1</v>
      </c>
    </row>
    <row r="1598" spans="19:20" x14ac:dyDescent="0.3">
      <c r="S1598" s="5">
        <v>1595</v>
      </c>
      <c r="T1598" s="6">
        <v>1</v>
      </c>
    </row>
    <row r="1599" spans="19:20" x14ac:dyDescent="0.3">
      <c r="S1599" s="5">
        <v>1596</v>
      </c>
      <c r="T1599" s="6">
        <v>1</v>
      </c>
    </row>
    <row r="1600" spans="19:20" x14ac:dyDescent="0.3">
      <c r="S1600" s="5">
        <v>1597</v>
      </c>
      <c r="T1600" s="6">
        <v>1</v>
      </c>
    </row>
    <row r="1601" spans="19:20" x14ac:dyDescent="0.3">
      <c r="S1601" s="5">
        <v>1598</v>
      </c>
      <c r="T1601" s="6">
        <v>1</v>
      </c>
    </row>
    <row r="1602" spans="19:20" x14ac:dyDescent="0.3">
      <c r="S1602" s="5">
        <v>1599</v>
      </c>
      <c r="T1602" s="6">
        <v>1</v>
      </c>
    </row>
    <row r="1603" spans="19:20" x14ac:dyDescent="0.3">
      <c r="S1603" s="5">
        <v>1600</v>
      </c>
      <c r="T1603" s="6">
        <v>1</v>
      </c>
    </row>
    <row r="1604" spans="19:20" x14ac:dyDescent="0.3">
      <c r="S1604" s="5">
        <v>1601</v>
      </c>
      <c r="T1604" s="6">
        <v>1</v>
      </c>
    </row>
    <row r="1605" spans="19:20" x14ac:dyDescent="0.3">
      <c r="S1605" s="5">
        <v>1602</v>
      </c>
      <c r="T1605" s="6">
        <v>1</v>
      </c>
    </row>
    <row r="1606" spans="19:20" x14ac:dyDescent="0.3">
      <c r="S1606" s="5">
        <v>1603</v>
      </c>
      <c r="T1606" s="6">
        <v>1</v>
      </c>
    </row>
    <row r="1607" spans="19:20" x14ac:dyDescent="0.3">
      <c r="S1607" s="5">
        <v>1604</v>
      </c>
      <c r="T1607" s="6">
        <v>1</v>
      </c>
    </row>
    <row r="1608" spans="19:20" x14ac:dyDescent="0.3">
      <c r="S1608" s="5">
        <v>1605</v>
      </c>
      <c r="T1608" s="6">
        <v>1</v>
      </c>
    </row>
    <row r="1609" spans="19:20" x14ac:dyDescent="0.3">
      <c r="S1609" s="5">
        <v>1606</v>
      </c>
      <c r="T1609" s="6">
        <v>1</v>
      </c>
    </row>
    <row r="1610" spans="19:20" x14ac:dyDescent="0.3">
      <c r="S1610" s="5">
        <v>1607</v>
      </c>
      <c r="T1610" s="6">
        <v>1</v>
      </c>
    </row>
    <row r="1611" spans="19:20" x14ac:dyDescent="0.3">
      <c r="S1611" s="5">
        <v>1608</v>
      </c>
      <c r="T1611" s="6">
        <v>1</v>
      </c>
    </row>
    <row r="1612" spans="19:20" x14ac:dyDescent="0.3">
      <c r="S1612" s="5">
        <v>1609</v>
      </c>
      <c r="T1612" s="6">
        <v>1</v>
      </c>
    </row>
    <row r="1613" spans="19:20" x14ac:dyDescent="0.3">
      <c r="S1613" s="5">
        <v>1610</v>
      </c>
      <c r="T1613" s="6">
        <v>1</v>
      </c>
    </row>
    <row r="1614" spans="19:20" x14ac:dyDescent="0.3">
      <c r="S1614" s="5">
        <v>1611</v>
      </c>
      <c r="T1614" s="6">
        <v>1</v>
      </c>
    </row>
    <row r="1615" spans="19:20" x14ac:dyDescent="0.3">
      <c r="S1615" s="5">
        <v>1612</v>
      </c>
      <c r="T1615" s="6">
        <v>1</v>
      </c>
    </row>
    <row r="1616" spans="19:20" x14ac:dyDescent="0.3">
      <c r="S1616" s="5">
        <v>1613</v>
      </c>
      <c r="T1616" s="6">
        <v>1</v>
      </c>
    </row>
    <row r="1617" spans="19:20" x14ac:dyDescent="0.3">
      <c r="S1617" s="5">
        <v>1614</v>
      </c>
      <c r="T1617" s="6">
        <v>1</v>
      </c>
    </row>
    <row r="1618" spans="19:20" x14ac:dyDescent="0.3">
      <c r="S1618" s="5">
        <v>1615</v>
      </c>
      <c r="T1618" s="6">
        <v>1</v>
      </c>
    </row>
    <row r="1619" spans="19:20" x14ac:dyDescent="0.3">
      <c r="S1619" s="5">
        <v>1616</v>
      </c>
      <c r="T1619" s="6">
        <v>1</v>
      </c>
    </row>
    <row r="1620" spans="19:20" x14ac:dyDescent="0.3">
      <c r="S1620" s="5">
        <v>1617</v>
      </c>
      <c r="T1620" s="6">
        <v>1</v>
      </c>
    </row>
    <row r="1621" spans="19:20" x14ac:dyDescent="0.3">
      <c r="S1621" s="5">
        <v>1618</v>
      </c>
      <c r="T1621" s="6">
        <v>1</v>
      </c>
    </row>
    <row r="1622" spans="19:20" x14ac:dyDescent="0.3">
      <c r="S1622" s="5">
        <v>1619</v>
      </c>
      <c r="T1622" s="6">
        <v>1</v>
      </c>
    </row>
    <row r="1623" spans="19:20" x14ac:dyDescent="0.3">
      <c r="S1623" s="5">
        <v>1620</v>
      </c>
      <c r="T1623" s="6">
        <v>1</v>
      </c>
    </row>
    <row r="1624" spans="19:20" x14ac:dyDescent="0.3">
      <c r="S1624" s="5">
        <v>1621</v>
      </c>
      <c r="T1624" s="6">
        <v>1</v>
      </c>
    </row>
    <row r="1625" spans="19:20" x14ac:dyDescent="0.3">
      <c r="S1625" s="5">
        <v>1622</v>
      </c>
      <c r="T1625" s="6">
        <v>1</v>
      </c>
    </row>
    <row r="1626" spans="19:20" x14ac:dyDescent="0.3">
      <c r="S1626" s="5">
        <v>1623</v>
      </c>
      <c r="T1626" s="6">
        <v>1</v>
      </c>
    </row>
    <row r="1627" spans="19:20" x14ac:dyDescent="0.3">
      <c r="S1627" s="5">
        <v>1624</v>
      </c>
      <c r="T1627" s="6">
        <v>1</v>
      </c>
    </row>
    <row r="1628" spans="19:20" x14ac:dyDescent="0.3">
      <c r="S1628" s="5">
        <v>1625</v>
      </c>
      <c r="T1628" s="6">
        <v>1</v>
      </c>
    </row>
    <row r="1629" spans="19:20" x14ac:dyDescent="0.3">
      <c r="S1629" s="5">
        <v>1626</v>
      </c>
      <c r="T1629" s="6">
        <v>1</v>
      </c>
    </row>
    <row r="1630" spans="19:20" x14ac:dyDescent="0.3">
      <c r="S1630" s="5">
        <v>1627</v>
      </c>
      <c r="T1630" s="6">
        <v>1</v>
      </c>
    </row>
    <row r="1631" spans="19:20" x14ac:dyDescent="0.3">
      <c r="S1631" s="5">
        <v>1628</v>
      </c>
      <c r="T1631" s="6">
        <v>1</v>
      </c>
    </row>
    <row r="1632" spans="19:20" x14ac:dyDescent="0.3">
      <c r="S1632" s="5">
        <v>1629</v>
      </c>
      <c r="T1632" s="6">
        <v>1</v>
      </c>
    </row>
    <row r="1633" spans="19:20" x14ac:dyDescent="0.3">
      <c r="S1633" s="5">
        <v>1630</v>
      </c>
      <c r="T1633" s="6">
        <v>1</v>
      </c>
    </row>
    <row r="1634" spans="19:20" x14ac:dyDescent="0.3">
      <c r="S1634" s="5">
        <v>1631</v>
      </c>
      <c r="T1634" s="6">
        <v>1</v>
      </c>
    </row>
    <row r="1635" spans="19:20" x14ac:dyDescent="0.3">
      <c r="S1635" s="5">
        <v>1632</v>
      </c>
      <c r="T1635" s="6">
        <v>1</v>
      </c>
    </row>
    <row r="1636" spans="19:20" x14ac:dyDescent="0.3">
      <c r="S1636" s="5">
        <v>1633</v>
      </c>
      <c r="T1636" s="6">
        <v>1</v>
      </c>
    </row>
    <row r="1637" spans="19:20" x14ac:dyDescent="0.3">
      <c r="S1637" s="5">
        <v>1634</v>
      </c>
      <c r="T1637" s="6">
        <v>1</v>
      </c>
    </row>
    <row r="1638" spans="19:20" x14ac:dyDescent="0.3">
      <c r="S1638" s="5">
        <v>1635</v>
      </c>
      <c r="T1638" s="6">
        <v>1</v>
      </c>
    </row>
    <row r="1639" spans="19:20" x14ac:dyDescent="0.3">
      <c r="S1639" s="5">
        <v>1636</v>
      </c>
      <c r="T1639" s="6">
        <v>1</v>
      </c>
    </row>
    <row r="1640" spans="19:20" x14ac:dyDescent="0.3">
      <c r="S1640" s="5">
        <v>1637</v>
      </c>
      <c r="T1640" s="6">
        <v>1</v>
      </c>
    </row>
    <row r="1641" spans="19:20" x14ac:dyDescent="0.3">
      <c r="S1641" s="5">
        <v>1638</v>
      </c>
      <c r="T1641" s="6">
        <v>1</v>
      </c>
    </row>
    <row r="1642" spans="19:20" x14ac:dyDescent="0.3">
      <c r="S1642" s="5">
        <v>1639</v>
      </c>
      <c r="T1642" s="6">
        <v>1</v>
      </c>
    </row>
    <row r="1643" spans="19:20" x14ac:dyDescent="0.3">
      <c r="S1643" s="5">
        <v>1640</v>
      </c>
      <c r="T1643" s="6">
        <v>1</v>
      </c>
    </row>
    <row r="1644" spans="19:20" x14ac:dyDescent="0.3">
      <c r="S1644" s="5">
        <v>1641</v>
      </c>
      <c r="T1644" s="6">
        <v>1</v>
      </c>
    </row>
    <row r="1645" spans="19:20" x14ac:dyDescent="0.3">
      <c r="S1645" s="5">
        <v>1642</v>
      </c>
      <c r="T1645" s="6">
        <v>1</v>
      </c>
    </row>
    <row r="1646" spans="19:20" x14ac:dyDescent="0.3">
      <c r="S1646" s="5">
        <v>1643</v>
      </c>
      <c r="T1646" s="6">
        <v>1</v>
      </c>
    </row>
    <row r="1647" spans="19:20" x14ac:dyDescent="0.3">
      <c r="S1647" s="5">
        <v>1644</v>
      </c>
      <c r="T1647" s="6">
        <v>1</v>
      </c>
    </row>
    <row r="1648" spans="19:20" x14ac:dyDescent="0.3">
      <c r="S1648" s="5">
        <v>1645</v>
      </c>
      <c r="T1648" s="6">
        <v>1</v>
      </c>
    </row>
    <row r="1649" spans="19:20" x14ac:dyDescent="0.3">
      <c r="S1649" s="5">
        <v>1646</v>
      </c>
      <c r="T1649" s="6">
        <v>1</v>
      </c>
    </row>
    <row r="1650" spans="19:20" x14ac:dyDescent="0.3">
      <c r="S1650" s="5">
        <v>1647</v>
      </c>
      <c r="T1650" s="6">
        <v>1</v>
      </c>
    </row>
    <row r="1651" spans="19:20" x14ac:dyDescent="0.3">
      <c r="S1651" s="5">
        <v>1648</v>
      </c>
      <c r="T1651" s="6">
        <v>1</v>
      </c>
    </row>
    <row r="1652" spans="19:20" x14ac:dyDescent="0.3">
      <c r="S1652" s="5">
        <v>1649</v>
      </c>
      <c r="T1652" s="6">
        <v>1</v>
      </c>
    </row>
    <row r="1653" spans="19:20" x14ac:dyDescent="0.3">
      <c r="S1653" s="5">
        <v>1650</v>
      </c>
      <c r="T1653" s="6">
        <v>1</v>
      </c>
    </row>
    <row r="1654" spans="19:20" x14ac:dyDescent="0.3">
      <c r="S1654" s="5">
        <v>1651</v>
      </c>
      <c r="T1654" s="6">
        <v>1</v>
      </c>
    </row>
    <row r="1655" spans="19:20" x14ac:dyDescent="0.3">
      <c r="S1655" s="5">
        <v>1652</v>
      </c>
      <c r="T1655" s="6">
        <v>1</v>
      </c>
    </row>
    <row r="1656" spans="19:20" x14ac:dyDescent="0.3">
      <c r="S1656" s="5">
        <v>1653</v>
      </c>
      <c r="T1656" s="6">
        <v>1</v>
      </c>
    </row>
    <row r="1657" spans="19:20" x14ac:dyDescent="0.3">
      <c r="S1657" s="5">
        <v>1654</v>
      </c>
      <c r="T1657" s="6">
        <v>1</v>
      </c>
    </row>
    <row r="1658" spans="19:20" x14ac:dyDescent="0.3">
      <c r="S1658" s="5">
        <v>1655</v>
      </c>
      <c r="T1658" s="6">
        <v>1</v>
      </c>
    </row>
    <row r="1659" spans="19:20" x14ac:dyDescent="0.3">
      <c r="S1659" s="5">
        <v>1656</v>
      </c>
      <c r="T1659" s="6">
        <v>1</v>
      </c>
    </row>
    <row r="1660" spans="19:20" x14ac:dyDescent="0.3">
      <c r="S1660" s="5">
        <v>1657</v>
      </c>
      <c r="T1660" s="6">
        <v>1</v>
      </c>
    </row>
    <row r="1661" spans="19:20" x14ac:dyDescent="0.3">
      <c r="S1661" s="5">
        <v>1658</v>
      </c>
      <c r="T1661" s="6">
        <v>1</v>
      </c>
    </row>
    <row r="1662" spans="19:20" x14ac:dyDescent="0.3">
      <c r="S1662" s="5">
        <v>1659</v>
      </c>
      <c r="T1662" s="6">
        <v>1</v>
      </c>
    </row>
    <row r="1663" spans="19:20" x14ac:dyDescent="0.3">
      <c r="S1663" s="5">
        <v>1660</v>
      </c>
      <c r="T1663" s="6">
        <v>1</v>
      </c>
    </row>
    <row r="1664" spans="19:20" x14ac:dyDescent="0.3">
      <c r="S1664" s="5">
        <v>1661</v>
      </c>
      <c r="T1664" s="6">
        <v>1</v>
      </c>
    </row>
    <row r="1665" spans="19:20" x14ac:dyDescent="0.3">
      <c r="S1665" s="5">
        <v>1662</v>
      </c>
      <c r="T1665" s="6">
        <v>1</v>
      </c>
    </row>
    <row r="1666" spans="19:20" x14ac:dyDescent="0.3">
      <c r="S1666" s="5">
        <v>1663</v>
      </c>
      <c r="T1666" s="6">
        <v>1</v>
      </c>
    </row>
    <row r="1667" spans="19:20" x14ac:dyDescent="0.3">
      <c r="S1667" s="5">
        <v>1664</v>
      </c>
      <c r="T1667" s="6">
        <v>1</v>
      </c>
    </row>
    <row r="1668" spans="19:20" x14ac:dyDescent="0.3">
      <c r="S1668" s="5">
        <v>1665</v>
      </c>
      <c r="T1668" s="6">
        <v>1</v>
      </c>
    </row>
    <row r="1669" spans="19:20" x14ac:dyDescent="0.3">
      <c r="S1669" s="5">
        <v>1666</v>
      </c>
      <c r="T1669" s="6">
        <v>1</v>
      </c>
    </row>
    <row r="1670" spans="19:20" x14ac:dyDescent="0.3">
      <c r="S1670" s="5">
        <v>1667</v>
      </c>
      <c r="T1670" s="6">
        <v>1</v>
      </c>
    </row>
    <row r="1671" spans="19:20" x14ac:dyDescent="0.3">
      <c r="S1671" s="5">
        <v>1668</v>
      </c>
      <c r="T1671" s="6">
        <v>1</v>
      </c>
    </row>
    <row r="1672" spans="19:20" x14ac:dyDescent="0.3">
      <c r="S1672" s="5">
        <v>1669</v>
      </c>
      <c r="T1672" s="6">
        <v>1</v>
      </c>
    </row>
    <row r="1673" spans="19:20" x14ac:dyDescent="0.3">
      <c r="S1673" s="5">
        <v>1670</v>
      </c>
      <c r="T1673" s="6">
        <v>1</v>
      </c>
    </row>
    <row r="1674" spans="19:20" x14ac:dyDescent="0.3">
      <c r="S1674" s="5">
        <v>1671</v>
      </c>
      <c r="T1674" s="6">
        <v>1</v>
      </c>
    </row>
    <row r="1675" spans="19:20" x14ac:dyDescent="0.3">
      <c r="S1675" s="5">
        <v>1672</v>
      </c>
      <c r="T1675" s="6">
        <v>1</v>
      </c>
    </row>
    <row r="1676" spans="19:20" x14ac:dyDescent="0.3">
      <c r="S1676" s="5">
        <v>1673</v>
      </c>
      <c r="T1676" s="6">
        <v>1</v>
      </c>
    </row>
    <row r="1677" spans="19:20" x14ac:dyDescent="0.3">
      <c r="S1677" s="5">
        <v>1674</v>
      </c>
      <c r="T1677" s="6">
        <v>1</v>
      </c>
    </row>
    <row r="1678" spans="19:20" x14ac:dyDescent="0.3">
      <c r="S1678" s="5">
        <v>1675</v>
      </c>
      <c r="T1678" s="6">
        <v>1</v>
      </c>
    </row>
    <row r="1679" spans="19:20" x14ac:dyDescent="0.3">
      <c r="S1679" s="5">
        <v>1676</v>
      </c>
      <c r="T1679" s="6">
        <v>1</v>
      </c>
    </row>
    <row r="1680" spans="19:20" x14ac:dyDescent="0.3">
      <c r="S1680" s="5">
        <v>1677</v>
      </c>
      <c r="T1680" s="6">
        <v>1</v>
      </c>
    </row>
    <row r="1681" spans="19:20" x14ac:dyDescent="0.3">
      <c r="S1681" s="5">
        <v>1678</v>
      </c>
      <c r="T1681" s="6">
        <v>1</v>
      </c>
    </row>
    <row r="1682" spans="19:20" x14ac:dyDescent="0.3">
      <c r="S1682" s="5">
        <v>1679</v>
      </c>
      <c r="T1682" s="6">
        <v>1</v>
      </c>
    </row>
    <row r="1683" spans="19:20" x14ac:dyDescent="0.3">
      <c r="S1683" s="5">
        <v>1680</v>
      </c>
      <c r="T1683" s="6">
        <v>1</v>
      </c>
    </row>
    <row r="1684" spans="19:20" x14ac:dyDescent="0.3">
      <c r="S1684" s="5">
        <v>1681</v>
      </c>
      <c r="T1684" s="6">
        <v>1</v>
      </c>
    </row>
    <row r="1685" spans="19:20" x14ac:dyDescent="0.3">
      <c r="S1685" s="5">
        <v>1682</v>
      </c>
      <c r="T1685" s="6">
        <v>1</v>
      </c>
    </row>
    <row r="1686" spans="19:20" x14ac:dyDescent="0.3">
      <c r="S1686" s="5">
        <v>1683</v>
      </c>
      <c r="T1686" s="6">
        <v>1</v>
      </c>
    </row>
    <row r="1687" spans="19:20" x14ac:dyDescent="0.3">
      <c r="S1687" s="5">
        <v>1684</v>
      </c>
      <c r="T1687" s="6">
        <v>1</v>
      </c>
    </row>
    <row r="1688" spans="19:20" x14ac:dyDescent="0.3">
      <c r="S1688" s="5">
        <v>1685</v>
      </c>
      <c r="T1688" s="6">
        <v>1</v>
      </c>
    </row>
    <row r="1689" spans="19:20" x14ac:dyDescent="0.3">
      <c r="S1689" s="5">
        <v>1686</v>
      </c>
      <c r="T1689" s="6">
        <v>1</v>
      </c>
    </row>
    <row r="1690" spans="19:20" x14ac:dyDescent="0.3">
      <c r="S1690" s="5">
        <v>1687</v>
      </c>
      <c r="T1690" s="6">
        <v>1</v>
      </c>
    </row>
    <row r="1691" spans="19:20" x14ac:dyDescent="0.3">
      <c r="S1691" s="5">
        <v>1688</v>
      </c>
      <c r="T1691" s="6">
        <v>1</v>
      </c>
    </row>
    <row r="1692" spans="19:20" x14ac:dyDescent="0.3">
      <c r="S1692" s="5">
        <v>1689</v>
      </c>
      <c r="T1692" s="6">
        <v>1</v>
      </c>
    </row>
    <row r="1693" spans="19:20" x14ac:dyDescent="0.3">
      <c r="S1693" s="5">
        <v>1690</v>
      </c>
      <c r="T1693" s="6">
        <v>1</v>
      </c>
    </row>
    <row r="1694" spans="19:20" x14ac:dyDescent="0.3">
      <c r="S1694" s="5">
        <v>1691</v>
      </c>
      <c r="T1694" s="6">
        <v>1</v>
      </c>
    </row>
    <row r="1695" spans="19:20" x14ac:dyDescent="0.3">
      <c r="S1695" s="5">
        <v>1692</v>
      </c>
      <c r="T1695" s="6">
        <v>1</v>
      </c>
    </row>
    <row r="1696" spans="19:20" x14ac:dyDescent="0.3">
      <c r="S1696" s="5">
        <v>1693</v>
      </c>
      <c r="T1696" s="6">
        <v>1</v>
      </c>
    </row>
    <row r="1697" spans="19:20" x14ac:dyDescent="0.3">
      <c r="S1697" s="5">
        <v>1694</v>
      </c>
      <c r="T1697" s="6">
        <v>1</v>
      </c>
    </row>
    <row r="1698" spans="19:20" x14ac:dyDescent="0.3">
      <c r="S1698" s="5">
        <v>1695</v>
      </c>
      <c r="T1698" s="6">
        <v>1</v>
      </c>
    </row>
    <row r="1699" spans="19:20" x14ac:dyDescent="0.3">
      <c r="S1699" s="5">
        <v>1696</v>
      </c>
      <c r="T1699" s="6">
        <v>1</v>
      </c>
    </row>
    <row r="1700" spans="19:20" x14ac:dyDescent="0.3">
      <c r="S1700" s="5">
        <v>1697</v>
      </c>
      <c r="T1700" s="6">
        <v>1</v>
      </c>
    </row>
    <row r="1701" spans="19:20" x14ac:dyDescent="0.3">
      <c r="S1701" s="5">
        <v>1698</v>
      </c>
      <c r="T1701" s="6">
        <v>1</v>
      </c>
    </row>
    <row r="1702" spans="19:20" x14ac:dyDescent="0.3">
      <c r="S1702" s="5">
        <v>1699</v>
      </c>
      <c r="T1702" s="6">
        <v>1</v>
      </c>
    </row>
    <row r="1703" spans="19:20" x14ac:dyDescent="0.3">
      <c r="S1703" s="5">
        <v>1700</v>
      </c>
      <c r="T1703" s="6">
        <v>1</v>
      </c>
    </row>
    <row r="1704" spans="19:20" x14ac:dyDescent="0.3">
      <c r="S1704" s="5">
        <v>1701</v>
      </c>
      <c r="T1704" s="6">
        <v>1</v>
      </c>
    </row>
    <row r="1705" spans="19:20" x14ac:dyDescent="0.3">
      <c r="S1705" s="5">
        <v>1702</v>
      </c>
      <c r="T1705" s="6">
        <v>1</v>
      </c>
    </row>
    <row r="1706" spans="19:20" x14ac:dyDescent="0.3">
      <c r="S1706" s="5">
        <v>1703</v>
      </c>
      <c r="T1706" s="6">
        <v>1</v>
      </c>
    </row>
    <row r="1707" spans="19:20" x14ac:dyDescent="0.3">
      <c r="S1707" s="5">
        <v>1704</v>
      </c>
      <c r="T1707" s="6">
        <v>1</v>
      </c>
    </row>
    <row r="1708" spans="19:20" x14ac:dyDescent="0.3">
      <c r="S1708" s="5">
        <v>1705</v>
      </c>
      <c r="T1708" s="6">
        <v>1</v>
      </c>
    </row>
    <row r="1709" spans="19:20" x14ac:dyDescent="0.3">
      <c r="S1709" s="5">
        <v>1706</v>
      </c>
      <c r="T1709" s="6">
        <v>1</v>
      </c>
    </row>
    <row r="1710" spans="19:20" x14ac:dyDescent="0.3">
      <c r="S1710" s="5">
        <v>1707</v>
      </c>
      <c r="T1710" s="6">
        <v>1</v>
      </c>
    </row>
    <row r="1711" spans="19:20" x14ac:dyDescent="0.3">
      <c r="S1711" s="5">
        <v>1708</v>
      </c>
      <c r="T1711" s="6">
        <v>1</v>
      </c>
    </row>
    <row r="1712" spans="19:20" x14ac:dyDescent="0.3">
      <c r="S1712" s="5">
        <v>1709</v>
      </c>
      <c r="T1712" s="6">
        <v>1</v>
      </c>
    </row>
    <row r="1713" spans="19:20" x14ac:dyDescent="0.3">
      <c r="S1713" s="5">
        <v>1710</v>
      </c>
      <c r="T1713" s="6">
        <v>1</v>
      </c>
    </row>
    <row r="1714" spans="19:20" x14ac:dyDescent="0.3">
      <c r="S1714" s="5">
        <v>1711</v>
      </c>
      <c r="T1714" s="6">
        <v>1</v>
      </c>
    </row>
    <row r="1715" spans="19:20" x14ac:dyDescent="0.3">
      <c r="S1715" s="5">
        <v>1712</v>
      </c>
      <c r="T1715" s="6">
        <v>1</v>
      </c>
    </row>
    <row r="1716" spans="19:20" x14ac:dyDescent="0.3">
      <c r="S1716" s="5">
        <v>1713</v>
      </c>
      <c r="T1716" s="6">
        <v>1</v>
      </c>
    </row>
    <row r="1717" spans="19:20" x14ac:dyDescent="0.3">
      <c r="S1717" s="5">
        <v>1714</v>
      </c>
      <c r="T1717" s="6">
        <v>1</v>
      </c>
    </row>
    <row r="1718" spans="19:20" x14ac:dyDescent="0.3">
      <c r="S1718" s="5">
        <v>1715</v>
      </c>
      <c r="T1718" s="6">
        <v>1</v>
      </c>
    </row>
    <row r="1719" spans="19:20" x14ac:dyDescent="0.3">
      <c r="S1719" s="5">
        <v>1716</v>
      </c>
      <c r="T1719" s="6">
        <v>1</v>
      </c>
    </row>
    <row r="1720" spans="19:20" x14ac:dyDescent="0.3">
      <c r="S1720" s="5">
        <v>1717</v>
      </c>
      <c r="T1720" s="6">
        <v>1</v>
      </c>
    </row>
    <row r="1721" spans="19:20" x14ac:dyDescent="0.3">
      <c r="S1721" s="5">
        <v>1718</v>
      </c>
      <c r="T1721" s="6">
        <v>1</v>
      </c>
    </row>
    <row r="1722" spans="19:20" x14ac:dyDescent="0.3">
      <c r="S1722" s="5">
        <v>1719</v>
      </c>
      <c r="T1722" s="6">
        <v>1</v>
      </c>
    </row>
    <row r="1723" spans="19:20" x14ac:dyDescent="0.3">
      <c r="S1723" s="5">
        <v>1720</v>
      </c>
      <c r="T1723" s="6">
        <v>1</v>
      </c>
    </row>
    <row r="1724" spans="19:20" x14ac:dyDescent="0.3">
      <c r="S1724" s="5">
        <v>1721</v>
      </c>
      <c r="T1724" s="6">
        <v>1</v>
      </c>
    </row>
    <row r="1725" spans="19:20" x14ac:dyDescent="0.3">
      <c r="S1725" s="5">
        <v>1722</v>
      </c>
      <c r="T1725" s="6">
        <v>1</v>
      </c>
    </row>
    <row r="1726" spans="19:20" x14ac:dyDescent="0.3">
      <c r="S1726" s="5">
        <v>1723</v>
      </c>
      <c r="T1726" s="6">
        <v>1</v>
      </c>
    </row>
    <row r="1727" spans="19:20" x14ac:dyDescent="0.3">
      <c r="S1727" s="5">
        <v>1724</v>
      </c>
      <c r="T1727" s="6">
        <v>1</v>
      </c>
    </row>
    <row r="1728" spans="19:20" x14ac:dyDescent="0.3">
      <c r="S1728" s="5">
        <v>1725</v>
      </c>
      <c r="T1728" s="6">
        <v>1</v>
      </c>
    </row>
    <row r="1729" spans="19:20" x14ac:dyDescent="0.3">
      <c r="S1729" s="5">
        <v>1726</v>
      </c>
      <c r="T1729" s="6">
        <v>1</v>
      </c>
    </row>
    <row r="1730" spans="19:20" x14ac:dyDescent="0.3">
      <c r="S1730" s="5">
        <v>1727</v>
      </c>
      <c r="T1730" s="6">
        <v>1</v>
      </c>
    </row>
    <row r="1731" spans="19:20" x14ac:dyDescent="0.3">
      <c r="S1731" s="5">
        <v>1728</v>
      </c>
      <c r="T1731" s="6">
        <v>1</v>
      </c>
    </row>
    <row r="1732" spans="19:20" x14ac:dyDescent="0.3">
      <c r="S1732" s="5">
        <v>1729</v>
      </c>
      <c r="T1732" s="6">
        <v>1</v>
      </c>
    </row>
    <row r="1733" spans="19:20" x14ac:dyDescent="0.3">
      <c r="S1733" s="5">
        <v>1730</v>
      </c>
      <c r="T1733" s="6">
        <v>1</v>
      </c>
    </row>
    <row r="1734" spans="19:20" x14ac:dyDescent="0.3">
      <c r="S1734" s="5">
        <v>1731</v>
      </c>
      <c r="T1734" s="6">
        <v>1</v>
      </c>
    </row>
    <row r="1735" spans="19:20" x14ac:dyDescent="0.3">
      <c r="S1735" s="5">
        <v>1732</v>
      </c>
      <c r="T1735" s="6">
        <v>1</v>
      </c>
    </row>
    <row r="1736" spans="19:20" x14ac:dyDescent="0.3">
      <c r="S1736" s="5">
        <v>1733</v>
      </c>
      <c r="T1736" s="6">
        <v>1</v>
      </c>
    </row>
    <row r="1737" spans="19:20" x14ac:dyDescent="0.3">
      <c r="S1737" s="5">
        <v>1734</v>
      </c>
      <c r="T1737" s="6">
        <v>1</v>
      </c>
    </row>
    <row r="1738" spans="19:20" x14ac:dyDescent="0.3">
      <c r="S1738" s="5">
        <v>1735</v>
      </c>
      <c r="T1738" s="6">
        <v>1</v>
      </c>
    </row>
    <row r="1739" spans="19:20" x14ac:dyDescent="0.3">
      <c r="S1739" s="5">
        <v>1736</v>
      </c>
      <c r="T1739" s="6">
        <v>1</v>
      </c>
    </row>
    <row r="1740" spans="19:20" x14ac:dyDescent="0.3">
      <c r="S1740" s="5">
        <v>1737</v>
      </c>
      <c r="T1740" s="6">
        <v>1</v>
      </c>
    </row>
    <row r="1741" spans="19:20" x14ac:dyDescent="0.3">
      <c r="S1741" s="5">
        <v>1738</v>
      </c>
      <c r="T1741" s="6">
        <v>1</v>
      </c>
    </row>
    <row r="1742" spans="19:20" x14ac:dyDescent="0.3">
      <c r="S1742" s="5">
        <v>1739</v>
      </c>
      <c r="T1742" s="6">
        <v>1</v>
      </c>
    </row>
    <row r="1743" spans="19:20" x14ac:dyDescent="0.3">
      <c r="S1743" s="5">
        <v>1740</v>
      </c>
      <c r="T1743" s="6">
        <v>1</v>
      </c>
    </row>
    <row r="1744" spans="19:20" x14ac:dyDescent="0.3">
      <c r="S1744" s="5">
        <v>1741</v>
      </c>
      <c r="T1744" s="6">
        <v>1</v>
      </c>
    </row>
    <row r="1745" spans="19:20" x14ac:dyDescent="0.3">
      <c r="S1745" s="5">
        <v>1742</v>
      </c>
      <c r="T1745" s="6">
        <v>1</v>
      </c>
    </row>
    <row r="1746" spans="19:20" x14ac:dyDescent="0.3">
      <c r="S1746" s="5">
        <v>1743</v>
      </c>
      <c r="T1746" s="6">
        <v>1</v>
      </c>
    </row>
    <row r="1747" spans="19:20" x14ac:dyDescent="0.3">
      <c r="S1747" s="5">
        <v>1744</v>
      </c>
      <c r="T1747" s="6">
        <v>1</v>
      </c>
    </row>
    <row r="1748" spans="19:20" x14ac:dyDescent="0.3">
      <c r="S1748" s="5">
        <v>1745</v>
      </c>
      <c r="T1748" s="6">
        <v>1</v>
      </c>
    </row>
    <row r="1749" spans="19:20" x14ac:dyDescent="0.3">
      <c r="S1749" s="5">
        <v>1746</v>
      </c>
      <c r="T1749" s="6">
        <v>1</v>
      </c>
    </row>
    <row r="1750" spans="19:20" x14ac:dyDescent="0.3">
      <c r="S1750" s="5">
        <v>1747</v>
      </c>
      <c r="T1750" s="6">
        <v>1</v>
      </c>
    </row>
    <row r="1751" spans="19:20" x14ac:dyDescent="0.3">
      <c r="S1751" s="5">
        <v>1748</v>
      </c>
      <c r="T1751" s="6">
        <v>1</v>
      </c>
    </row>
    <row r="1752" spans="19:20" x14ac:dyDescent="0.3">
      <c r="S1752" s="5">
        <v>1749</v>
      </c>
      <c r="T1752" s="6">
        <v>1</v>
      </c>
    </row>
    <row r="1753" spans="19:20" x14ac:dyDescent="0.3">
      <c r="S1753" s="5">
        <v>1750</v>
      </c>
      <c r="T1753" s="6">
        <v>1</v>
      </c>
    </row>
    <row r="1754" spans="19:20" x14ac:dyDescent="0.3">
      <c r="S1754" s="5">
        <v>1751</v>
      </c>
      <c r="T1754" s="6">
        <v>1</v>
      </c>
    </row>
    <row r="1755" spans="19:20" x14ac:dyDescent="0.3">
      <c r="S1755" s="5">
        <v>1752</v>
      </c>
      <c r="T1755" s="6">
        <v>1</v>
      </c>
    </row>
    <row r="1756" spans="19:20" x14ac:dyDescent="0.3">
      <c r="S1756" s="5">
        <v>1753</v>
      </c>
      <c r="T1756" s="6">
        <v>1</v>
      </c>
    </row>
    <row r="1757" spans="19:20" x14ac:dyDescent="0.3">
      <c r="S1757" s="5">
        <v>1754</v>
      </c>
      <c r="T1757" s="6">
        <v>1</v>
      </c>
    </row>
    <row r="1758" spans="19:20" x14ac:dyDescent="0.3">
      <c r="S1758" s="5">
        <v>1755</v>
      </c>
      <c r="T1758" s="6">
        <v>1</v>
      </c>
    </row>
    <row r="1759" spans="19:20" x14ac:dyDescent="0.3">
      <c r="S1759" s="5">
        <v>1756</v>
      </c>
      <c r="T1759" s="6">
        <v>1</v>
      </c>
    </row>
    <row r="1760" spans="19:20" x14ac:dyDescent="0.3">
      <c r="S1760" s="5">
        <v>1757</v>
      </c>
      <c r="T1760" s="6">
        <v>1</v>
      </c>
    </row>
    <row r="1761" spans="19:20" x14ac:dyDescent="0.3">
      <c r="S1761" s="5">
        <v>1758</v>
      </c>
      <c r="T1761" s="6">
        <v>1</v>
      </c>
    </row>
    <row r="1762" spans="19:20" x14ac:dyDescent="0.3">
      <c r="S1762" s="5">
        <v>1759</v>
      </c>
      <c r="T1762" s="6">
        <v>1</v>
      </c>
    </row>
    <row r="1763" spans="19:20" x14ac:dyDescent="0.3">
      <c r="S1763" s="5">
        <v>1760</v>
      </c>
      <c r="T1763" s="6">
        <v>1</v>
      </c>
    </row>
    <row r="1764" spans="19:20" x14ac:dyDescent="0.3">
      <c r="S1764" s="5">
        <v>1761</v>
      </c>
      <c r="T1764" s="6">
        <v>1</v>
      </c>
    </row>
    <row r="1765" spans="19:20" x14ac:dyDescent="0.3">
      <c r="S1765" s="5">
        <v>1762</v>
      </c>
      <c r="T1765" s="6">
        <v>1</v>
      </c>
    </row>
    <row r="1766" spans="19:20" x14ac:dyDescent="0.3">
      <c r="S1766" s="5">
        <v>1763</v>
      </c>
      <c r="T1766" s="6">
        <v>1</v>
      </c>
    </row>
    <row r="1767" spans="19:20" x14ac:dyDescent="0.3">
      <c r="S1767" s="5">
        <v>1764</v>
      </c>
      <c r="T1767" s="6">
        <v>1</v>
      </c>
    </row>
    <row r="1768" spans="19:20" x14ac:dyDescent="0.3">
      <c r="S1768" s="5">
        <v>1765</v>
      </c>
      <c r="T1768" s="6">
        <v>1</v>
      </c>
    </row>
    <row r="1769" spans="19:20" x14ac:dyDescent="0.3">
      <c r="S1769" s="5">
        <v>1766</v>
      </c>
      <c r="T1769" s="6">
        <v>1</v>
      </c>
    </row>
    <row r="1770" spans="19:20" x14ac:dyDescent="0.3">
      <c r="S1770" s="5">
        <v>1767</v>
      </c>
      <c r="T1770" s="6">
        <v>1</v>
      </c>
    </row>
    <row r="1771" spans="19:20" x14ac:dyDescent="0.3">
      <c r="S1771" s="5">
        <v>1768</v>
      </c>
      <c r="T1771" s="6">
        <v>1</v>
      </c>
    </row>
    <row r="1772" spans="19:20" x14ac:dyDescent="0.3">
      <c r="S1772" s="5">
        <v>1769</v>
      </c>
      <c r="T1772" s="6">
        <v>1</v>
      </c>
    </row>
    <row r="1773" spans="19:20" x14ac:dyDescent="0.3">
      <c r="S1773" s="5">
        <v>1770</v>
      </c>
      <c r="T1773" s="6">
        <v>1</v>
      </c>
    </row>
    <row r="1774" spans="19:20" x14ac:dyDescent="0.3">
      <c r="S1774" s="5">
        <v>1771</v>
      </c>
      <c r="T1774" s="6">
        <v>1</v>
      </c>
    </row>
    <row r="1775" spans="19:20" x14ac:dyDescent="0.3">
      <c r="S1775" s="5">
        <v>1772</v>
      </c>
      <c r="T1775" s="6">
        <v>1</v>
      </c>
    </row>
    <row r="1776" spans="19:20" x14ac:dyDescent="0.3">
      <c r="S1776" s="5">
        <v>1773</v>
      </c>
      <c r="T1776" s="6">
        <v>1</v>
      </c>
    </row>
    <row r="1777" spans="19:20" x14ac:dyDescent="0.3">
      <c r="S1777" s="5">
        <v>1774</v>
      </c>
      <c r="T1777" s="6">
        <v>1</v>
      </c>
    </row>
    <row r="1778" spans="19:20" x14ac:dyDescent="0.3">
      <c r="S1778" s="5">
        <v>1775</v>
      </c>
      <c r="T1778" s="6">
        <v>1</v>
      </c>
    </row>
    <row r="1779" spans="19:20" x14ac:dyDescent="0.3">
      <c r="S1779" s="5">
        <v>1776</v>
      </c>
      <c r="T1779" s="6">
        <v>1</v>
      </c>
    </row>
    <row r="1780" spans="19:20" x14ac:dyDescent="0.3">
      <c r="S1780" s="5">
        <v>1777</v>
      </c>
      <c r="T1780" s="6">
        <v>1</v>
      </c>
    </row>
    <row r="1781" spans="19:20" x14ac:dyDescent="0.3">
      <c r="S1781" s="5">
        <v>1778</v>
      </c>
      <c r="T1781" s="6">
        <v>1</v>
      </c>
    </row>
    <row r="1782" spans="19:20" x14ac:dyDescent="0.3">
      <c r="S1782" s="5">
        <v>1779</v>
      </c>
      <c r="T1782" s="6">
        <v>1</v>
      </c>
    </row>
    <row r="1783" spans="19:20" x14ac:dyDescent="0.3">
      <c r="S1783" s="5">
        <v>1780</v>
      </c>
      <c r="T1783" s="6">
        <v>1</v>
      </c>
    </row>
    <row r="1784" spans="19:20" x14ac:dyDescent="0.3">
      <c r="S1784" s="5">
        <v>1781</v>
      </c>
      <c r="T1784" s="6">
        <v>1</v>
      </c>
    </row>
    <row r="1785" spans="19:20" x14ac:dyDescent="0.3">
      <c r="S1785" s="5">
        <v>1782</v>
      </c>
      <c r="T1785" s="6">
        <v>1</v>
      </c>
    </row>
    <row r="1786" spans="19:20" x14ac:dyDescent="0.3">
      <c r="S1786" s="5">
        <v>1783</v>
      </c>
      <c r="T1786" s="6">
        <v>1</v>
      </c>
    </row>
    <row r="1787" spans="19:20" x14ac:dyDescent="0.3">
      <c r="S1787" s="5">
        <v>1784</v>
      </c>
      <c r="T1787" s="6">
        <v>1</v>
      </c>
    </row>
    <row r="1788" spans="19:20" x14ac:dyDescent="0.3">
      <c r="S1788" s="5">
        <v>1785</v>
      </c>
      <c r="T1788" s="6">
        <v>1</v>
      </c>
    </row>
    <row r="1789" spans="19:20" x14ac:dyDescent="0.3">
      <c r="S1789" s="5">
        <v>1786</v>
      </c>
      <c r="T1789" s="6">
        <v>1</v>
      </c>
    </row>
    <row r="1790" spans="19:20" x14ac:dyDescent="0.3">
      <c r="S1790" s="5">
        <v>1787</v>
      </c>
      <c r="T1790" s="6">
        <v>1</v>
      </c>
    </row>
    <row r="1791" spans="19:20" x14ac:dyDescent="0.3">
      <c r="S1791" s="5">
        <v>1788</v>
      </c>
      <c r="T1791" s="6">
        <v>1</v>
      </c>
    </row>
    <row r="1792" spans="19:20" x14ac:dyDescent="0.3">
      <c r="S1792" s="5">
        <v>1789</v>
      </c>
      <c r="T1792" s="6">
        <v>1</v>
      </c>
    </row>
    <row r="1793" spans="19:20" x14ac:dyDescent="0.3">
      <c r="S1793" s="5">
        <v>1790</v>
      </c>
      <c r="T1793" s="6">
        <v>1</v>
      </c>
    </row>
    <row r="1794" spans="19:20" x14ac:dyDescent="0.3">
      <c r="S1794" s="5">
        <v>1791</v>
      </c>
      <c r="T1794" s="6">
        <v>1</v>
      </c>
    </row>
    <row r="1795" spans="19:20" x14ac:dyDescent="0.3">
      <c r="S1795" s="5">
        <v>1792</v>
      </c>
      <c r="T1795" s="6">
        <v>1</v>
      </c>
    </row>
    <row r="1796" spans="19:20" x14ac:dyDescent="0.3">
      <c r="S1796" s="5">
        <v>1793</v>
      </c>
      <c r="T1796" s="6">
        <v>1</v>
      </c>
    </row>
    <row r="1797" spans="19:20" x14ac:dyDescent="0.3">
      <c r="S1797" s="5">
        <v>1794</v>
      </c>
      <c r="T1797" s="6">
        <v>1</v>
      </c>
    </row>
    <row r="1798" spans="19:20" x14ac:dyDescent="0.3">
      <c r="S1798" s="5">
        <v>1795</v>
      </c>
      <c r="T1798" s="6">
        <v>1</v>
      </c>
    </row>
    <row r="1799" spans="19:20" x14ac:dyDescent="0.3">
      <c r="S1799" s="5">
        <v>1796</v>
      </c>
      <c r="T1799" s="6">
        <v>1</v>
      </c>
    </row>
    <row r="1800" spans="19:20" x14ac:dyDescent="0.3">
      <c r="S1800" s="5">
        <v>1797</v>
      </c>
      <c r="T1800" s="6">
        <v>1</v>
      </c>
    </row>
    <row r="1801" spans="19:20" x14ac:dyDescent="0.3">
      <c r="S1801" s="5">
        <v>1798</v>
      </c>
      <c r="T1801" s="6">
        <v>1</v>
      </c>
    </row>
    <row r="1802" spans="19:20" x14ac:dyDescent="0.3">
      <c r="S1802" s="5">
        <v>1799</v>
      </c>
      <c r="T1802" s="6">
        <v>1</v>
      </c>
    </row>
    <row r="1803" spans="19:20" x14ac:dyDescent="0.3">
      <c r="S1803" s="5">
        <v>1800</v>
      </c>
      <c r="T1803" s="6">
        <v>1</v>
      </c>
    </row>
    <row r="1804" spans="19:20" x14ac:dyDescent="0.3">
      <c r="S1804" s="5">
        <v>1801</v>
      </c>
      <c r="T1804" s="6">
        <v>1</v>
      </c>
    </row>
    <row r="1805" spans="19:20" x14ac:dyDescent="0.3">
      <c r="S1805" s="5">
        <v>1802</v>
      </c>
      <c r="T1805" s="6">
        <v>1</v>
      </c>
    </row>
    <row r="1806" spans="19:20" x14ac:dyDescent="0.3">
      <c r="S1806" s="5">
        <v>1803</v>
      </c>
      <c r="T1806" s="6">
        <v>1</v>
      </c>
    </row>
    <row r="1807" spans="19:20" x14ac:dyDescent="0.3">
      <c r="S1807" s="5">
        <v>1804</v>
      </c>
      <c r="T1807" s="6">
        <v>1</v>
      </c>
    </row>
    <row r="1808" spans="19:20" x14ac:dyDescent="0.3">
      <c r="S1808" s="5">
        <v>1805</v>
      </c>
      <c r="T1808" s="6">
        <v>1</v>
      </c>
    </row>
    <row r="1809" spans="19:20" x14ac:dyDescent="0.3">
      <c r="S1809" s="5">
        <v>1806</v>
      </c>
      <c r="T1809" s="6">
        <v>1</v>
      </c>
    </row>
    <row r="1810" spans="19:20" x14ac:dyDescent="0.3">
      <c r="S1810" s="5">
        <v>1807</v>
      </c>
      <c r="T1810" s="6">
        <v>1</v>
      </c>
    </row>
    <row r="1811" spans="19:20" x14ac:dyDescent="0.3">
      <c r="S1811" s="5">
        <v>1808</v>
      </c>
      <c r="T1811" s="6">
        <v>1</v>
      </c>
    </row>
    <row r="1812" spans="19:20" x14ac:dyDescent="0.3">
      <c r="S1812" s="5">
        <v>1809</v>
      </c>
      <c r="T1812" s="6">
        <v>1</v>
      </c>
    </row>
    <row r="1813" spans="19:20" x14ac:dyDescent="0.3">
      <c r="S1813" s="5">
        <v>1810</v>
      </c>
      <c r="T1813" s="6">
        <v>1</v>
      </c>
    </row>
    <row r="1814" spans="19:20" x14ac:dyDescent="0.3">
      <c r="S1814" s="5">
        <v>1811</v>
      </c>
      <c r="T1814" s="6">
        <v>1</v>
      </c>
    </row>
    <row r="1815" spans="19:20" x14ac:dyDescent="0.3">
      <c r="S1815" s="5">
        <v>1812</v>
      </c>
      <c r="T1815" s="6">
        <v>1</v>
      </c>
    </row>
    <row r="1816" spans="19:20" x14ac:dyDescent="0.3">
      <c r="S1816" s="5">
        <v>1813</v>
      </c>
      <c r="T1816" s="6">
        <v>1</v>
      </c>
    </row>
    <row r="1817" spans="19:20" x14ac:dyDescent="0.3">
      <c r="S1817" s="5">
        <v>1814</v>
      </c>
      <c r="T1817" s="6">
        <v>1</v>
      </c>
    </row>
    <row r="1818" spans="19:20" x14ac:dyDescent="0.3">
      <c r="S1818" s="5">
        <v>1815</v>
      </c>
      <c r="T1818" s="6">
        <v>1</v>
      </c>
    </row>
    <row r="1819" spans="19:20" x14ac:dyDescent="0.3">
      <c r="S1819" s="5">
        <v>1816</v>
      </c>
      <c r="T1819" s="6">
        <v>1</v>
      </c>
    </row>
    <row r="1820" spans="19:20" x14ac:dyDescent="0.3">
      <c r="S1820" s="5">
        <v>1817</v>
      </c>
      <c r="T1820" s="6">
        <v>1</v>
      </c>
    </row>
    <row r="1821" spans="19:20" x14ac:dyDescent="0.3">
      <c r="S1821" s="5">
        <v>1818</v>
      </c>
      <c r="T1821" s="6">
        <v>1</v>
      </c>
    </row>
    <row r="1822" spans="19:20" x14ac:dyDescent="0.3">
      <c r="S1822" s="5">
        <v>1819</v>
      </c>
      <c r="T1822" s="6">
        <v>1</v>
      </c>
    </row>
    <row r="1823" spans="19:20" x14ac:dyDescent="0.3">
      <c r="S1823" s="5">
        <v>1820</v>
      </c>
      <c r="T1823" s="6">
        <v>1</v>
      </c>
    </row>
    <row r="1824" spans="19:20" x14ac:dyDescent="0.3">
      <c r="S1824" s="5">
        <v>1821</v>
      </c>
      <c r="T1824" s="6">
        <v>1</v>
      </c>
    </row>
    <row r="1825" spans="19:20" x14ac:dyDescent="0.3">
      <c r="S1825" s="5">
        <v>1822</v>
      </c>
      <c r="T1825" s="6">
        <v>1</v>
      </c>
    </row>
    <row r="1826" spans="19:20" x14ac:dyDescent="0.3">
      <c r="S1826" s="5">
        <v>1823</v>
      </c>
      <c r="T1826" s="6">
        <v>1</v>
      </c>
    </row>
    <row r="1827" spans="19:20" x14ac:dyDescent="0.3">
      <c r="S1827" s="5">
        <v>1824</v>
      </c>
      <c r="T1827" s="6">
        <v>1</v>
      </c>
    </row>
    <row r="1828" spans="19:20" x14ac:dyDescent="0.3">
      <c r="S1828" s="5">
        <v>1825</v>
      </c>
      <c r="T1828" s="6">
        <v>1</v>
      </c>
    </row>
    <row r="1829" spans="19:20" x14ac:dyDescent="0.3">
      <c r="S1829" s="5">
        <v>1826</v>
      </c>
      <c r="T1829" s="6">
        <v>1</v>
      </c>
    </row>
    <row r="1830" spans="19:20" x14ac:dyDescent="0.3">
      <c r="S1830" s="5">
        <v>1827</v>
      </c>
      <c r="T1830" s="6">
        <v>1</v>
      </c>
    </row>
    <row r="1831" spans="19:20" x14ac:dyDescent="0.3">
      <c r="S1831" s="5">
        <v>1828</v>
      </c>
      <c r="T1831" s="6">
        <v>1</v>
      </c>
    </row>
    <row r="1832" spans="19:20" x14ac:dyDescent="0.3">
      <c r="S1832" s="5">
        <v>1829</v>
      </c>
      <c r="T1832" s="6">
        <v>1</v>
      </c>
    </row>
    <row r="1833" spans="19:20" x14ac:dyDescent="0.3">
      <c r="S1833" s="5">
        <v>1830</v>
      </c>
      <c r="T1833" s="6">
        <v>1</v>
      </c>
    </row>
    <row r="1834" spans="19:20" x14ac:dyDescent="0.3">
      <c r="S1834" s="5">
        <v>1831</v>
      </c>
      <c r="T1834" s="6">
        <v>1</v>
      </c>
    </row>
    <row r="1835" spans="19:20" x14ac:dyDescent="0.3">
      <c r="S1835" s="5">
        <v>1832</v>
      </c>
      <c r="T1835" s="6">
        <v>1</v>
      </c>
    </row>
    <row r="1836" spans="19:20" x14ac:dyDescent="0.3">
      <c r="S1836" s="5">
        <v>1833</v>
      </c>
      <c r="T1836" s="6">
        <v>1</v>
      </c>
    </row>
    <row r="1837" spans="19:20" x14ac:dyDescent="0.3">
      <c r="S1837" s="5">
        <v>1834</v>
      </c>
      <c r="T1837" s="6">
        <v>1</v>
      </c>
    </row>
    <row r="1838" spans="19:20" x14ac:dyDescent="0.3">
      <c r="S1838" s="5">
        <v>1835</v>
      </c>
      <c r="T1838" s="6">
        <v>1</v>
      </c>
    </row>
    <row r="1839" spans="19:20" x14ac:dyDescent="0.3">
      <c r="S1839" s="5">
        <v>1836</v>
      </c>
      <c r="T1839" s="6">
        <v>1</v>
      </c>
    </row>
    <row r="1840" spans="19:20" x14ac:dyDescent="0.3">
      <c r="S1840" s="5">
        <v>1837</v>
      </c>
      <c r="T1840" s="6">
        <v>1</v>
      </c>
    </row>
    <row r="1841" spans="19:20" x14ac:dyDescent="0.3">
      <c r="S1841" s="5">
        <v>1838</v>
      </c>
      <c r="T1841" s="6">
        <v>1</v>
      </c>
    </row>
    <row r="1842" spans="19:20" x14ac:dyDescent="0.3">
      <c r="S1842" s="5">
        <v>1839</v>
      </c>
      <c r="T1842" s="6">
        <v>1</v>
      </c>
    </row>
    <row r="1843" spans="19:20" x14ac:dyDescent="0.3">
      <c r="S1843" s="5">
        <v>1840</v>
      </c>
      <c r="T1843" s="6">
        <v>1</v>
      </c>
    </row>
    <row r="1844" spans="19:20" x14ac:dyDescent="0.3">
      <c r="S1844" s="5">
        <v>1841</v>
      </c>
      <c r="T1844" s="6">
        <v>1</v>
      </c>
    </row>
    <row r="1845" spans="19:20" x14ac:dyDescent="0.3">
      <c r="S1845" s="5">
        <v>1842</v>
      </c>
      <c r="T1845" s="6">
        <v>1</v>
      </c>
    </row>
    <row r="1846" spans="19:20" x14ac:dyDescent="0.3">
      <c r="S1846" s="5">
        <v>1843</v>
      </c>
      <c r="T1846" s="6">
        <v>1</v>
      </c>
    </row>
    <row r="1847" spans="19:20" x14ac:dyDescent="0.3">
      <c r="S1847" s="5">
        <v>1844</v>
      </c>
      <c r="T1847" s="6">
        <v>1</v>
      </c>
    </row>
    <row r="1848" spans="19:20" x14ac:dyDescent="0.3">
      <c r="S1848" s="5">
        <v>1845</v>
      </c>
      <c r="T1848" s="6">
        <v>1</v>
      </c>
    </row>
    <row r="1849" spans="19:20" x14ac:dyDescent="0.3">
      <c r="S1849" s="5">
        <v>1846</v>
      </c>
      <c r="T1849" s="6">
        <v>1</v>
      </c>
    </row>
    <row r="1850" spans="19:20" x14ac:dyDescent="0.3">
      <c r="S1850" s="5">
        <v>1847</v>
      </c>
      <c r="T1850" s="6">
        <v>1</v>
      </c>
    </row>
    <row r="1851" spans="19:20" x14ac:dyDescent="0.3">
      <c r="S1851" s="5">
        <v>1848</v>
      </c>
      <c r="T1851" s="6">
        <v>1</v>
      </c>
    </row>
    <row r="1852" spans="19:20" x14ac:dyDescent="0.3">
      <c r="S1852" s="5">
        <v>1849</v>
      </c>
      <c r="T1852" s="6">
        <v>1</v>
      </c>
    </row>
    <row r="1853" spans="19:20" x14ac:dyDescent="0.3">
      <c r="S1853" s="5">
        <v>1850</v>
      </c>
      <c r="T1853" s="6">
        <v>1</v>
      </c>
    </row>
    <row r="1854" spans="19:20" x14ac:dyDescent="0.3">
      <c r="S1854" s="5">
        <v>1851</v>
      </c>
      <c r="T1854" s="6">
        <v>1</v>
      </c>
    </row>
    <row r="1855" spans="19:20" x14ac:dyDescent="0.3">
      <c r="S1855" s="5">
        <v>1852</v>
      </c>
      <c r="T1855" s="6">
        <v>1</v>
      </c>
    </row>
    <row r="1856" spans="19:20" x14ac:dyDescent="0.3">
      <c r="S1856" s="5">
        <v>1853</v>
      </c>
      <c r="T1856" s="6">
        <v>1</v>
      </c>
    </row>
    <row r="1857" spans="19:20" x14ac:dyDescent="0.3">
      <c r="S1857" s="5">
        <v>1854</v>
      </c>
      <c r="T1857" s="6">
        <v>1</v>
      </c>
    </row>
    <row r="1858" spans="19:20" x14ac:dyDescent="0.3">
      <c r="S1858" s="5">
        <v>1855</v>
      </c>
      <c r="T1858" s="6">
        <v>1</v>
      </c>
    </row>
    <row r="1859" spans="19:20" x14ac:dyDescent="0.3">
      <c r="S1859" s="5">
        <v>1856</v>
      </c>
      <c r="T1859" s="6">
        <v>1</v>
      </c>
    </row>
    <row r="1860" spans="19:20" x14ac:dyDescent="0.3">
      <c r="S1860" s="5">
        <v>1857</v>
      </c>
      <c r="T1860" s="6">
        <v>1</v>
      </c>
    </row>
    <row r="1861" spans="19:20" x14ac:dyDescent="0.3">
      <c r="S1861" s="5">
        <v>1858</v>
      </c>
      <c r="T1861" s="6">
        <v>1</v>
      </c>
    </row>
    <row r="1862" spans="19:20" x14ac:dyDescent="0.3">
      <c r="S1862" s="5">
        <v>1859</v>
      </c>
      <c r="T1862" s="6">
        <v>1</v>
      </c>
    </row>
    <row r="1863" spans="19:20" x14ac:dyDescent="0.3">
      <c r="S1863" s="5">
        <v>1860</v>
      </c>
      <c r="T1863" s="6">
        <v>1</v>
      </c>
    </row>
    <row r="1864" spans="19:20" x14ac:dyDescent="0.3">
      <c r="S1864" s="5">
        <v>1861</v>
      </c>
      <c r="T1864" s="6">
        <v>1</v>
      </c>
    </row>
    <row r="1865" spans="19:20" x14ac:dyDescent="0.3">
      <c r="S1865" s="5">
        <v>1862</v>
      </c>
      <c r="T1865" s="6">
        <v>1</v>
      </c>
    </row>
    <row r="1866" spans="19:20" x14ac:dyDescent="0.3">
      <c r="S1866" s="5">
        <v>1863</v>
      </c>
      <c r="T1866" s="6">
        <v>1</v>
      </c>
    </row>
    <row r="1867" spans="19:20" x14ac:dyDescent="0.3">
      <c r="S1867" s="5">
        <v>1864</v>
      </c>
      <c r="T1867" s="6">
        <v>1</v>
      </c>
    </row>
    <row r="1868" spans="19:20" x14ac:dyDescent="0.3">
      <c r="S1868" s="5">
        <v>1865</v>
      </c>
      <c r="T1868" s="6">
        <v>1</v>
      </c>
    </row>
    <row r="1869" spans="19:20" x14ac:dyDescent="0.3">
      <c r="S1869" s="5">
        <v>1866</v>
      </c>
      <c r="T1869" s="6">
        <v>1</v>
      </c>
    </row>
    <row r="1870" spans="19:20" x14ac:dyDescent="0.3">
      <c r="S1870" s="5">
        <v>1867</v>
      </c>
      <c r="T1870" s="6">
        <v>1</v>
      </c>
    </row>
    <row r="1871" spans="19:20" x14ac:dyDescent="0.3">
      <c r="S1871" s="5">
        <v>1868</v>
      </c>
      <c r="T1871" s="6">
        <v>1</v>
      </c>
    </row>
    <row r="1872" spans="19:20" x14ac:dyDescent="0.3">
      <c r="S1872" s="5">
        <v>1869</v>
      </c>
      <c r="T1872" s="6">
        <v>1</v>
      </c>
    </row>
    <row r="1873" spans="19:20" x14ac:dyDescent="0.3">
      <c r="S1873" s="5">
        <v>1870</v>
      </c>
      <c r="T1873" s="6">
        <v>1</v>
      </c>
    </row>
    <row r="1874" spans="19:20" x14ac:dyDescent="0.3">
      <c r="S1874" s="5">
        <v>1871</v>
      </c>
      <c r="T1874" s="6">
        <v>1</v>
      </c>
    </row>
    <row r="1875" spans="19:20" x14ac:dyDescent="0.3">
      <c r="S1875" s="5">
        <v>1872</v>
      </c>
      <c r="T1875" s="6">
        <v>1</v>
      </c>
    </row>
    <row r="1876" spans="19:20" x14ac:dyDescent="0.3">
      <c r="S1876" s="5">
        <v>1873</v>
      </c>
      <c r="T1876" s="6">
        <v>1</v>
      </c>
    </row>
    <row r="1877" spans="19:20" x14ac:dyDescent="0.3">
      <c r="S1877" s="5">
        <v>1874</v>
      </c>
      <c r="T1877" s="6">
        <v>1</v>
      </c>
    </row>
    <row r="1878" spans="19:20" x14ac:dyDescent="0.3">
      <c r="S1878" s="5">
        <v>1875</v>
      </c>
      <c r="T1878" s="6">
        <v>1</v>
      </c>
    </row>
    <row r="1879" spans="19:20" x14ac:dyDescent="0.3">
      <c r="S1879" s="5">
        <v>1876</v>
      </c>
      <c r="T1879" s="6">
        <v>1</v>
      </c>
    </row>
    <row r="1880" spans="19:20" x14ac:dyDescent="0.3">
      <c r="S1880" s="5">
        <v>1877</v>
      </c>
      <c r="T1880" s="6">
        <v>1</v>
      </c>
    </row>
    <row r="1881" spans="19:20" x14ac:dyDescent="0.3">
      <c r="S1881" s="5">
        <v>1878</v>
      </c>
      <c r="T1881" s="6">
        <v>1</v>
      </c>
    </row>
    <row r="1882" spans="19:20" x14ac:dyDescent="0.3">
      <c r="S1882" s="5">
        <v>1879</v>
      </c>
      <c r="T1882" s="6">
        <v>1</v>
      </c>
    </row>
    <row r="1883" spans="19:20" x14ac:dyDescent="0.3">
      <c r="S1883" s="5">
        <v>1880</v>
      </c>
      <c r="T1883" s="6">
        <v>1</v>
      </c>
    </row>
    <row r="1884" spans="19:20" x14ac:dyDescent="0.3">
      <c r="S1884" s="5">
        <v>1881</v>
      </c>
      <c r="T1884" s="6">
        <v>1</v>
      </c>
    </row>
    <row r="1885" spans="19:20" x14ac:dyDescent="0.3">
      <c r="S1885" s="5">
        <v>1882</v>
      </c>
      <c r="T1885" s="6">
        <v>1</v>
      </c>
    </row>
    <row r="1886" spans="19:20" x14ac:dyDescent="0.3">
      <c r="S1886" s="5">
        <v>1883</v>
      </c>
      <c r="T1886" s="6">
        <v>1</v>
      </c>
    </row>
    <row r="1887" spans="19:20" x14ac:dyDescent="0.3">
      <c r="S1887" s="5">
        <v>1884</v>
      </c>
      <c r="T1887" s="6">
        <v>1</v>
      </c>
    </row>
    <row r="1888" spans="19:20" x14ac:dyDescent="0.3">
      <c r="S1888" s="5">
        <v>1885</v>
      </c>
      <c r="T1888" s="6">
        <v>1</v>
      </c>
    </row>
    <row r="1889" spans="19:20" x14ac:dyDescent="0.3">
      <c r="S1889" s="5">
        <v>1886</v>
      </c>
      <c r="T1889" s="6">
        <v>1</v>
      </c>
    </row>
    <row r="1890" spans="19:20" x14ac:dyDescent="0.3">
      <c r="S1890" s="5">
        <v>1887</v>
      </c>
      <c r="T1890" s="6">
        <v>1</v>
      </c>
    </row>
    <row r="1891" spans="19:20" x14ac:dyDescent="0.3">
      <c r="S1891" s="5">
        <v>1888</v>
      </c>
      <c r="T1891" s="6">
        <v>1</v>
      </c>
    </row>
    <row r="1892" spans="19:20" x14ac:dyDescent="0.3">
      <c r="S1892" s="5">
        <v>1889</v>
      </c>
      <c r="T1892" s="6">
        <v>1</v>
      </c>
    </row>
    <row r="1893" spans="19:20" x14ac:dyDescent="0.3">
      <c r="S1893" s="5">
        <v>1890</v>
      </c>
      <c r="T1893" s="6">
        <v>1</v>
      </c>
    </row>
    <row r="1894" spans="19:20" x14ac:dyDescent="0.3">
      <c r="S1894" s="5">
        <v>1891</v>
      </c>
      <c r="T1894" s="6">
        <v>1</v>
      </c>
    </row>
    <row r="1895" spans="19:20" x14ac:dyDescent="0.3">
      <c r="S1895" s="5">
        <v>1892</v>
      </c>
      <c r="T1895" s="6">
        <v>1</v>
      </c>
    </row>
    <row r="1896" spans="19:20" x14ac:dyDescent="0.3">
      <c r="S1896" s="5">
        <v>1893</v>
      </c>
      <c r="T1896" s="6">
        <v>1</v>
      </c>
    </row>
    <row r="1897" spans="19:20" x14ac:dyDescent="0.3">
      <c r="S1897" s="5">
        <v>1894</v>
      </c>
      <c r="T1897" s="6">
        <v>1</v>
      </c>
    </row>
    <row r="1898" spans="19:20" x14ac:dyDescent="0.3">
      <c r="S1898" s="5">
        <v>1895</v>
      </c>
      <c r="T1898" s="6">
        <v>1</v>
      </c>
    </row>
    <row r="1899" spans="19:20" x14ac:dyDescent="0.3">
      <c r="S1899" s="5">
        <v>1896</v>
      </c>
      <c r="T1899" s="6">
        <v>1</v>
      </c>
    </row>
    <row r="1900" spans="19:20" x14ac:dyDescent="0.3">
      <c r="S1900" s="5">
        <v>1897</v>
      </c>
      <c r="T1900" s="6">
        <v>1</v>
      </c>
    </row>
    <row r="1901" spans="19:20" x14ac:dyDescent="0.3">
      <c r="S1901" s="5">
        <v>1898</v>
      </c>
      <c r="T1901" s="6">
        <v>1</v>
      </c>
    </row>
    <row r="1902" spans="19:20" x14ac:dyDescent="0.3">
      <c r="S1902" s="5">
        <v>1899</v>
      </c>
      <c r="T1902" s="6">
        <v>1</v>
      </c>
    </row>
    <row r="1903" spans="19:20" x14ac:dyDescent="0.3">
      <c r="S1903" s="5">
        <v>1900</v>
      </c>
      <c r="T1903" s="6">
        <v>1</v>
      </c>
    </row>
    <row r="1904" spans="19:20" x14ac:dyDescent="0.3">
      <c r="S1904" s="5">
        <v>1901</v>
      </c>
      <c r="T1904" s="6">
        <v>1</v>
      </c>
    </row>
    <row r="1905" spans="19:20" x14ac:dyDescent="0.3">
      <c r="S1905" s="5">
        <v>1902</v>
      </c>
      <c r="T1905" s="6">
        <v>1</v>
      </c>
    </row>
    <row r="1906" spans="19:20" x14ac:dyDescent="0.3">
      <c r="S1906" s="5">
        <v>1903</v>
      </c>
      <c r="T1906" s="6">
        <v>1</v>
      </c>
    </row>
    <row r="1907" spans="19:20" x14ac:dyDescent="0.3">
      <c r="S1907" s="5">
        <v>1904</v>
      </c>
      <c r="T1907" s="6">
        <v>1</v>
      </c>
    </row>
    <row r="1908" spans="19:20" x14ac:dyDescent="0.3">
      <c r="S1908" s="5">
        <v>1905</v>
      </c>
      <c r="T1908" s="6">
        <v>1</v>
      </c>
    </row>
    <row r="1909" spans="19:20" x14ac:dyDescent="0.3">
      <c r="S1909" s="5">
        <v>1906</v>
      </c>
      <c r="T1909" s="6">
        <v>1</v>
      </c>
    </row>
    <row r="1910" spans="19:20" x14ac:dyDescent="0.3">
      <c r="S1910" s="5">
        <v>1907</v>
      </c>
      <c r="T1910" s="6">
        <v>1</v>
      </c>
    </row>
    <row r="1911" spans="19:20" x14ac:dyDescent="0.3">
      <c r="S1911" s="5">
        <v>1908</v>
      </c>
      <c r="T1911" s="6">
        <v>1</v>
      </c>
    </row>
    <row r="1912" spans="19:20" x14ac:dyDescent="0.3">
      <c r="S1912" s="5">
        <v>1909</v>
      </c>
      <c r="T1912" s="6">
        <v>1</v>
      </c>
    </row>
    <row r="1913" spans="19:20" x14ac:dyDescent="0.3">
      <c r="S1913" s="5">
        <v>1910</v>
      </c>
      <c r="T1913" s="6">
        <v>1</v>
      </c>
    </row>
    <row r="1914" spans="19:20" x14ac:dyDescent="0.3">
      <c r="S1914" s="5">
        <v>1911</v>
      </c>
      <c r="T1914" s="6">
        <v>1</v>
      </c>
    </row>
    <row r="1915" spans="19:20" x14ac:dyDescent="0.3">
      <c r="S1915" s="5">
        <v>1912</v>
      </c>
      <c r="T1915" s="6">
        <v>1</v>
      </c>
    </row>
    <row r="1916" spans="19:20" x14ac:dyDescent="0.3">
      <c r="S1916" s="5">
        <v>1913</v>
      </c>
      <c r="T1916" s="6">
        <v>1</v>
      </c>
    </row>
    <row r="1917" spans="19:20" x14ac:dyDescent="0.3">
      <c r="S1917" s="5">
        <v>1914</v>
      </c>
      <c r="T1917" s="6">
        <v>1</v>
      </c>
    </row>
    <row r="1918" spans="19:20" x14ac:dyDescent="0.3">
      <c r="S1918" s="5">
        <v>1915</v>
      </c>
      <c r="T1918" s="6">
        <v>1</v>
      </c>
    </row>
    <row r="1919" spans="19:20" x14ac:dyDescent="0.3">
      <c r="S1919" s="5">
        <v>1916</v>
      </c>
      <c r="T1919" s="6">
        <v>1</v>
      </c>
    </row>
    <row r="1920" spans="19:20" x14ac:dyDescent="0.3">
      <c r="S1920" s="5">
        <v>1917</v>
      </c>
      <c r="T1920" s="6">
        <v>1</v>
      </c>
    </row>
    <row r="1921" spans="19:20" x14ac:dyDescent="0.3">
      <c r="S1921" s="5">
        <v>1918</v>
      </c>
      <c r="T1921" s="6">
        <v>1</v>
      </c>
    </row>
    <row r="1922" spans="19:20" x14ac:dyDescent="0.3">
      <c r="S1922" s="5">
        <v>1919</v>
      </c>
      <c r="T1922" s="6">
        <v>1</v>
      </c>
    </row>
    <row r="1923" spans="19:20" x14ac:dyDescent="0.3">
      <c r="S1923" s="5">
        <v>1920</v>
      </c>
      <c r="T1923" s="6">
        <v>1</v>
      </c>
    </row>
    <row r="1924" spans="19:20" x14ac:dyDescent="0.3">
      <c r="S1924" s="5">
        <v>1921</v>
      </c>
      <c r="T1924" s="6">
        <v>1</v>
      </c>
    </row>
    <row r="1925" spans="19:20" x14ac:dyDescent="0.3">
      <c r="S1925" s="5">
        <v>1922</v>
      </c>
      <c r="T1925" s="6">
        <v>1</v>
      </c>
    </row>
    <row r="1926" spans="19:20" x14ac:dyDescent="0.3">
      <c r="S1926" s="5">
        <v>1923</v>
      </c>
      <c r="T1926" s="6">
        <v>1</v>
      </c>
    </row>
    <row r="1927" spans="19:20" x14ac:dyDescent="0.3">
      <c r="S1927" s="5">
        <v>1924</v>
      </c>
      <c r="T1927" s="6">
        <v>1</v>
      </c>
    </row>
    <row r="1928" spans="19:20" x14ac:dyDescent="0.3">
      <c r="S1928" s="5">
        <v>1925</v>
      </c>
      <c r="T1928" s="6">
        <v>1</v>
      </c>
    </row>
    <row r="1929" spans="19:20" x14ac:dyDescent="0.3">
      <c r="S1929" s="5">
        <v>1926</v>
      </c>
      <c r="T1929" s="6">
        <v>1</v>
      </c>
    </row>
    <row r="1930" spans="19:20" x14ac:dyDescent="0.3">
      <c r="S1930" s="5">
        <v>1927</v>
      </c>
      <c r="T1930" s="6">
        <v>1</v>
      </c>
    </row>
    <row r="1931" spans="19:20" x14ac:dyDescent="0.3">
      <c r="S1931" s="5">
        <v>1928</v>
      </c>
      <c r="T1931" s="6">
        <v>1</v>
      </c>
    </row>
    <row r="1932" spans="19:20" x14ac:dyDescent="0.3">
      <c r="S1932" s="5">
        <v>1929</v>
      </c>
      <c r="T1932" s="6">
        <v>1</v>
      </c>
    </row>
    <row r="1933" spans="19:20" x14ac:dyDescent="0.3">
      <c r="S1933" s="5">
        <v>1930</v>
      </c>
      <c r="T1933" s="6">
        <v>1</v>
      </c>
    </row>
    <row r="1934" spans="19:20" x14ac:dyDescent="0.3">
      <c r="S1934" s="5">
        <v>1931</v>
      </c>
      <c r="T1934" s="6">
        <v>1</v>
      </c>
    </row>
    <row r="1935" spans="19:20" x14ac:dyDescent="0.3">
      <c r="S1935" s="5">
        <v>1932</v>
      </c>
      <c r="T1935" s="6">
        <v>1</v>
      </c>
    </row>
    <row r="1936" spans="19:20" x14ac:dyDescent="0.3">
      <c r="S1936" s="5">
        <v>1933</v>
      </c>
      <c r="T1936" s="6">
        <v>1</v>
      </c>
    </row>
    <row r="1937" spans="19:20" x14ac:dyDescent="0.3">
      <c r="S1937" s="5">
        <v>1934</v>
      </c>
      <c r="T1937" s="6">
        <v>1</v>
      </c>
    </row>
    <row r="1938" spans="19:20" x14ac:dyDescent="0.3">
      <c r="S1938" s="5">
        <v>1935</v>
      </c>
      <c r="T1938" s="6">
        <v>1</v>
      </c>
    </row>
    <row r="1939" spans="19:20" x14ac:dyDescent="0.3">
      <c r="S1939" s="5">
        <v>1936</v>
      </c>
      <c r="T1939" s="6">
        <v>1</v>
      </c>
    </row>
    <row r="1940" spans="19:20" x14ac:dyDescent="0.3">
      <c r="S1940" s="5">
        <v>1937</v>
      </c>
      <c r="T1940" s="6">
        <v>1</v>
      </c>
    </row>
    <row r="1941" spans="19:20" x14ac:dyDescent="0.3">
      <c r="S1941" s="5">
        <v>1938</v>
      </c>
      <c r="T1941" s="6">
        <v>1</v>
      </c>
    </row>
    <row r="1942" spans="19:20" x14ac:dyDescent="0.3">
      <c r="S1942" s="5">
        <v>1939</v>
      </c>
      <c r="T1942" s="6">
        <v>1</v>
      </c>
    </row>
    <row r="1943" spans="19:20" x14ac:dyDescent="0.3">
      <c r="S1943" s="5">
        <v>1940</v>
      </c>
      <c r="T1943" s="6">
        <v>1</v>
      </c>
    </row>
    <row r="1944" spans="19:20" x14ac:dyDescent="0.3">
      <c r="S1944" s="5">
        <v>1941</v>
      </c>
      <c r="T1944" s="6">
        <v>1</v>
      </c>
    </row>
    <row r="1945" spans="19:20" x14ac:dyDescent="0.3">
      <c r="S1945" s="5">
        <v>1942</v>
      </c>
      <c r="T1945" s="6">
        <v>1</v>
      </c>
    </row>
    <row r="1946" spans="19:20" x14ac:dyDescent="0.3">
      <c r="S1946" s="5">
        <v>1943</v>
      </c>
      <c r="T1946" s="6">
        <v>1</v>
      </c>
    </row>
    <row r="1947" spans="19:20" x14ac:dyDescent="0.3">
      <c r="S1947" s="5">
        <v>1944</v>
      </c>
      <c r="T1947" s="6">
        <v>1</v>
      </c>
    </row>
    <row r="1948" spans="19:20" x14ac:dyDescent="0.3">
      <c r="S1948" s="5">
        <v>1945</v>
      </c>
      <c r="T1948" s="6">
        <v>1</v>
      </c>
    </row>
    <row r="1949" spans="19:20" x14ac:dyDescent="0.3">
      <c r="S1949" s="5">
        <v>1946</v>
      </c>
      <c r="T1949" s="6">
        <v>1</v>
      </c>
    </row>
    <row r="1950" spans="19:20" x14ac:dyDescent="0.3">
      <c r="S1950" s="5">
        <v>1947</v>
      </c>
      <c r="T1950" s="6">
        <v>1</v>
      </c>
    </row>
    <row r="1951" spans="19:20" x14ac:dyDescent="0.3">
      <c r="S1951" s="5">
        <v>1948</v>
      </c>
      <c r="T1951" s="6">
        <v>1</v>
      </c>
    </row>
    <row r="1952" spans="19:20" x14ac:dyDescent="0.3">
      <c r="S1952" s="5">
        <v>1949</v>
      </c>
      <c r="T1952" s="6">
        <v>1</v>
      </c>
    </row>
    <row r="1953" spans="19:20" x14ac:dyDescent="0.3">
      <c r="S1953" s="5">
        <v>1950</v>
      </c>
      <c r="T1953" s="6">
        <v>1</v>
      </c>
    </row>
    <row r="1954" spans="19:20" x14ac:dyDescent="0.3">
      <c r="S1954" s="5">
        <v>1951</v>
      </c>
      <c r="T1954" s="6">
        <v>1</v>
      </c>
    </row>
    <row r="1955" spans="19:20" x14ac:dyDescent="0.3">
      <c r="S1955" s="5">
        <v>1952</v>
      </c>
      <c r="T1955" s="6">
        <v>1</v>
      </c>
    </row>
    <row r="1956" spans="19:20" x14ac:dyDescent="0.3">
      <c r="S1956" s="5">
        <v>1953</v>
      </c>
      <c r="T1956" s="6">
        <v>1</v>
      </c>
    </row>
    <row r="1957" spans="19:20" x14ac:dyDescent="0.3">
      <c r="S1957" s="5">
        <v>1954</v>
      </c>
      <c r="T1957" s="6">
        <v>1</v>
      </c>
    </row>
    <row r="1958" spans="19:20" x14ac:dyDescent="0.3">
      <c r="S1958" s="5">
        <v>1955</v>
      </c>
      <c r="T1958" s="6">
        <v>1</v>
      </c>
    </row>
    <row r="1959" spans="19:20" x14ac:dyDescent="0.3">
      <c r="S1959" s="5">
        <v>1956</v>
      </c>
      <c r="T1959" s="6">
        <v>1</v>
      </c>
    </row>
    <row r="1960" spans="19:20" x14ac:dyDescent="0.3">
      <c r="S1960" s="5">
        <v>1957</v>
      </c>
      <c r="T1960" s="6">
        <v>1</v>
      </c>
    </row>
    <row r="1961" spans="19:20" x14ac:dyDescent="0.3">
      <c r="S1961" s="5">
        <v>1958</v>
      </c>
      <c r="T1961" s="6">
        <v>1</v>
      </c>
    </row>
    <row r="1962" spans="19:20" x14ac:dyDescent="0.3">
      <c r="S1962" s="5">
        <v>1959</v>
      </c>
      <c r="T1962" s="6">
        <v>1</v>
      </c>
    </row>
    <row r="1963" spans="19:20" x14ac:dyDescent="0.3">
      <c r="S1963" s="5">
        <v>1960</v>
      </c>
      <c r="T1963" s="6">
        <v>1</v>
      </c>
    </row>
    <row r="1964" spans="19:20" x14ac:dyDescent="0.3">
      <c r="S1964" s="5">
        <v>1961</v>
      </c>
      <c r="T1964" s="6">
        <v>1</v>
      </c>
    </row>
    <row r="1965" spans="19:20" x14ac:dyDescent="0.3">
      <c r="S1965" s="5">
        <v>1962</v>
      </c>
      <c r="T1965" s="6">
        <v>1</v>
      </c>
    </row>
    <row r="1966" spans="19:20" x14ac:dyDescent="0.3">
      <c r="S1966" s="5">
        <v>1963</v>
      </c>
      <c r="T1966" s="6">
        <v>1</v>
      </c>
    </row>
    <row r="1967" spans="19:20" x14ac:dyDescent="0.3">
      <c r="S1967" s="5">
        <v>1964</v>
      </c>
      <c r="T1967" s="6">
        <v>1</v>
      </c>
    </row>
    <row r="1968" spans="19:20" x14ac:dyDescent="0.3">
      <c r="S1968" s="5">
        <v>1965</v>
      </c>
      <c r="T1968" s="6">
        <v>1</v>
      </c>
    </row>
    <row r="1969" spans="19:20" x14ac:dyDescent="0.3">
      <c r="S1969" s="5">
        <v>1966</v>
      </c>
      <c r="T1969" s="6">
        <v>1</v>
      </c>
    </row>
    <row r="1970" spans="19:20" x14ac:dyDescent="0.3">
      <c r="S1970" s="5">
        <v>1967</v>
      </c>
      <c r="T1970" s="6">
        <v>1</v>
      </c>
    </row>
    <row r="1971" spans="19:20" x14ac:dyDescent="0.3">
      <c r="S1971" s="5">
        <v>1968</v>
      </c>
      <c r="T1971" s="6">
        <v>1</v>
      </c>
    </row>
    <row r="1972" spans="19:20" x14ac:dyDescent="0.3">
      <c r="S1972" s="5">
        <v>1969</v>
      </c>
      <c r="T1972" s="6">
        <v>1</v>
      </c>
    </row>
    <row r="1973" spans="19:20" x14ac:dyDescent="0.3">
      <c r="S1973" s="5">
        <v>1970</v>
      </c>
      <c r="T1973" s="6">
        <v>1</v>
      </c>
    </row>
    <row r="1974" spans="19:20" x14ac:dyDescent="0.3">
      <c r="S1974" s="5">
        <v>1971</v>
      </c>
      <c r="T1974" s="6">
        <v>1</v>
      </c>
    </row>
    <row r="1975" spans="19:20" x14ac:dyDescent="0.3">
      <c r="S1975" s="5">
        <v>1972</v>
      </c>
      <c r="T1975" s="6">
        <v>1</v>
      </c>
    </row>
    <row r="1976" spans="19:20" x14ac:dyDescent="0.3">
      <c r="S1976" s="5">
        <v>1973</v>
      </c>
      <c r="T1976" s="6">
        <v>1</v>
      </c>
    </row>
    <row r="1977" spans="19:20" x14ac:dyDescent="0.3">
      <c r="S1977" s="5">
        <v>1974</v>
      </c>
      <c r="T1977" s="6">
        <v>1</v>
      </c>
    </row>
    <row r="1978" spans="19:20" x14ac:dyDescent="0.3">
      <c r="S1978" s="5">
        <v>1975</v>
      </c>
      <c r="T1978" s="6">
        <v>1</v>
      </c>
    </row>
    <row r="1979" spans="19:20" x14ac:dyDescent="0.3">
      <c r="S1979" s="5">
        <v>1976</v>
      </c>
      <c r="T1979" s="6">
        <v>1</v>
      </c>
    </row>
    <row r="1980" spans="19:20" x14ac:dyDescent="0.3">
      <c r="S1980" s="5">
        <v>1977</v>
      </c>
      <c r="T1980" s="6">
        <v>1</v>
      </c>
    </row>
    <row r="1981" spans="19:20" x14ac:dyDescent="0.3">
      <c r="S1981" s="5">
        <v>1978</v>
      </c>
      <c r="T1981" s="6">
        <v>1</v>
      </c>
    </row>
    <row r="1982" spans="19:20" x14ac:dyDescent="0.3">
      <c r="S1982" s="5">
        <v>1979</v>
      </c>
      <c r="T1982" s="6">
        <v>1</v>
      </c>
    </row>
    <row r="1983" spans="19:20" x14ac:dyDescent="0.3">
      <c r="S1983" s="5">
        <v>1980</v>
      </c>
      <c r="T1983" s="6">
        <v>1</v>
      </c>
    </row>
    <row r="1984" spans="19:20" x14ac:dyDescent="0.3">
      <c r="S1984" s="5">
        <v>1981</v>
      </c>
      <c r="T1984" s="6">
        <v>1</v>
      </c>
    </row>
    <row r="1985" spans="19:20" x14ac:dyDescent="0.3">
      <c r="S1985" s="5">
        <v>1982</v>
      </c>
      <c r="T1985" s="6">
        <v>1</v>
      </c>
    </row>
    <row r="1986" spans="19:20" x14ac:dyDescent="0.3">
      <c r="S1986" s="5">
        <v>1983</v>
      </c>
      <c r="T1986" s="6">
        <v>1</v>
      </c>
    </row>
    <row r="1987" spans="19:20" x14ac:dyDescent="0.3">
      <c r="S1987" s="5">
        <v>1984</v>
      </c>
      <c r="T1987" s="6">
        <v>1</v>
      </c>
    </row>
    <row r="1988" spans="19:20" x14ac:dyDescent="0.3">
      <c r="S1988" s="5">
        <v>1985</v>
      </c>
      <c r="T1988" s="6">
        <v>1</v>
      </c>
    </row>
    <row r="1989" spans="19:20" x14ac:dyDescent="0.3">
      <c r="S1989" s="5">
        <v>1986</v>
      </c>
      <c r="T1989" s="6">
        <v>1</v>
      </c>
    </row>
    <row r="1990" spans="19:20" x14ac:dyDescent="0.3">
      <c r="S1990" s="5">
        <v>1987</v>
      </c>
      <c r="T1990" s="6">
        <v>1</v>
      </c>
    </row>
    <row r="1991" spans="19:20" x14ac:dyDescent="0.3">
      <c r="S1991" s="5">
        <v>1988</v>
      </c>
      <c r="T1991" s="6">
        <v>1</v>
      </c>
    </row>
    <row r="1992" spans="19:20" x14ac:dyDescent="0.3">
      <c r="S1992" s="5">
        <v>1989</v>
      </c>
      <c r="T1992" s="6">
        <v>1</v>
      </c>
    </row>
    <row r="1993" spans="19:20" x14ac:dyDescent="0.3">
      <c r="S1993" s="5">
        <v>1990</v>
      </c>
      <c r="T1993" s="6">
        <v>1</v>
      </c>
    </row>
    <row r="1994" spans="19:20" x14ac:dyDescent="0.3">
      <c r="S1994" s="5">
        <v>1991</v>
      </c>
      <c r="T1994" s="6">
        <v>1</v>
      </c>
    </row>
    <row r="1995" spans="19:20" x14ac:dyDescent="0.3">
      <c r="S1995" s="5">
        <v>1992</v>
      </c>
      <c r="T1995" s="6">
        <v>1</v>
      </c>
    </row>
    <row r="1996" spans="19:20" x14ac:dyDescent="0.3">
      <c r="S1996" s="5">
        <v>1993</v>
      </c>
      <c r="T1996" s="6">
        <v>1</v>
      </c>
    </row>
    <row r="1997" spans="19:20" x14ac:dyDescent="0.3">
      <c r="S1997" s="5">
        <v>1994</v>
      </c>
      <c r="T1997" s="6">
        <v>1</v>
      </c>
    </row>
    <row r="1998" spans="19:20" x14ac:dyDescent="0.3">
      <c r="S1998" s="5">
        <v>1995</v>
      </c>
      <c r="T1998" s="6">
        <v>1</v>
      </c>
    </row>
    <row r="1999" spans="19:20" x14ac:dyDescent="0.3">
      <c r="S1999" s="5">
        <v>1996</v>
      </c>
      <c r="T1999" s="6">
        <v>1</v>
      </c>
    </row>
    <row r="2000" spans="19:20" x14ac:dyDescent="0.3">
      <c r="S2000" s="5">
        <v>1997</v>
      </c>
      <c r="T2000" s="6">
        <v>1</v>
      </c>
    </row>
    <row r="2001" spans="19:20" x14ac:dyDescent="0.3">
      <c r="S2001" s="5">
        <v>1998</v>
      </c>
      <c r="T2001" s="6">
        <v>1</v>
      </c>
    </row>
    <row r="2002" spans="19:20" x14ac:dyDescent="0.3">
      <c r="S2002" s="5">
        <v>1999</v>
      </c>
      <c r="T2002" s="6">
        <v>1</v>
      </c>
    </row>
    <row r="2003" spans="19:20" x14ac:dyDescent="0.3">
      <c r="S2003" s="5" t="s">
        <v>29</v>
      </c>
      <c r="T2003" s="10">
        <v>1999</v>
      </c>
    </row>
  </sheetData>
  <mergeCells count="4">
    <mergeCell ref="A3:B3"/>
    <mergeCell ref="J3:L3"/>
    <mergeCell ref="A39:B39"/>
    <mergeCell ref="J39:K39"/>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2"/>
  <sheetViews>
    <sheetView showGridLines="0" tabSelected="1" zoomScale="52" zoomScaleNormal="52" workbookViewId="0">
      <selection activeCell="O14" sqref="O14"/>
    </sheetView>
  </sheetViews>
  <sheetFormatPr defaultRowHeight="14.4" x14ac:dyDescent="0.3"/>
  <cols>
    <col min="1" max="1" width="12" style="7" bestFit="1" customWidth="1"/>
    <col min="2" max="2" width="8.88671875" style="7"/>
    <col min="3" max="3" width="12.44140625" style="7" bestFit="1" customWidth="1"/>
    <col min="4" max="4" width="8.88671875" style="7"/>
    <col min="5" max="5" width="15.88671875" style="7" bestFit="1" customWidth="1"/>
    <col min="6" max="6" width="8.88671875" style="7"/>
    <col min="7" max="7" width="13.44140625" style="7" bestFit="1" customWidth="1"/>
    <col min="8" max="16384" width="8.88671875" style="7"/>
  </cols>
  <sheetData>
    <row r="1" spans="1:37" ht="14.4" customHeight="1" x14ac:dyDescent="0.3">
      <c r="A1" s="16" t="s">
        <v>91</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row>
    <row r="2" spans="1:37"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row>
    <row r="3" spans="1:37"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row>
    <row r="4" spans="1:37" x14ac:dyDescent="0.3">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spans="1:37"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row>
    <row r="14" spans="1:37" ht="28.8" x14ac:dyDescent="0.55000000000000004">
      <c r="B14" s="12"/>
    </row>
    <row r="42" spans="12:17" x14ac:dyDescent="0.3">
      <c r="L42" s="8"/>
      <c r="Q42" s="9"/>
    </row>
  </sheetData>
  <mergeCells count="1">
    <mergeCell ref="A1:A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SUSHANT</dc:creator>
  <cp:lastModifiedBy>SUSHANT</cp:lastModifiedBy>
  <dcterms:created xsi:type="dcterms:W3CDTF">2026-02-14T09:34:07Z</dcterms:created>
  <dcterms:modified xsi:type="dcterms:W3CDTF">2026-02-17T13:19:48Z</dcterms:modified>
</cp:coreProperties>
</file>